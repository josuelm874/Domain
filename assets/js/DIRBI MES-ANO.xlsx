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EstaPasta_de_trabalho"/>
  <bookViews>
    <workbookView windowWidth="22188" windowHeight="9707" tabRatio="956"/>
  </bookViews>
  <sheets>
    <sheet name="DIRBI" sheetId="3" r:id="rId1"/>
  </sheets>
  <definedNames>
    <definedName name="_xlnm._FilterDatabase" localSheetId="0" hidden="1">DIRBI!$B$2:$G$21</definedName>
    <definedName name="_xlnm.Print_Area" localSheetId="0">DIRBI!$B$1:$G$21</definedName>
    <definedName name="Z_03BA3C8D_FE9F_417D_9C43_78A2313A0EE0_.wvu.FilterData" localSheetId="0" hidden="1">DIRBI!$B$2:$G$21</definedName>
    <definedName name="Z_03BA3C8D_FE9F_417D_9C43_78A2313A0EE0_.wvu.PrintArea" localSheetId="0" hidden="1">DIRBI!$B$2:$G$21</definedName>
    <definedName name="Z_047A8B8D_A82E_4E27_A70E_3231A544C5B9_.wvu.FilterData" localSheetId="0" hidden="1">DIRBI!$B$2:$G$21</definedName>
    <definedName name="Z_047A8B8D_A82E_4E27_A70E_3231A544C5B9_.wvu.PrintArea" localSheetId="0" hidden="1">DIRBI!$B$2:$G$21</definedName>
    <definedName name="Z_28A42384_D1B8_456B_81AF_79E89D90D6C7_.wvu.FilterData" localSheetId="0" hidden="1">DIRBI!$B$2:$G$21</definedName>
    <definedName name="Z_28A42384_D1B8_456B_81AF_79E89D90D6C7_.wvu.PrintArea" localSheetId="0" hidden="1">DIRBI!$B$2:$G$21</definedName>
    <definedName name="Z_42F37DA7_DFDA_47A3_AF7B_5F6CE094AED0_.wvu.FilterData" localSheetId="0" hidden="1">DIRBI!$B$2:$G$21</definedName>
    <definedName name="Z_42F37DA7_DFDA_47A3_AF7B_5F6CE094AED0_.wvu.PrintArea" localSheetId="0" hidden="1">DIRBI!$B$2:$G$21</definedName>
    <definedName name="Z_5BD94CA9_ACD2_4055_9326_4B9089C58536_.wvu.FilterData" localSheetId="0" hidden="1">DIRBI!$B$2:$G$21</definedName>
    <definedName name="Z_5BD94CA9_ACD2_4055_9326_4B9089C58536_.wvu.PrintArea" localSheetId="0" hidden="1">DIRBI!$B$2:$G$21</definedName>
    <definedName name="Z_65F7342D_1965_47C8_98CD_E0AA23885C3B_.wvu.FilterData" localSheetId="0" hidden="1">DIRBI!$B$2:$G$21</definedName>
    <definedName name="Z_65F7342D_1965_47C8_98CD_E0AA23885C3B_.wvu.PrintArea" localSheetId="0" hidden="1">DIRBI!$B$2:$G$21</definedName>
    <definedName name="Z_6D4BABF4_7C3E_4C95_8652_0DFEDF367646_.wvu.FilterData" localSheetId="0" hidden="1">DIRBI!$B$2:$G$21</definedName>
    <definedName name="Z_74912EDA_F0BA_42CB_9C34_342CE2619AB0_.wvu.FilterData" localSheetId="0" hidden="1">DIRBI!$B$2:$G$21</definedName>
    <definedName name="Z_81822421_3494_4ABA_88FC_12A4CE4065E5_.wvu.FilterData" localSheetId="0" hidden="1">DIRBI!$B$2:$G$21</definedName>
    <definedName name="Z_A2649C93_5E85_4875_BDD6_F2D35C81850A_.wvu.FilterData" localSheetId="0" hidden="1">DIRBI!$B$2:$G$21</definedName>
    <definedName name="Z_A2E2361E_70C5_48B2_B3FF_6D2F12DA6BE0_.wvu.FilterData" localSheetId="0" hidden="1">DIRBI!$B$2:$G$21</definedName>
    <definedName name="Z_A2E2361E_70C5_48B2_B3FF_6D2F12DA6BE0_.wvu.PrintArea" localSheetId="0" hidden="1">DIRBI!$B$2:$G$21</definedName>
    <definedName name="Z_AB4F1A07_77C1_4902_AB49_49DA38B8F62B_.wvu.FilterData" localSheetId="0" hidden="1">DIRBI!$B$2:$G$21</definedName>
    <definedName name="Z_F47E93D5_A10F_4840_974F_E2BFECA1C632_.wvu.FilterData" localSheetId="0" hidden="1">DIRBI!$B$2:$G$21</definedName>
  </definedNames>
  <calcPr calcId="191029"/>
  <customWorkbookViews>
    <customWorkbookView name="Mailson - Modo de exibição pessoal" guid="{28A42384-D1B8-456B-81AF-79E89D90D6C7}" personalView="1" maximized="1" xWindow="-8" yWindow="-8" windowWidth="1616" windowHeight="876" activeSheetId="3"/>
    <customWorkbookView name="Estagiario Fiscal1 - Modo de exibição pessoal" guid="{5BD94CA9-ACD2-4055-9326-4B9089C58536}" personalView="1" maximized="1" xWindow="-8" yWindow="-8" windowWidth="1382" windowHeight="744" activeSheetId="0"/>
    <customWorkbookView name="M Eduarda - Modo de exibição pessoal" guid="{65F7342D-1965-47C8-98CD-E0AA23885C3B}" personalView="1" maximized="1" xWindow="-8" yWindow="-8" windowWidth="1382" windowHeight="744" activeSheetId="0"/>
    <customWorkbookView name="Ingride Assuncao - Modo de exibição pessoal" guid="{047A8B8D-A82E-4E27-A70E-3231A544C5B9}" personalView="1" maximized="1" xWindow="-8" yWindow="-8" windowWidth="1376" windowHeight="744" activeSheetId="0"/>
    <customWorkbookView name="Eduarda Campos - Modo de exibição pessoal" guid="{42F37DA7-DFDA-47A3-AF7B-5F6CE094AED0}" personalView="1" maximized="1" xWindow="-8" yWindow="-8" windowWidth="1382" windowHeight="744" activeSheetId="0"/>
    <customWorkbookView name="Moises Albuquerque - Modo de exibição pessoal" guid="{03BA3C8D-FE9F-417D-9C43-78A2313A0EE0}" personalView="1" maximized="1" xWindow="-8" yWindow="-8" windowWidth="1382" windowHeight="744" activeSheetId="0"/>
    <customWorkbookView name="Kaua - Modo de exibição pessoal" guid="{A2E2361E-70C5-48B2-B3FF-6D2F12DA6BE0}" personalView="1" xWindow="-8" yWindow="-8" windowWidth="1376" windowHeight="744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<sst xmlns="http://schemas.openxmlformats.org/spreadsheetml/2006/main" count="60" uniqueCount="60">
  <si>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Relatório da DIRB</t>
  </si>
  <si>
    <t>Razão Social</t>
  </si>
  <si>
    <t>Nº</t>
  </si>
  <si>
    <t>Itens</t>
  </si>
  <si>
    <t>NCM</t>
  </si>
  <si>
    <t>Valor</t>
  </si>
  <si>
    <t>Pis</t>
  </si>
  <si>
    <t>Cofins</t>
  </si>
  <si>
    <t>01</t>
  </si>
  <si>
    <t>AÇÚCAR</t>
  </si>
  <si>
    <t>02</t>
  </si>
  <si>
    <t>CAFÉ</t>
  </si>
  <si>
    <t>0901</t>
  </si>
  <si>
    <t>03</t>
  </si>
  <si>
    <t>CARNES</t>
  </si>
  <si>
    <t xml:space="preserve">0201 -  0202 - 0206 - 0210 - 0506 - 0510 - 1502 - 0203 - 0204  - 0207 - 0209 </t>
  </si>
  <si>
    <t>04</t>
  </si>
  <si>
    <t>FARINHA DE TRIGO</t>
  </si>
  <si>
    <t>05</t>
  </si>
  <si>
    <t>FEIJÕES, ARROZ, FARINHAS E SÊMOLAS</t>
  </si>
  <si>
    <t>07133319 - 07133329 - 07133399 - 100620 - 100630 - 110620</t>
  </si>
  <si>
    <t>06</t>
  </si>
  <si>
    <t>LARANJA</t>
  </si>
  <si>
    <t>08051000</t>
  </si>
  <si>
    <t>07</t>
  </si>
  <si>
    <t>LEITE EM PÓ INTEGRAL OU DESNATADO</t>
  </si>
  <si>
    <t>0402</t>
  </si>
  <si>
    <t>08</t>
  </si>
  <si>
    <t>LEITE FLUIDO PASTEURIZADO OU INDUSTRIALIZADO</t>
  </si>
  <si>
    <t>0401</t>
  </si>
  <si>
    <t>09</t>
  </si>
  <si>
    <t>MANTEIGA</t>
  </si>
  <si>
    <t>04051000</t>
  </si>
  <si>
    <t>10</t>
  </si>
  <si>
    <t>MARGARINA</t>
  </si>
  <si>
    <t>15171000</t>
  </si>
  <si>
    <t>11</t>
  </si>
  <si>
    <t>MASSAS ALIMENTÍCIAS</t>
  </si>
  <si>
    <t>1902</t>
  </si>
  <si>
    <t>12</t>
  </si>
  <si>
    <t>ÓLEOS VEGETAIS</t>
  </si>
  <si>
    <t>1507 - 1508 - 1514</t>
  </si>
  <si>
    <t>13</t>
  </si>
  <si>
    <t>PAPEL HIGIÊNICO</t>
  </si>
  <si>
    <t>48181000</t>
  </si>
  <si>
    <t>14</t>
  </si>
  <si>
    <t>PEIXES</t>
  </si>
  <si>
    <t>0302 - 0303 - 0304</t>
  </si>
  <si>
    <t>15</t>
  </si>
  <si>
    <t>PRODUTOS DE HIGIENE BUCAL</t>
  </si>
  <si>
    <t>3306</t>
  </si>
  <si>
    <t>16</t>
  </si>
  <si>
    <t>QUEIJOS</t>
  </si>
  <si>
    <t>0406</t>
  </si>
  <si>
    <t>17</t>
  </si>
  <si>
    <t>SABÃO DE TOUCADOR</t>
  </si>
  <si>
    <t>34011190</t>
  </si>
  <si>
    <t>18</t>
  </si>
  <si>
    <t>SOJA</t>
  </si>
  <si>
    <t>12081000  -  230400 - 23091000 - 38260000 - 29232000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</si>
</sst>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0"/>
      <name val="Arial"/>
      <charset val="134"/>
    </font>
    <font>
      <sz val="14"/>
      <name val="Calibri Light"/>
      <charset val="134"/>
      <scheme val="major"/>
    </font>
    <font>
      <sz val="12"/>
      <name val="Calibri Light"/>
      <charset val="134"/>
      <scheme val="major"/>
    </font>
    <font>
      <b/>
      <sz val="28"/>
      <color rgb="FF005696"/>
      <name val="Calibri Light"/>
      <charset val="134"/>
      <scheme val="major"/>
    </font>
    <font>
      <b/>
      <sz val="12"/>
      <color theme="0"/>
      <name val="Calibri Light"/>
      <charset val="134"/>
      <scheme val="major"/>
    </font>
    <font>
      <b/>
      <sz val="12"/>
      <name val="Calibri Light"/>
      <charset val="134"/>
      <scheme val="maj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5B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"/>
      </left>
      <right/>
      <top/>
      <bottom style="thin">
        <color theme="0" tint="-0.149998474074526"/>
      </bottom>
      <diagonal/>
    </border>
    <border>
      <left/>
      <right/>
      <top/>
      <bottom style="thin">
        <color theme="0" tint="-0.149998474074526"/>
      </bottom>
      <diagonal/>
    </border>
    <border>
      <left/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 applyProtection="1">
      <alignment horizontal="center" vertical="center"/>
      <protection locked="0"/>
    </xf>
    <xf numFmtId="2" fontId="4" fillId="3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 applyProtection="1">
      <alignment horizontal="center" vertical="center"/>
      <protection locked="0"/>
    </xf>
    <xf numFmtId="2" fontId="5" fillId="2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6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8" tint="-0.249946592608417"/>
      </font>
      <fill>
        <patternFill patternType="lightGray">
          <fgColor theme="8" tint="0.599963377788629"/>
          <bgColor theme="8" tint="0.599963377788629"/>
        </patternFill>
      </fill>
    </dxf>
    <dxf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0065B0"/>
      <color rgb="00005696"/>
      <color rgb="00F7F7F7"/>
      <color rgb="00FFCDC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2</xdr:col>
      <xdr:colOff>1295400</xdr:colOff>
      <xdr:row>0</xdr:row>
      <xdr:rowOff>680876</xdr:rowOff>
    </xdr:to>
    <xdr:pic>
      <xdr:nvPicPr>
        <xdr:cNvPr id="3" name="Imagem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6200"/>
          <a:ext cx="1702435" cy="60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12">
    <pageSetUpPr fitToPage="1"/>
  </sheetPr>
  <dimension ref="B1:G21"/>
  <sheetViews>
    <sheetView tabSelected="1" zoomScale="85" zoomScaleNormal="85" workbookViewId="0">
      <selection activeCell="E21" sqref="E21"/>
    </sheetView>
  </sheetViews>
  <sheetFormatPr defaultColWidth="9" defaultRowHeight="15.6" outlineLevelCol="6"/>
  <cols>
    <col min="1" max="1" width="1" style="3" customWidth="1"/>
    <col min="2" max="2" width="8.71296296296296" style="4" customWidth="1"/>
    <col min="3" max="3" width="49.4259259259259" style="3" customWidth="1"/>
    <col min="4" max="4" width="99.5740740740741" style="5" customWidth="1"/>
    <col min="5" max="5" width="16.712962962963" style="6" customWidth="1"/>
    <col min="6" max="7" width="15" style="7" customWidth="1"/>
    <col min="8" max="16384" width="9.13888888888889" style="3"/>
  </cols>
  <sheetData>
    <row r="1" ht="69.75" customHeight="1" spans="2:7">
      <c r="B1" s="8" t="s">
        <v>0</v>
      </c>
      <c r="C1" s="8"/>
      <c r="D1" s="8"/>
      <c r="E1" s="8"/>
      <c r="F1" s="8"/>
      <c r="G1" s="8"/>
    </row>
    <row r="2" s="1" customFormat="1" ht="19.5" customHeight="1" spans="2:7">
      <c r="B2" s="9" t="s">
        <v>1</v>
      </c>
      <c r="C2" s="10"/>
      <c r="D2" s="10"/>
      <c r="E2" s="10"/>
      <c r="F2" s="10"/>
      <c r="G2" s="11"/>
    </row>
    <row r="3" s="2" customFormat="1" ht="15.95" customHeight="1" spans="2:7">
      <c r="B3" s="12" t="s">
        <v>2</v>
      </c>
      <c r="C3" s="13" t="s">
        <v>3</v>
      </c>
      <c r="D3" s="14" t="s">
        <v>4</v>
      </c>
      <c r="E3" s="15" t="s">
        <v>5</v>
      </c>
      <c r="F3" s="16" t="s">
        <v>6</v>
      </c>
      <c r="G3" s="16" t="s">
        <v>7</v>
      </c>
    </row>
    <row r="4" s="2" customFormat="1" ht="15.95" customHeight="1" spans="2:7">
      <c r="B4" s="17" t="s">
        <v>8</v>
      </c>
      <c r="C4" s="18" t="s">
        <v>9</v>
      </c>
      <c r="D4" s="19">
        <v>1701</v>
      </c>
      <c r="E4" s="20"/>
      <c r="F4" s="21">
        <f t="shared" ref="F4:F21" si="0">E4*1.65%</f>
        <v>0</v>
      </c>
      <c r="G4" s="21">
        <f t="shared" ref="G4:G21" si="1">E4*7.6%</f>
        <v>0</v>
      </c>
    </row>
    <row r="5" s="2" customFormat="1" ht="15.95" customHeight="1" spans="2:7">
      <c r="B5" s="17" t="s">
        <v>10</v>
      </c>
      <c r="C5" s="18" t="s">
        <v>11</v>
      </c>
      <c r="D5" s="19" t="s">
        <v>12</v>
      </c>
      <c r="E5" s="20"/>
      <c r="F5" s="21">
        <f t="shared" si="0"/>
        <v>0</v>
      </c>
      <c r="G5" s="21">
        <f t="shared" si="1"/>
        <v>0</v>
      </c>
    </row>
    <row r="6" s="2" customFormat="1" ht="15.95" customHeight="1" spans="2:7">
      <c r="B6" s="17" t="s">
        <v>13</v>
      </c>
      <c r="C6" s="18" t="s">
        <v>14</v>
      </c>
      <c r="D6" s="19" t="s">
        <v>15</v>
      </c>
      <c r="E6" s="20"/>
      <c r="F6" s="21">
        <f t="shared" si="0"/>
        <v>0</v>
      </c>
      <c r="G6" s="21">
        <f t="shared" si="1"/>
        <v>0</v>
      </c>
    </row>
    <row r="7" s="2" customFormat="1" ht="15.95" customHeight="1" spans="2:7">
      <c r="B7" s="17" t="s">
        <v>16</v>
      </c>
      <c r="C7" s="18" t="s">
        <v>17</v>
      </c>
      <c r="D7" s="19">
        <v>11010010</v>
      </c>
      <c r="E7" s="20"/>
      <c r="F7" s="21">
        <f t="shared" si="0"/>
        <v>0</v>
      </c>
      <c r="G7" s="21">
        <f t="shared" si="1"/>
        <v>0</v>
      </c>
    </row>
    <row r="8" s="2" customFormat="1" ht="15.95" customHeight="1" spans="2:7">
      <c r="B8" s="17" t="s">
        <v>18</v>
      </c>
      <c r="C8" s="18" t="s">
        <v>19</v>
      </c>
      <c r="D8" s="19" t="s">
        <v>20</v>
      </c>
      <c r="E8" s="20"/>
      <c r="F8" s="21">
        <f t="shared" si="0"/>
        <v>0</v>
      </c>
      <c r="G8" s="21">
        <f t="shared" si="1"/>
        <v>0</v>
      </c>
    </row>
    <row r="9" s="2" customFormat="1" ht="15.95" customHeight="1" spans="2:7">
      <c r="B9" s="17" t="s">
        <v>21</v>
      </c>
      <c r="C9" s="18" t="s">
        <v>22</v>
      </c>
      <c r="D9" s="19" t="s">
        <v>23</v>
      </c>
      <c r="E9" s="20"/>
      <c r="F9" s="21">
        <f t="shared" si="0"/>
        <v>0</v>
      </c>
      <c r="G9" s="21">
        <f t="shared" si="1"/>
        <v>0</v>
      </c>
    </row>
    <row r="10" s="2" customFormat="1" ht="15.95" customHeight="1" spans="2:7">
      <c r="B10" s="17" t="s">
        <v>24</v>
      </c>
      <c r="C10" s="18" t="s">
        <v>25</v>
      </c>
      <c r="D10" s="19" t="s">
        <v>26</v>
      </c>
      <c r="E10" s="20"/>
      <c r="F10" s="21">
        <f t="shared" si="0"/>
        <v>0</v>
      </c>
      <c r="G10" s="21">
        <f t="shared" si="1"/>
        <v>0</v>
      </c>
    </row>
    <row r="11" s="2" customFormat="1" ht="15.95" customHeight="1" spans="2:7">
      <c r="B11" s="17" t="s">
        <v>27</v>
      </c>
      <c r="C11" s="18" t="s">
        <v>28</v>
      </c>
      <c r="D11" s="19" t="s">
        <v>29</v>
      </c>
      <c r="E11" s="20"/>
      <c r="F11" s="21">
        <f t="shared" si="0"/>
        <v>0</v>
      </c>
      <c r="G11" s="21">
        <f t="shared" si="1"/>
        <v>0</v>
      </c>
    </row>
    <row r="12" s="2" customFormat="1" ht="15.95" customHeight="1" spans="2:7">
      <c r="B12" s="17" t="s">
        <v>30</v>
      </c>
      <c r="C12" s="18" t="s">
        <v>31</v>
      </c>
      <c r="D12" s="19" t="s">
        <v>32</v>
      </c>
      <c r="E12" s="20"/>
      <c r="F12" s="21">
        <f t="shared" si="0"/>
        <v>0</v>
      </c>
      <c r="G12" s="21">
        <f t="shared" si="1"/>
        <v>0</v>
      </c>
    </row>
    <row r="13" s="2" customFormat="1" ht="15.95" customHeight="1" spans="2:7">
      <c r="B13" s="17" t="s">
        <v>33</v>
      </c>
      <c r="C13" s="18" t="s">
        <v>34</v>
      </c>
      <c r="D13" s="19" t="s">
        <v>35</v>
      </c>
      <c r="E13" s="20"/>
      <c r="F13" s="21">
        <f t="shared" si="0"/>
        <v>0</v>
      </c>
      <c r="G13" s="21">
        <f t="shared" si="1"/>
        <v>0</v>
      </c>
    </row>
    <row r="14" s="2" customFormat="1" ht="15.95" customHeight="1" spans="2:7">
      <c r="B14" s="17" t="s">
        <v>36</v>
      </c>
      <c r="C14" s="18" t="s">
        <v>37</v>
      </c>
      <c r="D14" s="19" t="s">
        <v>38</v>
      </c>
      <c r="E14" s="20"/>
      <c r="F14" s="21">
        <f t="shared" si="0"/>
        <v>0</v>
      </c>
      <c r="G14" s="21">
        <f t="shared" si="1"/>
        <v>0</v>
      </c>
    </row>
    <row r="15" s="2" customFormat="1" ht="15.95" customHeight="1" spans="2:7">
      <c r="B15" s="17" t="s">
        <v>39</v>
      </c>
      <c r="C15" s="18" t="s">
        <v>40</v>
      </c>
      <c r="D15" s="19" t="s">
        <v>41</v>
      </c>
      <c r="E15" s="20"/>
      <c r="F15" s="21">
        <f t="shared" si="0"/>
        <v>0</v>
      </c>
      <c r="G15" s="21">
        <f t="shared" si="1"/>
        <v>0</v>
      </c>
    </row>
    <row r="16" s="2" customFormat="1" ht="15.95" customHeight="1" spans="2:7">
      <c r="B16" s="17" t="s">
        <v>42</v>
      </c>
      <c r="C16" s="18" t="s">
        <v>43</v>
      </c>
      <c r="D16" s="19" t="s">
        <v>44</v>
      </c>
      <c r="E16" s="20"/>
      <c r="F16" s="21">
        <f t="shared" si="0"/>
        <v>0</v>
      </c>
      <c r="G16" s="21">
        <f t="shared" si="1"/>
        <v>0</v>
      </c>
    </row>
    <row r="17" s="2" customFormat="1" ht="15.95" customHeight="1" spans="2:7">
      <c r="B17" s="17" t="s">
        <v>45</v>
      </c>
      <c r="C17" s="18" t="s">
        <v>46</v>
      </c>
      <c r="D17" s="19" t="s">
        <v>47</v>
      </c>
      <c r="E17" s="20"/>
      <c r="F17" s="21">
        <f t="shared" si="0"/>
        <v>0</v>
      </c>
      <c r="G17" s="21">
        <f t="shared" si="1"/>
        <v>0</v>
      </c>
    </row>
    <row r="18" s="2" customFormat="1" ht="15.95" customHeight="1" spans="2:7">
      <c r="B18" s="17" t="s">
        <v>48</v>
      </c>
      <c r="C18" s="18" t="s">
        <v>49</v>
      </c>
      <c r="D18" s="19" t="s">
        <v>50</v>
      </c>
      <c r="E18" s="20"/>
      <c r="F18" s="21">
        <f t="shared" si="0"/>
        <v>0</v>
      </c>
      <c r="G18" s="21">
        <f t="shared" si="1"/>
        <v>0</v>
      </c>
    </row>
    <row r="19" s="2" customFormat="1" ht="15.95" customHeight="1" spans="2:7">
      <c r="B19" s="17" t="s">
        <v>51</v>
      </c>
      <c r="C19" s="18" t="s">
        <v>52</v>
      </c>
      <c r="D19" s="19" t="s">
        <v>53</v>
      </c>
      <c r="E19" s="20"/>
      <c r="F19" s="21">
        <f t="shared" si="0"/>
        <v>0</v>
      </c>
      <c r="G19" s="21">
        <f t="shared" si="1"/>
        <v>0</v>
      </c>
    </row>
    <row r="20" s="2" customFormat="1" ht="15.95" customHeight="1" spans="2:7">
      <c r="B20" s="17" t="s">
        <v>54</v>
      </c>
      <c r="C20" s="18" t="s">
        <v>55</v>
      </c>
      <c r="D20" s="19" t="s">
        <v>56</v>
      </c>
      <c r="E20" s="20"/>
      <c r="F20" s="21">
        <f t="shared" si="0"/>
        <v>0</v>
      </c>
      <c r="G20" s="21">
        <f t="shared" si="1"/>
        <v>0</v>
      </c>
    </row>
    <row r="21" s="2" customFormat="1" ht="15.75" customHeight="1" spans="2:7">
      <c r="B21" s="17" t="s">
        <v>57</v>
      </c>
      <c r="C21" s="18" t="s">
        <v>58</v>
      </c>
      <c r="D21" s="19" t="s">
        <v>59</v>
      </c>
      <c r="E21" s="20"/>
      <c r="F21" s="21">
        <f t="shared" si="0"/>
        <v>0</v>
      </c>
      <c r="G21" s="21">
        <f t="shared" si="1"/>
        <v>0</v>
      </c>
    </row>
  </sheetData>
  <sheetProtection autoFilter="0"/>
  <customSheetViews>
    <customSheetView guid="{28A42384-D1B8-456B-81AF-79E89D90D6C7}" fitToPage="1" showAutoFilter="1">
      <pane ySplit="3" topLeftCell="A4" activePane="bottomLeft" state="frozen"/>
      <selection activeCell="C7" sqref="C7"/>
      <pageMargins left="0.75" right="0.75" top="1" bottom="1" header="0.5" footer="0.5"/>
      <pageSetup paperSize="1" scale="72" orientation="landscape"/>
      <headerFooter alignWithMargins="0"/>
      <autoFilter ref="B3:K44"/>
    </customSheetView>
    <customSheetView guid="{5BD94CA9-ACD2-4055-9326-4B9089C58536}" fitToPage="1" showAutoFilter="1">
      <pane ySplit="3" topLeftCell="A4" activePane="bottomLeft" state="frozen"/>
      <selection activeCell="I5" sqref="I5"/>
      <pageMargins left="0.75" right="0.75" top="1" bottom="1" header="0.5" footer="0.5"/>
      <pageSetup paperSize="1" scale="72" orientation="landscape"/>
      <headerFooter alignWithMargins="0"/>
      <autoFilter ref="B3:K44"/>
    </customSheetView>
    <customSheetView guid="{047A8B8D-A82E-4E27-A70E-3231A544C5B9}" fitToPage="1" filter="1" showAutoFilter="1" topLeftCell="B1">
      <selection activeCell="J44" sqref="J44"/>
      <pageMargins left="0.75" right="0.75" top="1" bottom="1" header="0.5" footer="0.5"/>
      <pageSetup paperSize="1" scale="67" orientation="portrait"/>
      <headerFooter alignWithMargins="0"/>
      <autoFilter ref="B3:J45">
        <filterColumn colId="4">
          <customFilters>
            <customFilter operator="equal" val="Ingride"/>
          </customFilters>
        </filterColumn>
      </autoFilter>
    </customSheetView>
    <customSheetView guid="{42F37DA7-DFDA-47A3-AF7B-5F6CE094AED0}" fitToPage="1" showAutoFilter="1">
      <selection activeCell="H62" sqref="H62"/>
      <pageMargins left="0.75" right="0.75" top="1" bottom="1" header="0.5" footer="0.5"/>
      <pageSetup paperSize="1" scale="46" orientation="portrait"/>
      <headerFooter alignWithMargins="0"/>
      <autoFilter ref="B3:J43"/>
    </customSheetView>
    <customSheetView guid="{03BA3C8D-FE9F-417D-9C43-78A2313A0EE0}" fitToPage="1" showAutoFilter="1">
      <pane ySplit="3" topLeftCell="A4" activePane="bottomLeft" state="frozen"/>
      <selection activeCell="C7" sqref="C7"/>
      <pageMargins left="0.75" right="0.75" top="1" bottom="1" header="0.5" footer="0.5"/>
      <pageSetup paperSize="1" scale="72" orientation="landscape"/>
      <headerFooter alignWithMargins="0"/>
      <autoFilter ref="B3:K44"/>
    </customSheetView>
    <customSheetView guid="{A2E2361E-70C5-48B2-B3FF-6D2F12DA6BE0}" fitToPage="1" showAutoFilter="1">
      <pane ySplit="3" topLeftCell="A4" activePane="bottomLeft" state="frozen"/>
      <selection activeCell="C7" sqref="C7"/>
      <pageMargins left="0.75" right="0.75" top="1" bottom="1" header="0.5" footer="0.5"/>
      <pageSetup paperSize="1" scale="72" orientation="landscape"/>
      <headerFooter alignWithMargins="0"/>
      <autoFilter ref="B3:K44"/>
    </customSheetView>
  </customSheetViews>
  <mergeCells count="2">
    <mergeCell ref="B1:G1"/>
    <mergeCell ref="B2:G2"/>
  </mergeCells>
  <conditionalFormatting sqref="E3:E21">
    <cfRule type="cellIs" dxfId="0" priority="7" stopIfTrue="1" operator="equal">
      <formula>"Vencido!"</formula>
    </cfRule>
    <cfRule type="cellIs" dxfId="1" priority="8" stopIfTrue="1" operator="equal">
      <formula>"A1 Arquivo"</formula>
    </cfRule>
    <cfRule type="cellIs" dxfId="2" priority="38" stopIfTrue="1" operator="equal">
      <formula>"Processo"</formula>
    </cfRule>
    <cfRule type="cellIs" dxfId="0" priority="124" stopIfTrue="1" operator="equal">
      <formula>"Vencido"</formula>
    </cfRule>
    <cfRule type="cellIs" dxfId="3" priority="125" stopIfTrue="1" operator="equal">
      <formula>"A3 Cartão"</formula>
    </cfRule>
    <cfRule type="cellIs" dxfId="1" priority="126" stopIfTrue="1" operator="equal">
      <formula>"A1"</formula>
    </cfRule>
    <cfRule type="cellIs" dxfId="0" priority="127" stopIfTrue="1" operator="equal">
      <formula>"VENC. A1"</formula>
    </cfRule>
    <cfRule type="cellIs" dxfId="4" priority="128" stopIfTrue="1" operator="equal">
      <formula>"SM A1"</formula>
    </cfRule>
    <cfRule type="cellIs" dxfId="2" priority="130" stopIfTrue="1" operator="equal">
      <formula>"SM"</formula>
    </cfRule>
  </conditionalFormatting>
  <conditionalFormatting sqref="G3:G21">
    <cfRule type="cellIs" dxfId="2" priority="183" stopIfTrue="1" operator="equal">
      <formula>"Recebido"</formula>
    </cfRule>
    <cfRule type="cellIs" dxfId="0" priority="184" stopIfTrue="1" operator="equal">
      <formula>"Recebido!"</formula>
    </cfRule>
    <cfRule type="cellIs" dxfId="0" priority="201" stopIfTrue="1" operator="lessThan">
      <formula>0</formula>
    </cfRule>
    <cfRule type="cellIs" dxfId="1" priority="231" stopIfTrue="1" operator="equal">
      <formula>"Fortes Doc"</formula>
    </cfRule>
    <cfRule type="cellIs" dxfId="0" priority="235" stopIfTrue="1" operator="equal">
      <formula>"Pendente"</formula>
    </cfRule>
    <cfRule type="cellIs" dxfId="1" priority="236" stopIfTrue="1" operator="equal">
      <formula>"Vinculado!"</formula>
    </cfRule>
    <cfRule type="cellIs" dxfId="0" priority="239" stopIfTrue="1" operator="equal">
      <formula>"Vencido"</formula>
    </cfRule>
    <cfRule type="cellIs" dxfId="1" priority="241" stopIfTrue="1" operator="equal">
      <formula>"A1"</formula>
    </cfRule>
    <cfRule type="cellIs" dxfId="0" priority="242" stopIfTrue="1" operator="equal">
      <formula>"VENC. A1"</formula>
    </cfRule>
    <cfRule type="cellIs" dxfId="4" priority="243" stopIfTrue="1" operator="equal">
      <formula>"SM A1"</formula>
    </cfRule>
    <cfRule type="cellIs" dxfId="1" priority="244" stopIfTrue="1" operator="equal">
      <formula>"ok"</formula>
    </cfRule>
    <cfRule type="cellIs" dxfId="2" priority="245" stopIfTrue="1" operator="equal">
      <formula>"SM"</formula>
    </cfRule>
  </conditionalFormatting>
  <conditionalFormatting sqref="E3:F21">
    <cfRule type="cellIs" dxfId="1" priority="129" stopIfTrue="1" operator="equal">
      <formula>"ok"</formula>
    </cfRule>
  </conditionalFormatting>
  <conditionalFormatting sqref="E3:G21">
    <cfRule type="cellIs" dxfId="0" priority="93" stopIfTrue="1" operator="equal">
      <formula>"Processo"</formula>
    </cfRule>
    <cfRule type="cellIs" dxfId="1" priority="109" stopIfTrue="1" operator="equal">
      <formula>"ok"</formula>
    </cfRule>
  </conditionalFormatting>
  <conditionalFormatting sqref="G3:G21;E3:E21">
    <cfRule type="cellIs" dxfId="1" priority="202" stopIfTrue="1" operator="equal">
      <formula>"Realizado!"</formula>
    </cfRule>
  </conditionalFormatting>
  <conditionalFormatting sqref="F3:G21">
    <cfRule type="cellIs" dxfId="5" priority="37" operator="lessThan">
      <formula>0</formula>
    </cfRule>
    <cfRule type="cellIs" dxfId="0" priority="174" stopIfTrue="1" operator="equal">
      <formula>"Recebido"</formula>
    </cfRule>
  </conditionalFormatting>
  <pageMargins left="0.75" right="0.75" top="1" bottom="1" header="0.5" footer="0.5"/>
  <pageSetup paperSize="9" scale="64" orientation="landscape"/>
  <headerFooter alignWithMargins="0"/>
  <ignoredErrors>
    <ignoredError sqref="D14 D5 D18:D20 D16 D9:D12 B4:B21" numberStoredAsText="1"/>
  </ignoredError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jl083</cp:lastModifiedBy>
  <dcterms:created xsi:type="dcterms:W3CDTF">2024-07-12T20:18:00Z</dcterms:created>
  <cp:lastPrinted>2025-03-18T17:06:00Z</cp:lastPrinted>
  <dcterms:modified xsi:type="dcterms:W3CDTF">2026-06-10T23:26:52Z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9C756FE048504FDEB47E6E9CFE6654E4_12</vt:lpwstr>
  </property>
  <property fmtid="{D5CDD505-2E9C-101B-9397-08002B2CF9AE}" pid="3" name="KSOProductBuildVer">
    <vt:lpwstr>1046-12.2.0.23202</vt:lpwstr>
  </property>
</Properties>
</file>