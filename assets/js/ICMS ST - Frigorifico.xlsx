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lson\Desktop\"/>
    </mc:Choice>
  </mc:AlternateContent>
  <xr:revisionPtr revIDLastSave="0" documentId="13_ncr:1_{FAE2D18F-DBE4-4A53-82E6-A8BFFE196397}" xr6:coauthVersionLast="47" xr6:coauthVersionMax="47" xr10:uidLastSave="{00000000-0000-0000-0000-000000000000}"/>
  <bookViews>
    <workbookView xWindow="-120" yWindow="-120" windowWidth="24240" windowHeight="13140" activeTab="5" xr2:uid="{00000000-000D-0000-FFFF-FFFF00000000}"/>
  </bookViews>
  <sheets>
    <sheet name="Aliquota 1,54%" sheetId="1" r:id="rId1"/>
    <sheet name="Aliquota 1,54% FRI" sheetId="7" r:id="rId2"/>
    <sheet name="Aliquota 4%" sheetId="3" r:id="rId3"/>
    <sheet name="Aliquota 7%" sheetId="4" r:id="rId4"/>
    <sheet name="Aliquota 7% FRI" sheetId="8" r:id="rId5"/>
    <sheet name="ICMS ST 1104" sheetId="6" r:id="rId6"/>
  </sheets>
  <definedNames>
    <definedName name="_xlnm.Print_Area" localSheetId="5">'ICMS ST 1104'!$B$1:$D$31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" i="8" l="1"/>
  <c r="B15" i="6" s="1"/>
  <c r="D15" i="6" s="1"/>
  <c r="V1" i="7"/>
  <c r="B14" i="6" s="1"/>
  <c r="D14" i="6" s="1"/>
  <c r="D16" i="6"/>
  <c r="S1000" i="8"/>
  <c r="S999" i="8"/>
  <c r="S998" i="8"/>
  <c r="S997" i="8"/>
  <c r="S996" i="8"/>
  <c r="S995" i="8"/>
  <c r="S994" i="8"/>
  <c r="S993" i="8"/>
  <c r="S992" i="8"/>
  <c r="S991" i="8"/>
  <c r="S990" i="8"/>
  <c r="S989" i="8"/>
  <c r="S988" i="8"/>
  <c r="S987" i="8"/>
  <c r="S986" i="8"/>
  <c r="S985" i="8"/>
  <c r="S984" i="8"/>
  <c r="S983" i="8"/>
  <c r="S982" i="8"/>
  <c r="S981" i="8"/>
  <c r="S980" i="8"/>
  <c r="S979" i="8"/>
  <c r="S978" i="8"/>
  <c r="S977" i="8"/>
  <c r="S976" i="8"/>
  <c r="S975" i="8"/>
  <c r="S974" i="8"/>
  <c r="S973" i="8"/>
  <c r="S972" i="8"/>
  <c r="S971" i="8"/>
  <c r="S970" i="8"/>
  <c r="S969" i="8"/>
  <c r="S968" i="8"/>
  <c r="S967" i="8"/>
  <c r="S966" i="8"/>
  <c r="S965" i="8"/>
  <c r="S964" i="8"/>
  <c r="S963" i="8"/>
  <c r="S962" i="8"/>
  <c r="S961" i="8"/>
  <c r="S960" i="8"/>
  <c r="S959" i="8"/>
  <c r="S958" i="8"/>
  <c r="S957" i="8"/>
  <c r="S956" i="8"/>
  <c r="S955" i="8"/>
  <c r="S954" i="8"/>
  <c r="S953" i="8"/>
  <c r="S952" i="8"/>
  <c r="S951" i="8"/>
  <c r="S950" i="8"/>
  <c r="S949" i="8"/>
  <c r="S948" i="8"/>
  <c r="S947" i="8"/>
  <c r="S946" i="8"/>
  <c r="S945" i="8"/>
  <c r="S944" i="8"/>
  <c r="S943" i="8"/>
  <c r="S942" i="8"/>
  <c r="S941" i="8"/>
  <c r="S940" i="8"/>
  <c r="S939" i="8"/>
  <c r="S938" i="8"/>
  <c r="S937" i="8"/>
  <c r="S936" i="8"/>
  <c r="S935" i="8"/>
  <c r="S934" i="8"/>
  <c r="S933" i="8"/>
  <c r="S932" i="8"/>
  <c r="S931" i="8"/>
  <c r="S930" i="8"/>
  <c r="S929" i="8"/>
  <c r="S928" i="8"/>
  <c r="S927" i="8"/>
  <c r="S926" i="8"/>
  <c r="S925" i="8"/>
  <c r="S924" i="8"/>
  <c r="S923" i="8"/>
  <c r="S922" i="8"/>
  <c r="S921" i="8"/>
  <c r="S920" i="8"/>
  <c r="S919" i="8"/>
  <c r="S918" i="8"/>
  <c r="S917" i="8"/>
  <c r="S916" i="8"/>
  <c r="S915" i="8"/>
  <c r="S914" i="8"/>
  <c r="S913" i="8"/>
  <c r="S912" i="8"/>
  <c r="S911" i="8"/>
  <c r="S910" i="8"/>
  <c r="S909" i="8"/>
  <c r="S908" i="8"/>
  <c r="S907" i="8"/>
  <c r="S906" i="8"/>
  <c r="S905" i="8"/>
  <c r="S904" i="8"/>
  <c r="S903" i="8"/>
  <c r="S902" i="8"/>
  <c r="S901" i="8"/>
  <c r="S900" i="8"/>
  <c r="S899" i="8"/>
  <c r="S898" i="8"/>
  <c r="S897" i="8"/>
  <c r="S896" i="8"/>
  <c r="S895" i="8"/>
  <c r="S894" i="8"/>
  <c r="S893" i="8"/>
  <c r="S892" i="8"/>
  <c r="S891" i="8"/>
  <c r="S890" i="8"/>
  <c r="S889" i="8"/>
  <c r="S888" i="8"/>
  <c r="S887" i="8"/>
  <c r="S886" i="8"/>
  <c r="S885" i="8"/>
  <c r="S884" i="8"/>
  <c r="S883" i="8"/>
  <c r="S882" i="8"/>
  <c r="S881" i="8"/>
  <c r="S880" i="8"/>
  <c r="S879" i="8"/>
  <c r="S878" i="8"/>
  <c r="S877" i="8"/>
  <c r="S876" i="8"/>
  <c r="S875" i="8"/>
  <c r="S874" i="8"/>
  <c r="S873" i="8"/>
  <c r="S872" i="8"/>
  <c r="S871" i="8"/>
  <c r="S870" i="8"/>
  <c r="S869" i="8"/>
  <c r="S868" i="8"/>
  <c r="S867" i="8"/>
  <c r="S866" i="8"/>
  <c r="S865" i="8"/>
  <c r="S864" i="8"/>
  <c r="S863" i="8"/>
  <c r="S862" i="8"/>
  <c r="S861" i="8"/>
  <c r="S860" i="8"/>
  <c r="S859" i="8"/>
  <c r="S858" i="8"/>
  <c r="S857" i="8"/>
  <c r="S856" i="8"/>
  <c r="S855" i="8"/>
  <c r="S854" i="8"/>
  <c r="S853" i="8"/>
  <c r="S852" i="8"/>
  <c r="S851" i="8"/>
  <c r="S850" i="8"/>
  <c r="S849" i="8"/>
  <c r="S848" i="8"/>
  <c r="S847" i="8"/>
  <c r="S846" i="8"/>
  <c r="S845" i="8"/>
  <c r="S844" i="8"/>
  <c r="S843" i="8"/>
  <c r="S842" i="8"/>
  <c r="S841" i="8"/>
  <c r="S840" i="8"/>
  <c r="S839" i="8"/>
  <c r="S838" i="8"/>
  <c r="S837" i="8"/>
  <c r="S836" i="8"/>
  <c r="S835" i="8"/>
  <c r="S834" i="8"/>
  <c r="S833" i="8"/>
  <c r="S832" i="8"/>
  <c r="S831" i="8"/>
  <c r="S830" i="8"/>
  <c r="S829" i="8"/>
  <c r="S828" i="8"/>
  <c r="S827" i="8"/>
  <c r="S826" i="8"/>
  <c r="S825" i="8"/>
  <c r="S824" i="8"/>
  <c r="S823" i="8"/>
  <c r="S822" i="8"/>
  <c r="S821" i="8"/>
  <c r="S820" i="8"/>
  <c r="S819" i="8"/>
  <c r="S818" i="8"/>
  <c r="S817" i="8"/>
  <c r="S816" i="8"/>
  <c r="S815" i="8"/>
  <c r="S814" i="8"/>
  <c r="S813" i="8"/>
  <c r="S812" i="8"/>
  <c r="S811" i="8"/>
  <c r="S810" i="8"/>
  <c r="S809" i="8"/>
  <c r="S808" i="8"/>
  <c r="S807" i="8"/>
  <c r="S806" i="8"/>
  <c r="S805" i="8"/>
  <c r="S804" i="8"/>
  <c r="S803" i="8"/>
  <c r="S802" i="8"/>
  <c r="S801" i="8"/>
  <c r="S800" i="8"/>
  <c r="S799" i="8"/>
  <c r="S798" i="8"/>
  <c r="S797" i="8"/>
  <c r="S796" i="8"/>
  <c r="S795" i="8"/>
  <c r="S794" i="8"/>
  <c r="S793" i="8"/>
  <c r="S792" i="8"/>
  <c r="S791" i="8"/>
  <c r="S790" i="8"/>
  <c r="S789" i="8"/>
  <c r="S788" i="8"/>
  <c r="S787" i="8"/>
  <c r="S786" i="8"/>
  <c r="S785" i="8"/>
  <c r="S784" i="8"/>
  <c r="S783" i="8"/>
  <c r="S782" i="8"/>
  <c r="S781" i="8"/>
  <c r="S780" i="8"/>
  <c r="S779" i="8"/>
  <c r="S778" i="8"/>
  <c r="S777" i="8"/>
  <c r="S776" i="8"/>
  <c r="S775" i="8"/>
  <c r="S774" i="8"/>
  <c r="S773" i="8"/>
  <c r="S772" i="8"/>
  <c r="S771" i="8"/>
  <c r="S770" i="8"/>
  <c r="S769" i="8"/>
  <c r="S768" i="8"/>
  <c r="S767" i="8"/>
  <c r="S766" i="8"/>
  <c r="S765" i="8"/>
  <c r="S764" i="8"/>
  <c r="S763" i="8"/>
  <c r="S762" i="8"/>
  <c r="S761" i="8"/>
  <c r="S760" i="8"/>
  <c r="S759" i="8"/>
  <c r="S758" i="8"/>
  <c r="S757" i="8"/>
  <c r="S756" i="8"/>
  <c r="S755" i="8"/>
  <c r="S754" i="8"/>
  <c r="S753" i="8"/>
  <c r="S752" i="8"/>
  <c r="S751" i="8"/>
  <c r="S750" i="8"/>
  <c r="S749" i="8"/>
  <c r="S748" i="8"/>
  <c r="S747" i="8"/>
  <c r="S746" i="8"/>
  <c r="S745" i="8"/>
  <c r="S744" i="8"/>
  <c r="S743" i="8"/>
  <c r="S742" i="8"/>
  <c r="S741" i="8"/>
  <c r="S740" i="8"/>
  <c r="S739" i="8"/>
  <c r="S738" i="8"/>
  <c r="S737" i="8"/>
  <c r="S736" i="8"/>
  <c r="S735" i="8"/>
  <c r="S734" i="8"/>
  <c r="S733" i="8"/>
  <c r="S732" i="8"/>
  <c r="S731" i="8"/>
  <c r="S730" i="8"/>
  <c r="S729" i="8"/>
  <c r="S728" i="8"/>
  <c r="S727" i="8"/>
  <c r="S726" i="8"/>
  <c r="S725" i="8"/>
  <c r="S724" i="8"/>
  <c r="S723" i="8"/>
  <c r="S722" i="8"/>
  <c r="S721" i="8"/>
  <c r="S720" i="8"/>
  <c r="S719" i="8"/>
  <c r="S718" i="8"/>
  <c r="S717" i="8"/>
  <c r="S716" i="8"/>
  <c r="S715" i="8"/>
  <c r="S714" i="8"/>
  <c r="S713" i="8"/>
  <c r="S712" i="8"/>
  <c r="S711" i="8"/>
  <c r="S710" i="8"/>
  <c r="S709" i="8"/>
  <c r="S708" i="8"/>
  <c r="S707" i="8"/>
  <c r="S706" i="8"/>
  <c r="S705" i="8"/>
  <c r="S704" i="8"/>
  <c r="S703" i="8"/>
  <c r="S702" i="8"/>
  <c r="S701" i="8"/>
  <c r="S700" i="8"/>
  <c r="S699" i="8"/>
  <c r="S698" i="8"/>
  <c r="S697" i="8"/>
  <c r="S696" i="8"/>
  <c r="S695" i="8"/>
  <c r="S694" i="8"/>
  <c r="S693" i="8"/>
  <c r="S692" i="8"/>
  <c r="S691" i="8"/>
  <c r="S690" i="8"/>
  <c r="S689" i="8"/>
  <c r="S688" i="8"/>
  <c r="S687" i="8"/>
  <c r="S686" i="8"/>
  <c r="S685" i="8"/>
  <c r="S684" i="8"/>
  <c r="S683" i="8"/>
  <c r="S682" i="8"/>
  <c r="S681" i="8"/>
  <c r="S680" i="8"/>
  <c r="S679" i="8"/>
  <c r="S678" i="8"/>
  <c r="S677" i="8"/>
  <c r="S676" i="8"/>
  <c r="S675" i="8"/>
  <c r="S674" i="8"/>
  <c r="S673" i="8"/>
  <c r="S672" i="8"/>
  <c r="S671" i="8"/>
  <c r="S670" i="8"/>
  <c r="S669" i="8"/>
  <c r="S668" i="8"/>
  <c r="S667" i="8"/>
  <c r="S666" i="8"/>
  <c r="S665" i="8"/>
  <c r="S664" i="8"/>
  <c r="S663" i="8"/>
  <c r="S662" i="8"/>
  <c r="S661" i="8"/>
  <c r="S660" i="8"/>
  <c r="S659" i="8"/>
  <c r="S658" i="8"/>
  <c r="S657" i="8"/>
  <c r="S656" i="8"/>
  <c r="S655" i="8"/>
  <c r="S654" i="8"/>
  <c r="S653" i="8"/>
  <c r="S652" i="8"/>
  <c r="S651" i="8"/>
  <c r="S650" i="8"/>
  <c r="S649" i="8"/>
  <c r="S648" i="8"/>
  <c r="S647" i="8"/>
  <c r="S646" i="8"/>
  <c r="S645" i="8"/>
  <c r="S644" i="8"/>
  <c r="S643" i="8"/>
  <c r="S642" i="8"/>
  <c r="S641" i="8"/>
  <c r="S640" i="8"/>
  <c r="S639" i="8"/>
  <c r="S638" i="8"/>
  <c r="S637" i="8"/>
  <c r="S636" i="8"/>
  <c r="S635" i="8"/>
  <c r="S634" i="8"/>
  <c r="S633" i="8"/>
  <c r="S632" i="8"/>
  <c r="S631" i="8"/>
  <c r="S630" i="8"/>
  <c r="S629" i="8"/>
  <c r="S628" i="8"/>
  <c r="S627" i="8"/>
  <c r="S626" i="8"/>
  <c r="S625" i="8"/>
  <c r="S624" i="8"/>
  <c r="S623" i="8"/>
  <c r="S622" i="8"/>
  <c r="S621" i="8"/>
  <c r="S620" i="8"/>
  <c r="S619" i="8"/>
  <c r="S618" i="8"/>
  <c r="S617" i="8"/>
  <c r="S616" i="8"/>
  <c r="S615" i="8"/>
  <c r="S614" i="8"/>
  <c r="S613" i="8"/>
  <c r="S612" i="8"/>
  <c r="S611" i="8"/>
  <c r="S610" i="8"/>
  <c r="S609" i="8"/>
  <c r="S608" i="8"/>
  <c r="S607" i="8"/>
  <c r="S606" i="8"/>
  <c r="S605" i="8"/>
  <c r="S604" i="8"/>
  <c r="S603" i="8"/>
  <c r="S602" i="8"/>
  <c r="S601" i="8"/>
  <c r="S600" i="8"/>
  <c r="S599" i="8"/>
  <c r="S598" i="8"/>
  <c r="S597" i="8"/>
  <c r="S596" i="8"/>
  <c r="S595" i="8"/>
  <c r="S594" i="8"/>
  <c r="S593" i="8"/>
  <c r="S592" i="8"/>
  <c r="S591" i="8"/>
  <c r="S590" i="8"/>
  <c r="S589" i="8"/>
  <c r="S588" i="8"/>
  <c r="S587" i="8"/>
  <c r="S586" i="8"/>
  <c r="S585" i="8"/>
  <c r="S584" i="8"/>
  <c r="S583" i="8"/>
  <c r="S582" i="8"/>
  <c r="S581" i="8"/>
  <c r="S580" i="8"/>
  <c r="S579" i="8"/>
  <c r="S578" i="8"/>
  <c r="S577" i="8"/>
  <c r="S576" i="8"/>
  <c r="S575" i="8"/>
  <c r="S574" i="8"/>
  <c r="S573" i="8"/>
  <c r="S572" i="8"/>
  <c r="S571" i="8"/>
  <c r="S570" i="8"/>
  <c r="S569" i="8"/>
  <c r="S568" i="8"/>
  <c r="S567" i="8"/>
  <c r="S566" i="8"/>
  <c r="S565" i="8"/>
  <c r="S564" i="8"/>
  <c r="S563" i="8"/>
  <c r="S562" i="8"/>
  <c r="S561" i="8"/>
  <c r="S560" i="8"/>
  <c r="S559" i="8"/>
  <c r="S558" i="8"/>
  <c r="S557" i="8"/>
  <c r="S556" i="8"/>
  <c r="S555" i="8"/>
  <c r="S554" i="8"/>
  <c r="S553" i="8"/>
  <c r="S552" i="8"/>
  <c r="S551" i="8"/>
  <c r="S550" i="8"/>
  <c r="S549" i="8"/>
  <c r="S548" i="8"/>
  <c r="S547" i="8"/>
  <c r="S546" i="8"/>
  <c r="S545" i="8"/>
  <c r="S544" i="8"/>
  <c r="S543" i="8"/>
  <c r="S542" i="8"/>
  <c r="S541" i="8"/>
  <c r="S540" i="8"/>
  <c r="S539" i="8"/>
  <c r="S538" i="8"/>
  <c r="S537" i="8"/>
  <c r="S536" i="8"/>
  <c r="S535" i="8"/>
  <c r="S534" i="8"/>
  <c r="S533" i="8"/>
  <c r="S532" i="8"/>
  <c r="S531" i="8"/>
  <c r="S530" i="8"/>
  <c r="S529" i="8"/>
  <c r="S528" i="8"/>
  <c r="S527" i="8"/>
  <c r="S526" i="8"/>
  <c r="S525" i="8"/>
  <c r="S524" i="8"/>
  <c r="S523" i="8"/>
  <c r="S522" i="8"/>
  <c r="S521" i="8"/>
  <c r="S520" i="8"/>
  <c r="S519" i="8"/>
  <c r="S518" i="8"/>
  <c r="S517" i="8"/>
  <c r="S516" i="8"/>
  <c r="S515" i="8"/>
  <c r="S514" i="8"/>
  <c r="S513" i="8"/>
  <c r="S512" i="8"/>
  <c r="S511" i="8"/>
  <c r="S510" i="8"/>
  <c r="S509" i="8"/>
  <c r="S508" i="8"/>
  <c r="S507" i="8"/>
  <c r="S506" i="8"/>
  <c r="S505" i="8"/>
  <c r="S504" i="8"/>
  <c r="S503" i="8"/>
  <c r="S502" i="8"/>
  <c r="S501" i="8"/>
  <c r="S500" i="8"/>
  <c r="S499" i="8"/>
  <c r="S498" i="8"/>
  <c r="S497" i="8"/>
  <c r="S496" i="8"/>
  <c r="S495" i="8"/>
  <c r="S494" i="8"/>
  <c r="S493" i="8"/>
  <c r="S492" i="8"/>
  <c r="S491" i="8"/>
  <c r="S490" i="8"/>
  <c r="S489" i="8"/>
  <c r="S488" i="8"/>
  <c r="S487" i="8"/>
  <c r="S486" i="8"/>
  <c r="S485" i="8"/>
  <c r="S484" i="8"/>
  <c r="S483" i="8"/>
  <c r="S482" i="8"/>
  <c r="S481" i="8"/>
  <c r="S480" i="8"/>
  <c r="S479" i="8"/>
  <c r="S478" i="8"/>
  <c r="S477" i="8"/>
  <c r="S476" i="8"/>
  <c r="S475" i="8"/>
  <c r="S474" i="8"/>
  <c r="S473" i="8"/>
  <c r="S472" i="8"/>
  <c r="S471" i="8"/>
  <c r="S470" i="8"/>
  <c r="S469" i="8"/>
  <c r="S468" i="8"/>
  <c r="S467" i="8"/>
  <c r="S466" i="8"/>
  <c r="S465" i="8"/>
  <c r="S464" i="8"/>
  <c r="S463" i="8"/>
  <c r="S462" i="8"/>
  <c r="S461" i="8"/>
  <c r="S460" i="8"/>
  <c r="S459" i="8"/>
  <c r="S458" i="8"/>
  <c r="S457" i="8"/>
  <c r="S456" i="8"/>
  <c r="S455" i="8"/>
  <c r="S454" i="8"/>
  <c r="S453" i="8"/>
  <c r="S452" i="8"/>
  <c r="S451" i="8"/>
  <c r="S450" i="8"/>
  <c r="S449" i="8"/>
  <c r="S448" i="8"/>
  <c r="S447" i="8"/>
  <c r="S446" i="8"/>
  <c r="S445" i="8"/>
  <c r="S444" i="8"/>
  <c r="S443" i="8"/>
  <c r="S442" i="8"/>
  <c r="S441" i="8"/>
  <c r="S440" i="8"/>
  <c r="S439" i="8"/>
  <c r="S438" i="8"/>
  <c r="S437" i="8"/>
  <c r="S436" i="8"/>
  <c r="S435" i="8"/>
  <c r="S434" i="8"/>
  <c r="S433" i="8"/>
  <c r="S432" i="8"/>
  <c r="S431" i="8"/>
  <c r="S430" i="8"/>
  <c r="S429" i="8"/>
  <c r="S428" i="8"/>
  <c r="S427" i="8"/>
  <c r="S426" i="8"/>
  <c r="S425" i="8"/>
  <c r="S424" i="8"/>
  <c r="S423" i="8"/>
  <c r="S422" i="8"/>
  <c r="S421" i="8"/>
  <c r="S420" i="8"/>
  <c r="S419" i="8"/>
  <c r="S418" i="8"/>
  <c r="S417" i="8"/>
  <c r="S416" i="8"/>
  <c r="S415" i="8"/>
  <c r="S414" i="8"/>
  <c r="S413" i="8"/>
  <c r="S412" i="8"/>
  <c r="S411" i="8"/>
  <c r="S410" i="8"/>
  <c r="S409" i="8"/>
  <c r="S408" i="8"/>
  <c r="S407" i="8"/>
  <c r="S406" i="8"/>
  <c r="S405" i="8"/>
  <c r="S404" i="8"/>
  <c r="S403" i="8"/>
  <c r="S402" i="8"/>
  <c r="S401" i="8"/>
  <c r="S400" i="8"/>
  <c r="S399" i="8"/>
  <c r="S398" i="8"/>
  <c r="S397" i="8"/>
  <c r="S396" i="8"/>
  <c r="S395" i="8"/>
  <c r="S394" i="8"/>
  <c r="S393" i="8"/>
  <c r="S392" i="8"/>
  <c r="S391" i="8"/>
  <c r="S390" i="8"/>
  <c r="S389" i="8"/>
  <c r="S388" i="8"/>
  <c r="S387" i="8"/>
  <c r="S386" i="8"/>
  <c r="S385" i="8"/>
  <c r="S384" i="8"/>
  <c r="S383" i="8"/>
  <c r="S382" i="8"/>
  <c r="S381" i="8"/>
  <c r="S380" i="8"/>
  <c r="S379" i="8"/>
  <c r="S378" i="8"/>
  <c r="S377" i="8"/>
  <c r="S376" i="8"/>
  <c r="S375" i="8"/>
  <c r="S374" i="8"/>
  <c r="S373" i="8"/>
  <c r="S372" i="8"/>
  <c r="S371" i="8"/>
  <c r="S370" i="8"/>
  <c r="S369" i="8"/>
  <c r="S368" i="8"/>
  <c r="S367" i="8"/>
  <c r="S366" i="8"/>
  <c r="S365" i="8"/>
  <c r="S364" i="8"/>
  <c r="S363" i="8"/>
  <c r="S362" i="8"/>
  <c r="S361" i="8"/>
  <c r="S360" i="8"/>
  <c r="S359" i="8"/>
  <c r="S358" i="8"/>
  <c r="S357" i="8"/>
  <c r="S356" i="8"/>
  <c r="S355" i="8"/>
  <c r="S354" i="8"/>
  <c r="S353" i="8"/>
  <c r="S352" i="8"/>
  <c r="S351" i="8"/>
  <c r="S350" i="8"/>
  <c r="S349" i="8"/>
  <c r="S348" i="8"/>
  <c r="S347" i="8"/>
  <c r="S346" i="8"/>
  <c r="S345" i="8"/>
  <c r="S344" i="8"/>
  <c r="S343" i="8"/>
  <c r="S342" i="8"/>
  <c r="S341" i="8"/>
  <c r="S340" i="8"/>
  <c r="S339" i="8"/>
  <c r="S338" i="8"/>
  <c r="S337" i="8"/>
  <c r="S336" i="8"/>
  <c r="S335" i="8"/>
  <c r="S334" i="8"/>
  <c r="S333" i="8"/>
  <c r="S332" i="8"/>
  <c r="S331" i="8"/>
  <c r="S330" i="8"/>
  <c r="S329" i="8"/>
  <c r="S328" i="8"/>
  <c r="S327" i="8"/>
  <c r="S326" i="8"/>
  <c r="S325" i="8"/>
  <c r="S324" i="8"/>
  <c r="S323" i="8"/>
  <c r="S322" i="8"/>
  <c r="S321" i="8"/>
  <c r="S320" i="8"/>
  <c r="S319" i="8"/>
  <c r="S318" i="8"/>
  <c r="S317" i="8"/>
  <c r="S316" i="8"/>
  <c r="S315" i="8"/>
  <c r="S314" i="8"/>
  <c r="S313" i="8"/>
  <c r="S312" i="8"/>
  <c r="S311" i="8"/>
  <c r="S310" i="8"/>
  <c r="S309" i="8"/>
  <c r="S308" i="8"/>
  <c r="S307" i="8"/>
  <c r="S306" i="8"/>
  <c r="S305" i="8"/>
  <c r="S304" i="8"/>
  <c r="S303" i="8"/>
  <c r="S302" i="8"/>
  <c r="S301" i="8"/>
  <c r="S300" i="8"/>
  <c r="S299" i="8"/>
  <c r="S298" i="8"/>
  <c r="S297" i="8"/>
  <c r="S296" i="8"/>
  <c r="S295" i="8"/>
  <c r="S294" i="8"/>
  <c r="S293" i="8"/>
  <c r="S292" i="8"/>
  <c r="S291" i="8"/>
  <c r="S290" i="8"/>
  <c r="S289" i="8"/>
  <c r="S288" i="8"/>
  <c r="S287" i="8"/>
  <c r="S286" i="8"/>
  <c r="S285" i="8"/>
  <c r="S284" i="8"/>
  <c r="S283" i="8"/>
  <c r="S282" i="8"/>
  <c r="S281" i="8"/>
  <c r="S280" i="8"/>
  <c r="S279" i="8"/>
  <c r="S278" i="8"/>
  <c r="S277" i="8"/>
  <c r="S276" i="8"/>
  <c r="S275" i="8"/>
  <c r="S274" i="8"/>
  <c r="S273" i="8"/>
  <c r="S272" i="8"/>
  <c r="S271" i="8"/>
  <c r="S270" i="8"/>
  <c r="S269" i="8"/>
  <c r="S268" i="8"/>
  <c r="S267" i="8"/>
  <c r="S266" i="8"/>
  <c r="S265" i="8"/>
  <c r="S264" i="8"/>
  <c r="S263" i="8"/>
  <c r="S262" i="8"/>
  <c r="S261" i="8"/>
  <c r="S260" i="8"/>
  <c r="S259" i="8"/>
  <c r="S258" i="8"/>
  <c r="S257" i="8"/>
  <c r="S256" i="8"/>
  <c r="S255" i="8"/>
  <c r="S254" i="8"/>
  <c r="S253" i="8"/>
  <c r="S252" i="8"/>
  <c r="S251" i="8"/>
  <c r="S250" i="8"/>
  <c r="S249" i="8"/>
  <c r="S248" i="8"/>
  <c r="S247" i="8"/>
  <c r="S246" i="8"/>
  <c r="S245" i="8"/>
  <c r="S244" i="8"/>
  <c r="S243" i="8"/>
  <c r="S242" i="8"/>
  <c r="S241" i="8"/>
  <c r="S240" i="8"/>
  <c r="S239" i="8"/>
  <c r="S238" i="8"/>
  <c r="S237" i="8"/>
  <c r="S236" i="8"/>
  <c r="S235" i="8"/>
  <c r="S234" i="8"/>
  <c r="S233" i="8"/>
  <c r="S232" i="8"/>
  <c r="S231" i="8"/>
  <c r="S230" i="8"/>
  <c r="S229" i="8"/>
  <c r="S228" i="8"/>
  <c r="S227" i="8"/>
  <c r="S226" i="8"/>
  <c r="S225" i="8"/>
  <c r="S224" i="8"/>
  <c r="S223" i="8"/>
  <c r="S222" i="8"/>
  <c r="S221" i="8"/>
  <c r="S220" i="8"/>
  <c r="S219" i="8"/>
  <c r="S218" i="8"/>
  <c r="S217" i="8"/>
  <c r="S216" i="8"/>
  <c r="S215" i="8"/>
  <c r="S214" i="8"/>
  <c r="S213" i="8"/>
  <c r="S21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S181" i="8"/>
  <c r="S180" i="8"/>
  <c r="S179" i="8"/>
  <c r="S178" i="8"/>
  <c r="S177" i="8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S147" i="8"/>
  <c r="S146" i="8"/>
  <c r="S145" i="8"/>
  <c r="S144" i="8"/>
  <c r="S143" i="8"/>
  <c r="S142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S112" i="8"/>
  <c r="S111" i="8"/>
  <c r="S110" i="8"/>
  <c r="S109" i="8"/>
  <c r="S108" i="8"/>
  <c r="S107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S77" i="8"/>
  <c r="S76" i="8"/>
  <c r="S75" i="8"/>
  <c r="S74" i="8"/>
  <c r="S73" i="8"/>
  <c r="S72" i="8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S3" i="8"/>
  <c r="S2" i="8"/>
  <c r="U1" i="8"/>
  <c r="S1000" i="7"/>
  <c r="S999" i="7"/>
  <c r="S998" i="7"/>
  <c r="S997" i="7"/>
  <c r="S996" i="7"/>
  <c r="S995" i="7"/>
  <c r="S994" i="7"/>
  <c r="S993" i="7"/>
  <c r="S992" i="7"/>
  <c r="S991" i="7"/>
  <c r="S990" i="7"/>
  <c r="S989" i="7"/>
  <c r="S988" i="7"/>
  <c r="S987" i="7"/>
  <c r="S986" i="7"/>
  <c r="S985" i="7"/>
  <c r="S984" i="7"/>
  <c r="S983" i="7"/>
  <c r="S982" i="7"/>
  <c r="S981" i="7"/>
  <c r="S980" i="7"/>
  <c r="S979" i="7"/>
  <c r="S978" i="7"/>
  <c r="S977" i="7"/>
  <c r="S976" i="7"/>
  <c r="S975" i="7"/>
  <c r="S974" i="7"/>
  <c r="S973" i="7"/>
  <c r="S972" i="7"/>
  <c r="S971" i="7"/>
  <c r="S970" i="7"/>
  <c r="S969" i="7"/>
  <c r="S968" i="7"/>
  <c r="S967" i="7"/>
  <c r="S966" i="7"/>
  <c r="S965" i="7"/>
  <c r="S964" i="7"/>
  <c r="S963" i="7"/>
  <c r="S962" i="7"/>
  <c r="S961" i="7"/>
  <c r="S960" i="7"/>
  <c r="S959" i="7"/>
  <c r="S958" i="7"/>
  <c r="S957" i="7"/>
  <c r="S956" i="7"/>
  <c r="S955" i="7"/>
  <c r="S954" i="7"/>
  <c r="S953" i="7"/>
  <c r="S952" i="7"/>
  <c r="S951" i="7"/>
  <c r="S950" i="7"/>
  <c r="S949" i="7"/>
  <c r="S948" i="7"/>
  <c r="S947" i="7"/>
  <c r="S946" i="7"/>
  <c r="S945" i="7"/>
  <c r="S944" i="7"/>
  <c r="S943" i="7"/>
  <c r="S942" i="7"/>
  <c r="S941" i="7"/>
  <c r="S940" i="7"/>
  <c r="S939" i="7"/>
  <c r="S938" i="7"/>
  <c r="S937" i="7"/>
  <c r="S936" i="7"/>
  <c r="S935" i="7"/>
  <c r="S934" i="7"/>
  <c r="S933" i="7"/>
  <c r="S932" i="7"/>
  <c r="S931" i="7"/>
  <c r="S930" i="7"/>
  <c r="S929" i="7"/>
  <c r="S928" i="7"/>
  <c r="S927" i="7"/>
  <c r="S926" i="7"/>
  <c r="S925" i="7"/>
  <c r="S924" i="7"/>
  <c r="S923" i="7"/>
  <c r="S922" i="7"/>
  <c r="S921" i="7"/>
  <c r="S920" i="7"/>
  <c r="S919" i="7"/>
  <c r="S918" i="7"/>
  <c r="S917" i="7"/>
  <c r="S916" i="7"/>
  <c r="S915" i="7"/>
  <c r="S914" i="7"/>
  <c r="S913" i="7"/>
  <c r="S912" i="7"/>
  <c r="S911" i="7"/>
  <c r="S910" i="7"/>
  <c r="S909" i="7"/>
  <c r="S908" i="7"/>
  <c r="S907" i="7"/>
  <c r="S906" i="7"/>
  <c r="S905" i="7"/>
  <c r="S904" i="7"/>
  <c r="S903" i="7"/>
  <c r="S902" i="7"/>
  <c r="S901" i="7"/>
  <c r="S900" i="7"/>
  <c r="S899" i="7"/>
  <c r="S898" i="7"/>
  <c r="S897" i="7"/>
  <c r="S896" i="7"/>
  <c r="S895" i="7"/>
  <c r="S894" i="7"/>
  <c r="S893" i="7"/>
  <c r="S892" i="7"/>
  <c r="S891" i="7"/>
  <c r="S890" i="7"/>
  <c r="S889" i="7"/>
  <c r="S888" i="7"/>
  <c r="S887" i="7"/>
  <c r="S886" i="7"/>
  <c r="S885" i="7"/>
  <c r="S884" i="7"/>
  <c r="S883" i="7"/>
  <c r="S882" i="7"/>
  <c r="S881" i="7"/>
  <c r="S880" i="7"/>
  <c r="S879" i="7"/>
  <c r="S878" i="7"/>
  <c r="S877" i="7"/>
  <c r="S876" i="7"/>
  <c r="S875" i="7"/>
  <c r="S874" i="7"/>
  <c r="S873" i="7"/>
  <c r="S872" i="7"/>
  <c r="S871" i="7"/>
  <c r="S870" i="7"/>
  <c r="S869" i="7"/>
  <c r="S868" i="7"/>
  <c r="S867" i="7"/>
  <c r="S866" i="7"/>
  <c r="S865" i="7"/>
  <c r="S864" i="7"/>
  <c r="S863" i="7"/>
  <c r="S862" i="7"/>
  <c r="S861" i="7"/>
  <c r="S860" i="7"/>
  <c r="S859" i="7"/>
  <c r="S858" i="7"/>
  <c r="S857" i="7"/>
  <c r="S856" i="7"/>
  <c r="S855" i="7"/>
  <c r="S854" i="7"/>
  <c r="S853" i="7"/>
  <c r="S852" i="7"/>
  <c r="S851" i="7"/>
  <c r="S850" i="7"/>
  <c r="S849" i="7"/>
  <c r="S848" i="7"/>
  <c r="S847" i="7"/>
  <c r="S846" i="7"/>
  <c r="S845" i="7"/>
  <c r="S844" i="7"/>
  <c r="S843" i="7"/>
  <c r="S842" i="7"/>
  <c r="S841" i="7"/>
  <c r="S840" i="7"/>
  <c r="S839" i="7"/>
  <c r="S838" i="7"/>
  <c r="S837" i="7"/>
  <c r="S836" i="7"/>
  <c r="S835" i="7"/>
  <c r="S834" i="7"/>
  <c r="S833" i="7"/>
  <c r="S832" i="7"/>
  <c r="S831" i="7"/>
  <c r="S830" i="7"/>
  <c r="S829" i="7"/>
  <c r="S828" i="7"/>
  <c r="S827" i="7"/>
  <c r="S826" i="7"/>
  <c r="S825" i="7"/>
  <c r="S824" i="7"/>
  <c r="S823" i="7"/>
  <c r="S822" i="7"/>
  <c r="S821" i="7"/>
  <c r="S820" i="7"/>
  <c r="S819" i="7"/>
  <c r="S818" i="7"/>
  <c r="S817" i="7"/>
  <c r="S816" i="7"/>
  <c r="S815" i="7"/>
  <c r="S814" i="7"/>
  <c r="S813" i="7"/>
  <c r="S812" i="7"/>
  <c r="S811" i="7"/>
  <c r="S810" i="7"/>
  <c r="S809" i="7"/>
  <c r="S808" i="7"/>
  <c r="S807" i="7"/>
  <c r="S806" i="7"/>
  <c r="S805" i="7"/>
  <c r="S804" i="7"/>
  <c r="S803" i="7"/>
  <c r="S802" i="7"/>
  <c r="S801" i="7"/>
  <c r="S800" i="7"/>
  <c r="S799" i="7"/>
  <c r="S798" i="7"/>
  <c r="S797" i="7"/>
  <c r="S796" i="7"/>
  <c r="S795" i="7"/>
  <c r="S794" i="7"/>
  <c r="S793" i="7"/>
  <c r="S792" i="7"/>
  <c r="S791" i="7"/>
  <c r="S790" i="7"/>
  <c r="S789" i="7"/>
  <c r="S788" i="7"/>
  <c r="S787" i="7"/>
  <c r="S786" i="7"/>
  <c r="S785" i="7"/>
  <c r="S784" i="7"/>
  <c r="S783" i="7"/>
  <c r="S782" i="7"/>
  <c r="S781" i="7"/>
  <c r="S780" i="7"/>
  <c r="S779" i="7"/>
  <c r="S778" i="7"/>
  <c r="S777" i="7"/>
  <c r="S776" i="7"/>
  <c r="S775" i="7"/>
  <c r="S774" i="7"/>
  <c r="S773" i="7"/>
  <c r="S772" i="7"/>
  <c r="S771" i="7"/>
  <c r="S770" i="7"/>
  <c r="S769" i="7"/>
  <c r="S768" i="7"/>
  <c r="S767" i="7"/>
  <c r="S766" i="7"/>
  <c r="S765" i="7"/>
  <c r="S764" i="7"/>
  <c r="S763" i="7"/>
  <c r="S762" i="7"/>
  <c r="S761" i="7"/>
  <c r="S760" i="7"/>
  <c r="S759" i="7"/>
  <c r="S758" i="7"/>
  <c r="S757" i="7"/>
  <c r="S756" i="7"/>
  <c r="S755" i="7"/>
  <c r="S754" i="7"/>
  <c r="S753" i="7"/>
  <c r="S752" i="7"/>
  <c r="S751" i="7"/>
  <c r="S750" i="7"/>
  <c r="S749" i="7"/>
  <c r="S748" i="7"/>
  <c r="S747" i="7"/>
  <c r="S746" i="7"/>
  <c r="S745" i="7"/>
  <c r="S744" i="7"/>
  <c r="S743" i="7"/>
  <c r="S742" i="7"/>
  <c r="S741" i="7"/>
  <c r="S740" i="7"/>
  <c r="S739" i="7"/>
  <c r="S738" i="7"/>
  <c r="S737" i="7"/>
  <c r="S736" i="7"/>
  <c r="S735" i="7"/>
  <c r="S734" i="7"/>
  <c r="S733" i="7"/>
  <c r="S732" i="7"/>
  <c r="S731" i="7"/>
  <c r="S730" i="7"/>
  <c r="S729" i="7"/>
  <c r="S728" i="7"/>
  <c r="S727" i="7"/>
  <c r="S726" i="7"/>
  <c r="S725" i="7"/>
  <c r="S724" i="7"/>
  <c r="S723" i="7"/>
  <c r="S722" i="7"/>
  <c r="S721" i="7"/>
  <c r="S720" i="7"/>
  <c r="S719" i="7"/>
  <c r="S718" i="7"/>
  <c r="S717" i="7"/>
  <c r="S716" i="7"/>
  <c r="S715" i="7"/>
  <c r="S714" i="7"/>
  <c r="S713" i="7"/>
  <c r="S712" i="7"/>
  <c r="S711" i="7"/>
  <c r="S710" i="7"/>
  <c r="S709" i="7"/>
  <c r="S708" i="7"/>
  <c r="S707" i="7"/>
  <c r="S706" i="7"/>
  <c r="S705" i="7"/>
  <c r="S704" i="7"/>
  <c r="S703" i="7"/>
  <c r="S702" i="7"/>
  <c r="S701" i="7"/>
  <c r="S700" i="7"/>
  <c r="S699" i="7"/>
  <c r="S698" i="7"/>
  <c r="S697" i="7"/>
  <c r="S696" i="7"/>
  <c r="S695" i="7"/>
  <c r="S694" i="7"/>
  <c r="S693" i="7"/>
  <c r="S692" i="7"/>
  <c r="S691" i="7"/>
  <c r="S690" i="7"/>
  <c r="S689" i="7"/>
  <c r="S688" i="7"/>
  <c r="S687" i="7"/>
  <c r="S686" i="7"/>
  <c r="S685" i="7"/>
  <c r="S684" i="7"/>
  <c r="S683" i="7"/>
  <c r="S682" i="7"/>
  <c r="S681" i="7"/>
  <c r="S680" i="7"/>
  <c r="S679" i="7"/>
  <c r="S678" i="7"/>
  <c r="S677" i="7"/>
  <c r="S676" i="7"/>
  <c r="S675" i="7"/>
  <c r="S674" i="7"/>
  <c r="S673" i="7"/>
  <c r="S672" i="7"/>
  <c r="S671" i="7"/>
  <c r="S670" i="7"/>
  <c r="S669" i="7"/>
  <c r="S668" i="7"/>
  <c r="S667" i="7"/>
  <c r="S666" i="7"/>
  <c r="S665" i="7"/>
  <c r="S664" i="7"/>
  <c r="S663" i="7"/>
  <c r="S662" i="7"/>
  <c r="S661" i="7"/>
  <c r="S660" i="7"/>
  <c r="S659" i="7"/>
  <c r="S658" i="7"/>
  <c r="S657" i="7"/>
  <c r="S656" i="7"/>
  <c r="S655" i="7"/>
  <c r="S654" i="7"/>
  <c r="S653" i="7"/>
  <c r="S652" i="7"/>
  <c r="S651" i="7"/>
  <c r="S650" i="7"/>
  <c r="S649" i="7"/>
  <c r="S648" i="7"/>
  <c r="S647" i="7"/>
  <c r="S646" i="7"/>
  <c r="S645" i="7"/>
  <c r="S644" i="7"/>
  <c r="S643" i="7"/>
  <c r="S642" i="7"/>
  <c r="S641" i="7"/>
  <c r="S640" i="7"/>
  <c r="S639" i="7"/>
  <c r="S638" i="7"/>
  <c r="S637" i="7"/>
  <c r="S636" i="7"/>
  <c r="S635" i="7"/>
  <c r="S634" i="7"/>
  <c r="S633" i="7"/>
  <c r="S632" i="7"/>
  <c r="S631" i="7"/>
  <c r="S630" i="7"/>
  <c r="S629" i="7"/>
  <c r="S628" i="7"/>
  <c r="S627" i="7"/>
  <c r="S626" i="7"/>
  <c r="S625" i="7"/>
  <c r="S624" i="7"/>
  <c r="S623" i="7"/>
  <c r="S622" i="7"/>
  <c r="S621" i="7"/>
  <c r="S620" i="7"/>
  <c r="S619" i="7"/>
  <c r="S618" i="7"/>
  <c r="S617" i="7"/>
  <c r="S616" i="7"/>
  <c r="S615" i="7"/>
  <c r="S614" i="7"/>
  <c r="S613" i="7"/>
  <c r="S612" i="7"/>
  <c r="S611" i="7"/>
  <c r="S610" i="7"/>
  <c r="S609" i="7"/>
  <c r="S608" i="7"/>
  <c r="S607" i="7"/>
  <c r="S606" i="7"/>
  <c r="S605" i="7"/>
  <c r="S604" i="7"/>
  <c r="S603" i="7"/>
  <c r="S602" i="7"/>
  <c r="S601" i="7"/>
  <c r="S600" i="7"/>
  <c r="S599" i="7"/>
  <c r="S598" i="7"/>
  <c r="S597" i="7"/>
  <c r="S596" i="7"/>
  <c r="S595" i="7"/>
  <c r="S594" i="7"/>
  <c r="S593" i="7"/>
  <c r="S592" i="7"/>
  <c r="S591" i="7"/>
  <c r="S590" i="7"/>
  <c r="S589" i="7"/>
  <c r="S588" i="7"/>
  <c r="S587" i="7"/>
  <c r="S586" i="7"/>
  <c r="S585" i="7"/>
  <c r="S584" i="7"/>
  <c r="S583" i="7"/>
  <c r="S582" i="7"/>
  <c r="S581" i="7"/>
  <c r="S580" i="7"/>
  <c r="S579" i="7"/>
  <c r="S578" i="7"/>
  <c r="S577" i="7"/>
  <c r="S576" i="7"/>
  <c r="S575" i="7"/>
  <c r="S574" i="7"/>
  <c r="S573" i="7"/>
  <c r="S572" i="7"/>
  <c r="S571" i="7"/>
  <c r="S570" i="7"/>
  <c r="S569" i="7"/>
  <c r="S568" i="7"/>
  <c r="S567" i="7"/>
  <c r="S566" i="7"/>
  <c r="S565" i="7"/>
  <c r="S564" i="7"/>
  <c r="S563" i="7"/>
  <c r="S562" i="7"/>
  <c r="S561" i="7"/>
  <c r="S560" i="7"/>
  <c r="S559" i="7"/>
  <c r="S558" i="7"/>
  <c r="S557" i="7"/>
  <c r="S556" i="7"/>
  <c r="S555" i="7"/>
  <c r="S554" i="7"/>
  <c r="S553" i="7"/>
  <c r="S552" i="7"/>
  <c r="S551" i="7"/>
  <c r="S550" i="7"/>
  <c r="S549" i="7"/>
  <c r="S548" i="7"/>
  <c r="S547" i="7"/>
  <c r="S546" i="7"/>
  <c r="S545" i="7"/>
  <c r="S544" i="7"/>
  <c r="S543" i="7"/>
  <c r="S542" i="7"/>
  <c r="S541" i="7"/>
  <c r="S540" i="7"/>
  <c r="S539" i="7"/>
  <c r="S538" i="7"/>
  <c r="S537" i="7"/>
  <c r="S536" i="7"/>
  <c r="S535" i="7"/>
  <c r="S534" i="7"/>
  <c r="S533" i="7"/>
  <c r="S532" i="7"/>
  <c r="S531" i="7"/>
  <c r="S530" i="7"/>
  <c r="S529" i="7"/>
  <c r="S528" i="7"/>
  <c r="S527" i="7"/>
  <c r="S526" i="7"/>
  <c r="S525" i="7"/>
  <c r="S524" i="7"/>
  <c r="S523" i="7"/>
  <c r="S522" i="7"/>
  <c r="S521" i="7"/>
  <c r="S520" i="7"/>
  <c r="S519" i="7"/>
  <c r="S518" i="7"/>
  <c r="S517" i="7"/>
  <c r="S516" i="7"/>
  <c r="S515" i="7"/>
  <c r="S514" i="7"/>
  <c r="S513" i="7"/>
  <c r="S512" i="7"/>
  <c r="S511" i="7"/>
  <c r="S510" i="7"/>
  <c r="S509" i="7"/>
  <c r="S508" i="7"/>
  <c r="S507" i="7"/>
  <c r="S506" i="7"/>
  <c r="S505" i="7"/>
  <c r="S504" i="7"/>
  <c r="S503" i="7"/>
  <c r="S502" i="7"/>
  <c r="S501" i="7"/>
  <c r="S500" i="7"/>
  <c r="S499" i="7"/>
  <c r="S498" i="7"/>
  <c r="S497" i="7"/>
  <c r="S496" i="7"/>
  <c r="S495" i="7"/>
  <c r="S494" i="7"/>
  <c r="S493" i="7"/>
  <c r="S492" i="7"/>
  <c r="S491" i="7"/>
  <c r="S490" i="7"/>
  <c r="S489" i="7"/>
  <c r="S488" i="7"/>
  <c r="S487" i="7"/>
  <c r="S486" i="7"/>
  <c r="S485" i="7"/>
  <c r="S484" i="7"/>
  <c r="S483" i="7"/>
  <c r="S482" i="7"/>
  <c r="S481" i="7"/>
  <c r="S480" i="7"/>
  <c r="S479" i="7"/>
  <c r="S478" i="7"/>
  <c r="S477" i="7"/>
  <c r="S476" i="7"/>
  <c r="S475" i="7"/>
  <c r="S474" i="7"/>
  <c r="S473" i="7"/>
  <c r="S472" i="7"/>
  <c r="S471" i="7"/>
  <c r="S470" i="7"/>
  <c r="S469" i="7"/>
  <c r="S468" i="7"/>
  <c r="S467" i="7"/>
  <c r="S466" i="7"/>
  <c r="S465" i="7"/>
  <c r="S464" i="7"/>
  <c r="S463" i="7"/>
  <c r="S462" i="7"/>
  <c r="S461" i="7"/>
  <c r="S460" i="7"/>
  <c r="S459" i="7"/>
  <c r="S458" i="7"/>
  <c r="S457" i="7"/>
  <c r="S456" i="7"/>
  <c r="S455" i="7"/>
  <c r="S454" i="7"/>
  <c r="S453" i="7"/>
  <c r="S452" i="7"/>
  <c r="S451" i="7"/>
  <c r="S450" i="7"/>
  <c r="S449" i="7"/>
  <c r="S448" i="7"/>
  <c r="S447" i="7"/>
  <c r="S446" i="7"/>
  <c r="S445" i="7"/>
  <c r="S444" i="7"/>
  <c r="S443" i="7"/>
  <c r="S442" i="7"/>
  <c r="S441" i="7"/>
  <c r="S440" i="7"/>
  <c r="S439" i="7"/>
  <c r="S438" i="7"/>
  <c r="S437" i="7"/>
  <c r="S436" i="7"/>
  <c r="S435" i="7"/>
  <c r="S434" i="7"/>
  <c r="S433" i="7"/>
  <c r="S432" i="7"/>
  <c r="S431" i="7"/>
  <c r="S430" i="7"/>
  <c r="S429" i="7"/>
  <c r="S428" i="7"/>
  <c r="S427" i="7"/>
  <c r="S426" i="7"/>
  <c r="S425" i="7"/>
  <c r="S424" i="7"/>
  <c r="S423" i="7"/>
  <c r="S422" i="7"/>
  <c r="S421" i="7"/>
  <c r="S420" i="7"/>
  <c r="S419" i="7"/>
  <c r="S418" i="7"/>
  <c r="S417" i="7"/>
  <c r="S416" i="7"/>
  <c r="S415" i="7"/>
  <c r="S414" i="7"/>
  <c r="S413" i="7"/>
  <c r="S412" i="7"/>
  <c r="S411" i="7"/>
  <c r="S410" i="7"/>
  <c r="S409" i="7"/>
  <c r="S408" i="7"/>
  <c r="S407" i="7"/>
  <c r="S406" i="7"/>
  <c r="S405" i="7"/>
  <c r="S404" i="7"/>
  <c r="S403" i="7"/>
  <c r="S402" i="7"/>
  <c r="S401" i="7"/>
  <c r="S400" i="7"/>
  <c r="S399" i="7"/>
  <c r="S398" i="7"/>
  <c r="S397" i="7"/>
  <c r="S396" i="7"/>
  <c r="S395" i="7"/>
  <c r="S394" i="7"/>
  <c r="S393" i="7"/>
  <c r="S392" i="7"/>
  <c r="S391" i="7"/>
  <c r="S390" i="7"/>
  <c r="S389" i="7"/>
  <c r="S388" i="7"/>
  <c r="S387" i="7"/>
  <c r="S386" i="7"/>
  <c r="S385" i="7"/>
  <c r="S384" i="7"/>
  <c r="S383" i="7"/>
  <c r="S382" i="7"/>
  <c r="S381" i="7"/>
  <c r="S380" i="7"/>
  <c r="S379" i="7"/>
  <c r="S378" i="7"/>
  <c r="S377" i="7"/>
  <c r="S376" i="7"/>
  <c r="S375" i="7"/>
  <c r="S374" i="7"/>
  <c r="S373" i="7"/>
  <c r="S372" i="7"/>
  <c r="S371" i="7"/>
  <c r="S370" i="7"/>
  <c r="S369" i="7"/>
  <c r="S368" i="7"/>
  <c r="S367" i="7"/>
  <c r="S366" i="7"/>
  <c r="S365" i="7"/>
  <c r="S364" i="7"/>
  <c r="S363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6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3" i="7"/>
  <c r="S292" i="7"/>
  <c r="S291" i="7"/>
  <c r="S290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U1" i="7"/>
  <c r="D13" i="6" l="1"/>
  <c r="D19" i="6"/>
  <c r="S1000" i="4" l="1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U1" i="4" l="1"/>
  <c r="D10" i="6" s="1"/>
  <c r="U1" i="1"/>
  <c r="D8" i="6" s="1"/>
  <c r="U1" i="3"/>
  <c r="D9" i="6" s="1"/>
  <c r="C21" i="6" l="1"/>
</calcChain>
</file>

<file path=xl/sharedStrings.xml><?xml version="1.0" encoding="utf-8"?>
<sst xmlns="http://schemas.openxmlformats.org/spreadsheetml/2006/main" count="108" uniqueCount="38">
  <si>
    <t>FRETE</t>
  </si>
  <si>
    <t>Aliq.%</t>
  </si>
  <si>
    <t>ICMS ST a Recolher</t>
  </si>
  <si>
    <t>DESPESAS</t>
  </si>
  <si>
    <t>IPI</t>
  </si>
  <si>
    <t>Vl. Produto</t>
  </si>
  <si>
    <t>Produto</t>
  </si>
  <si>
    <t>Fornecedor</t>
  </si>
  <si>
    <t>Chave</t>
  </si>
  <si>
    <t>UF</t>
  </si>
  <si>
    <t>Nº NF-e</t>
  </si>
  <si>
    <t>CST</t>
  </si>
  <si>
    <t>CFOP</t>
  </si>
  <si>
    <t>Aliquota 1,54%</t>
  </si>
  <si>
    <t>NCM</t>
  </si>
  <si>
    <t>Aliquota 4%</t>
  </si>
  <si>
    <t>Aliquota 7%</t>
  </si>
  <si>
    <t>Razão Social:</t>
  </si>
  <si>
    <t>Mês:</t>
  </si>
  <si>
    <t>Mês-ano</t>
  </si>
  <si>
    <t>Vl Icms St 1104</t>
  </si>
  <si>
    <t>Legenda:</t>
  </si>
  <si>
    <t>Descrição:</t>
  </si>
  <si>
    <t>Aliquota Reduzida</t>
  </si>
  <si>
    <t>Aliquota Integral</t>
  </si>
  <si>
    <t>Aliquota Integral (+ 3%) Oriundas do Simples</t>
  </si>
  <si>
    <t>Retenção ICMS Suíno</t>
  </si>
  <si>
    <t>Retenção ICMS Bovino</t>
  </si>
  <si>
    <t>Ajuste ICMS</t>
  </si>
  <si>
    <t>Razão Social</t>
  </si>
  <si>
    <t>Basic. ICMS ST</t>
  </si>
  <si>
    <t>Aliq%</t>
  </si>
  <si>
    <t>Vl R$</t>
  </si>
  <si>
    <t>Total=</t>
  </si>
  <si>
    <t>CNPJ</t>
  </si>
  <si>
    <t>Quant.</t>
  </si>
  <si>
    <t>Retenção ICMS Suíno Cabeça</t>
  </si>
  <si>
    <t>Retenção ICMS Bovino Cabeça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</si>
</sst>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416]mmm\-yy;@"/>
    <numFmt numFmtId="165" formatCode="\R\$\ #,##0.00"/>
    <numFmt numFmtId="166" formatCode="_-[$R$-416]\ * #,##0.00_-;\-[$R$-416]\ * #,##0.00_-;_-[$R$-416]\ * &quot;-&quot;??_-;_-@_-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D1CC00"/>
      <name val="Calibri"/>
      <family val="2"/>
      <scheme val="minor"/>
    </font>
    <font>
      <b/>
      <sz val="10"/>
      <color rgb="FF37CFF9"/>
      <name val="Calibri"/>
      <family val="2"/>
      <scheme val="minor"/>
    </font>
    <font>
      <sz val="10"/>
      <color rgb="FF37CFF9"/>
      <name val="Calibri"/>
      <family val="2"/>
      <scheme val="minor"/>
    </font>
    <font>
      <sz val="8"/>
      <color theme="1"/>
      <name val="Arial"/>
      <family val="2"/>
    </font>
    <font>
      <b/>
      <sz val="10"/>
      <color theme="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886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651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8DF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7CFF9"/>
        <bgColor indexed="64"/>
      </patternFill>
    </fill>
    <fill>
      <patternFill patternType="solid">
        <fgColor rgb="FFD1CC00"/>
        <bgColor indexed="64"/>
      </patternFill>
    </fill>
  </fills>
  <borders count="1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/>
      <top/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0" fontId="4" fillId="2" borderId="7" xfId="0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10" fontId="2" fillId="3" borderId="7" xfId="0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10" fontId="1" fillId="0" borderId="1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4" borderId="1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4" fillId="4" borderId="9" xfId="0" applyFont="1" applyFill="1" applyBorder="1"/>
    <xf numFmtId="44" fontId="6" fillId="2" borderId="9" xfId="0" applyNumberFormat="1" applyFont="1" applyFill="1" applyBorder="1"/>
    <xf numFmtId="44" fontId="7" fillId="2" borderId="9" xfId="0" applyNumberFormat="1" applyFont="1" applyFill="1" applyBorder="1"/>
    <xf numFmtId="44" fontId="8" fillId="2" borderId="9" xfId="0" applyNumberFormat="1" applyFont="1" applyFill="1" applyBorder="1"/>
    <xf numFmtId="9" fontId="8" fillId="2" borderId="0" xfId="0" applyNumberFormat="1" applyFont="1" applyFill="1" applyBorder="1" applyAlignment="1">
      <alignment horizontal="center"/>
    </xf>
    <xf numFmtId="44" fontId="8" fillId="2" borderId="0" xfId="0" applyNumberFormat="1" applyFont="1" applyFill="1" applyBorder="1"/>
    <xf numFmtId="0" fontId="4" fillId="4" borderId="9" xfId="0" applyFont="1" applyFill="1" applyBorder="1" applyAlignment="1">
      <alignment horizontal="center"/>
    </xf>
    <xf numFmtId="44" fontId="9" fillId="2" borderId="9" xfId="0" applyNumberFormat="1" applyFont="1" applyFill="1" applyBorder="1" applyAlignment="1">
      <alignment horizontal="center"/>
    </xf>
    <xf numFmtId="2" fontId="9" fillId="2" borderId="0" xfId="0" applyNumberFormat="1" applyFont="1" applyFill="1" applyBorder="1" applyAlignment="1">
      <alignment horizontal="center"/>
    </xf>
    <xf numFmtId="44" fontId="9" fillId="2" borderId="0" xfId="0" applyNumberFormat="1" applyFont="1" applyFill="1" applyBorder="1" applyAlignment="1">
      <alignment horizontal="center"/>
    </xf>
    <xf numFmtId="44" fontId="9" fillId="2" borderId="0" xfId="0" applyNumberFormat="1" applyFont="1" applyFill="1" applyBorder="1"/>
    <xf numFmtId="2" fontId="10" fillId="2" borderId="11" xfId="0" applyNumberFormat="1" applyFont="1" applyFill="1" applyBorder="1" applyAlignment="1">
      <alignment horizontal="center"/>
    </xf>
    <xf numFmtId="9" fontId="10" fillId="2" borderId="11" xfId="0" applyNumberFormat="1" applyFont="1" applyFill="1" applyBorder="1" applyAlignment="1">
      <alignment horizontal="center"/>
    </xf>
    <xf numFmtId="44" fontId="10" fillId="2" borderId="11" xfId="0" applyNumberFormat="1" applyFont="1" applyFill="1" applyBorder="1"/>
    <xf numFmtId="0" fontId="5" fillId="2" borderId="9" xfId="0" applyFont="1" applyFill="1" applyBorder="1"/>
    <xf numFmtId="0" fontId="1" fillId="5" borderId="9" xfId="0" applyFont="1" applyFill="1" applyBorder="1"/>
    <xf numFmtId="0" fontId="1" fillId="6" borderId="9" xfId="0" applyFont="1" applyFill="1" applyBorder="1"/>
    <xf numFmtId="0" fontId="1" fillId="7" borderId="9" xfId="0" applyFont="1" applyFill="1" applyBorder="1"/>
    <xf numFmtId="0" fontId="1" fillId="8" borderId="9" xfId="0" applyFont="1" applyFill="1" applyBorder="1"/>
    <xf numFmtId="0" fontId="1" fillId="9" borderId="9" xfId="0" applyFont="1" applyFill="1" applyBorder="1"/>
    <xf numFmtId="0" fontId="1" fillId="10" borderId="9" xfId="0" applyFont="1" applyFill="1" applyBorder="1"/>
    <xf numFmtId="165" fontId="1" fillId="0" borderId="1" xfId="0" applyNumberFormat="1" applyFont="1" applyFill="1" applyBorder="1" applyAlignment="1">
      <alignment horizontal="center" vertical="center"/>
    </xf>
    <xf numFmtId="166" fontId="1" fillId="11" borderId="0" xfId="0" applyNumberFormat="1" applyFont="1" applyFill="1" applyAlignment="1">
      <alignment horizontal="center" vertical="center"/>
    </xf>
    <xf numFmtId="2" fontId="9" fillId="2" borderId="10" xfId="0" applyNumberFormat="1" applyFont="1" applyFill="1" applyBorder="1" applyAlignment="1">
      <alignment horizontal="center"/>
    </xf>
    <xf numFmtId="44" fontId="9" fillId="2" borderId="10" xfId="0" applyNumberFormat="1" applyFont="1" applyFill="1" applyBorder="1"/>
    <xf numFmtId="2" fontId="11" fillId="2" borderId="9" xfId="0" applyNumberFormat="1" applyFont="1" applyFill="1" applyBorder="1" applyAlignment="1">
      <alignment horizontal="center"/>
    </xf>
    <xf numFmtId="44" fontId="11" fillId="2" borderId="9" xfId="0" applyNumberFormat="1" applyFont="1" applyFill="1" applyBorder="1" applyAlignment="1">
      <alignment horizontal="center"/>
    </xf>
    <xf numFmtId="44" fontId="11" fillId="2" borderId="9" xfId="0" applyNumberFormat="1" applyFont="1" applyFill="1" applyBorder="1"/>
    <xf numFmtId="2" fontId="12" fillId="2" borderId="10" xfId="0" applyNumberFormat="1" applyFont="1" applyFill="1" applyBorder="1" applyAlignment="1">
      <alignment horizontal="center"/>
    </xf>
    <xf numFmtId="44" fontId="12" fillId="2" borderId="10" xfId="0" applyNumberFormat="1" applyFont="1" applyFill="1" applyBorder="1" applyAlignment="1">
      <alignment horizontal="center"/>
    </xf>
    <xf numFmtId="44" fontId="12" fillId="2" borderId="10" xfId="0" applyNumberFormat="1" applyFont="1" applyFill="1" applyBorder="1"/>
    <xf numFmtId="0" fontId="13" fillId="12" borderId="9" xfId="0" applyFont="1" applyFill="1" applyBorder="1"/>
    <xf numFmtId="0" fontId="1" fillId="13" borderId="9" xfId="0" applyFont="1" applyFill="1" applyBorder="1"/>
    <xf numFmtId="2" fontId="1" fillId="11" borderId="0" xfId="0" applyNumberFormat="1" applyFont="1" applyFill="1" applyAlignment="1">
      <alignment horizontal="center" vertical="center"/>
    </xf>
    <xf numFmtId="2" fontId="15" fillId="2" borderId="10" xfId="0" applyNumberFormat="1" applyFont="1" applyFill="1" applyBorder="1" applyAlignment="1">
      <alignment horizontal="center"/>
    </xf>
    <xf numFmtId="44" fontId="15" fillId="2" borderId="10" xfId="0" applyNumberFormat="1" applyFont="1" applyFill="1" applyBorder="1" applyAlignment="1">
      <alignment horizontal="center"/>
    </xf>
    <xf numFmtId="44" fontId="15" fillId="2" borderId="10" xfId="0" applyNumberFormat="1" applyFont="1" applyFill="1" applyBorder="1"/>
    <xf numFmtId="0" fontId="2" fillId="3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left"/>
    </xf>
    <xf numFmtId="0" fontId="4" fillId="4" borderId="14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164" fontId="5" fillId="4" borderId="14" xfId="0" applyNumberFormat="1" applyFont="1" applyFill="1" applyBorder="1" applyAlignment="1">
      <alignment horizontal="left" vertical="center"/>
    </xf>
    <xf numFmtId="164" fontId="5" fillId="4" borderId="13" xfId="0" applyNumberFormat="1" applyFont="1" applyFill="1" applyBorder="1" applyAlignment="1">
      <alignment horizontal="left" vertical="center"/>
    </xf>
    <xf numFmtId="44" fontId="5" fillId="2" borderId="12" xfId="0" applyNumberFormat="1" applyFont="1" applyFill="1" applyBorder="1" applyAlignment="1">
      <alignment horizontal="center"/>
    </xf>
    <xf numFmtId="44" fontId="5" fillId="2" borderId="13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10" fontId="6" fillId="2" borderId="12" xfId="0" applyNumberFormat="1" applyFont="1" applyFill="1" applyBorder="1" applyAlignment="1">
      <alignment horizontal="center"/>
    </xf>
    <xf numFmtId="10" fontId="6" fillId="2" borderId="13" xfId="0" applyNumberFormat="1" applyFont="1" applyFill="1" applyBorder="1" applyAlignment="1">
      <alignment horizontal="center"/>
    </xf>
    <xf numFmtId="9" fontId="7" fillId="2" borderId="12" xfId="0" applyNumberFormat="1" applyFont="1" applyFill="1" applyBorder="1" applyAlignment="1">
      <alignment horizontal="center"/>
    </xf>
    <xf numFmtId="9" fontId="7" fillId="2" borderId="13" xfId="0" applyNumberFormat="1" applyFont="1" applyFill="1" applyBorder="1" applyAlignment="1">
      <alignment horizontal="center"/>
    </xf>
    <xf numFmtId="9" fontId="8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05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theme="8" tint="0.79998168889431442"/>
        </top>
      </border>
    </dxf>
    <dxf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8" tint="0.7999816888943144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</dxfs>
  <tableStyles count="0" defaultTableStyle="TableStyleMedium2" defaultPivotStyle="PivotStyleLight16"/>
  <colors>
    <mruColors>
      <color rgb="FFD1CC00"/>
      <color rgb="FF37CFF9"/>
      <color rgb="FFDC7D1E"/>
      <color rgb="FF008DF6"/>
      <color rgb="FF388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0</xdr:row>
      <xdr:rowOff>257175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616EA2C-2926-9B3D-67F9-9C7CFDCB5ECE}"/>
            </a:ext>
          </a:extLst>
        </xdr:cNvPr>
        <xdr:cNvSpPr txBox="1"/>
      </xdr:nvSpPr>
      <xdr:spPr>
        <a:xfrm>
          <a:off x="3686175" y="25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D1:S1000" totalsRowShown="0" headerRowDxfId="104" dataDxfId="102" headerRowBorderDxfId="103" tableBorderDxfId="101" totalsRowBorderDxfId="100">
  <autoFilter ref="D1:S1000" xr:uid="{00000000-0009-0000-0100-000002000000}"/>
  <tableColumns count="16">
    <tableColumn id="1" xr3:uid="{00000000-0010-0000-0000-000001000000}" name="Chave" dataDxfId="99"/>
    <tableColumn id="2" xr3:uid="{00000000-0010-0000-0000-000002000000}" name="UF" dataDxfId="98"/>
    <tableColumn id="3" xr3:uid="{00000000-0010-0000-0000-000003000000}" name="Nº NF-e" dataDxfId="97"/>
    <tableColumn id="4" xr3:uid="{00000000-0010-0000-0000-000004000000}" name="Fornecedor" dataDxfId="96"/>
    <tableColumn id="17" xr3:uid="{247CAF88-7960-40F6-95FD-282E448724BB}" name="CNPJ" dataDxfId="95"/>
    <tableColumn id="5" xr3:uid="{00000000-0010-0000-0000-000005000000}" name="Produto" dataDxfId="94"/>
    <tableColumn id="14" xr3:uid="{00000000-0010-0000-0000-00000E000000}" name="NCM" dataDxfId="93"/>
    <tableColumn id="6" xr3:uid="{00000000-0010-0000-0000-000006000000}" name="CFOP" dataDxfId="92"/>
    <tableColumn id="7" xr3:uid="{00000000-0010-0000-0000-000007000000}" name="CST" dataDxfId="91"/>
    <tableColumn id="8" xr3:uid="{00000000-0010-0000-0000-000008000000}" name="FRETE" dataDxfId="90"/>
    <tableColumn id="9" xr3:uid="{00000000-0010-0000-0000-000009000000}" name="DESPESAS" dataDxfId="89"/>
    <tableColumn id="10" xr3:uid="{00000000-0010-0000-0000-00000A000000}" name="IPI" dataDxfId="88"/>
    <tableColumn id="11" xr3:uid="{00000000-0010-0000-0000-00000B000000}" name="Vl. Produto" dataDxfId="87"/>
    <tableColumn id="18" xr3:uid="{CFBE8515-425E-431A-A996-165196E30840}" name="Quant." dataDxfId="86"/>
    <tableColumn id="12" xr3:uid="{00000000-0010-0000-0000-00000C000000}" name="Aliq.%" dataDxfId="85"/>
    <tableColumn id="13" xr3:uid="{00000000-0010-0000-0000-00000D000000}" name="ICMS ST a Recolher" dataDxfId="84">
      <calculatedColumnFormula>(Tabela2[[#This Row],[FRETE]]+Tabela2[[#This Row],[DESPESAS]]+Tabela2[[#This Row],[IPI]]+Tabela2[[#This Row],[Vl. Produto]])*Tabela2[[#This Row],[Aliq.%]]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BB4AE2-490B-43BA-9969-14030444F563}" name="Tabela25" displayName="Tabela25" ref="D1:S1000" totalsRowShown="0" headerRowDxfId="83" dataDxfId="81" headerRowBorderDxfId="82" tableBorderDxfId="80" totalsRowBorderDxfId="79">
  <autoFilter ref="D1:S1000" xr:uid="{00000000-0009-0000-0100-000002000000}"/>
  <tableColumns count="16">
    <tableColumn id="1" xr3:uid="{2EC140A9-5A22-44D2-B4CE-8359C753572C}" name="Chave" dataDxfId="78"/>
    <tableColumn id="2" xr3:uid="{30BA0827-1BCC-4963-9B41-80F01158C358}" name="UF" dataDxfId="77"/>
    <tableColumn id="3" xr3:uid="{34967628-A838-4AA5-9F31-F6783CF37733}" name="Nº NF-e" dataDxfId="76"/>
    <tableColumn id="4" xr3:uid="{3E061713-DBE7-4D12-B571-43E6646DCA60}" name="Fornecedor" dataDxfId="75"/>
    <tableColumn id="17" xr3:uid="{BB302EA6-35E7-4D6A-9333-9F378325BD4F}" name="CNPJ" dataDxfId="74"/>
    <tableColumn id="5" xr3:uid="{9E4C3927-496D-43C4-9270-0A7F1F981B54}" name="Produto" dataDxfId="73"/>
    <tableColumn id="14" xr3:uid="{4241B0D2-E217-4BC3-B650-05FBAD804943}" name="NCM" dataDxfId="72"/>
    <tableColumn id="6" xr3:uid="{62771D2E-8A1B-4C40-B536-8BF1CCE0C847}" name="CFOP" dataDxfId="71"/>
    <tableColumn id="7" xr3:uid="{BE57C7AE-E7D7-4864-B56D-03B829084F23}" name="CST" dataDxfId="70"/>
    <tableColumn id="8" xr3:uid="{90448683-00BC-4AC6-9857-B6B287C3D986}" name="FRETE" dataDxfId="69"/>
    <tableColumn id="9" xr3:uid="{CA911706-1741-4BE0-A077-26C7B11B45D3}" name="DESPESAS" dataDxfId="68"/>
    <tableColumn id="10" xr3:uid="{5D4287D0-1550-416D-ABA0-F29394E2ED1E}" name="IPI" dataDxfId="67"/>
    <tableColumn id="11" xr3:uid="{369F8DFD-122F-48B2-8770-4A2BEB880AF4}" name="Vl. Produto" dataDxfId="66"/>
    <tableColumn id="18" xr3:uid="{9E804BA2-D1F3-43F9-A482-E078B8873D63}" name="Quant." dataDxfId="65"/>
    <tableColumn id="12" xr3:uid="{59A402D4-F417-4F38-8167-22C833B9C59C}" name="Aliq.%" dataDxfId="64"/>
    <tableColumn id="13" xr3:uid="{C7489047-7057-45ED-9D01-E93CA4E22E53}" name="ICMS ST a Recolher" dataDxfId="63">
      <calculatedColumnFormula>(Tabela25[[#This Row],[FRETE]]+Tabela25[[#This Row],[DESPESAS]]+Tabela25[[#This Row],[IPI]]+Tabela25[[#This Row],[Vl. Produto]])*Tabela25[[#This Row],[Aliq.%]]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22" displayName="Tabela22" ref="D1:S1000" totalsRowShown="0" headerRowDxfId="62" dataDxfId="60" headerRowBorderDxfId="61" tableBorderDxfId="59" totalsRowBorderDxfId="58">
  <autoFilter ref="D1:S1000" xr:uid="{00000000-0009-0000-0100-000001000000}"/>
  <tableColumns count="16">
    <tableColumn id="1" xr3:uid="{00000000-0010-0000-0100-000001000000}" name="Chave" dataDxfId="57"/>
    <tableColumn id="2" xr3:uid="{00000000-0010-0000-0100-000002000000}" name="UF" dataDxfId="56"/>
    <tableColumn id="3" xr3:uid="{00000000-0010-0000-0100-000003000000}" name="Nº NF-e" dataDxfId="55"/>
    <tableColumn id="4" xr3:uid="{00000000-0010-0000-0100-000004000000}" name="Fornecedor" dataDxfId="54"/>
    <tableColumn id="15" xr3:uid="{4F2B2DC2-A7BB-4609-B645-7578DD706CDC}" name="CNPJ" dataDxfId="53"/>
    <tableColumn id="5" xr3:uid="{00000000-0010-0000-0100-000005000000}" name="Produto" dataDxfId="52"/>
    <tableColumn id="14" xr3:uid="{00000000-0010-0000-0100-00000E000000}" name="NCM" dataDxfId="51"/>
    <tableColumn id="6" xr3:uid="{00000000-0010-0000-0100-000006000000}" name="CFOP" dataDxfId="50"/>
    <tableColumn id="7" xr3:uid="{00000000-0010-0000-0100-000007000000}" name="CST" dataDxfId="49"/>
    <tableColumn id="8" xr3:uid="{00000000-0010-0000-0100-000008000000}" name="FRETE" dataDxfId="48"/>
    <tableColumn id="9" xr3:uid="{00000000-0010-0000-0100-000009000000}" name="DESPESAS" dataDxfId="47"/>
    <tableColumn id="10" xr3:uid="{00000000-0010-0000-0100-00000A000000}" name="IPI" dataDxfId="46"/>
    <tableColumn id="11" xr3:uid="{00000000-0010-0000-0100-00000B000000}" name="Vl. Produto" dataDxfId="45"/>
    <tableColumn id="16" xr3:uid="{54C0C282-E4B0-47DE-B454-F3DC147E4FFE}" name="Quant." dataDxfId="44"/>
    <tableColumn id="12" xr3:uid="{00000000-0010-0000-0100-00000C000000}" name="Aliq.%" dataDxfId="43"/>
    <tableColumn id="13" xr3:uid="{00000000-0010-0000-0100-00000D000000}" name="ICMS ST a Recolher" dataDxfId="42">
      <calculatedColumnFormula>(Tabela22[[#This Row],[FRETE]]+Tabela22[[#This Row],[DESPESAS]]+Tabela22[[#This Row],[IPI]]+Tabela22[[#This Row],[Vl. Produto]])*Tabela22[[#This Row],[Aliq.%]]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224" displayName="Tabela224" ref="D1:S1000" totalsRowShown="0" headerRowDxfId="41" dataDxfId="39" headerRowBorderDxfId="40" tableBorderDxfId="38" totalsRowBorderDxfId="37">
  <autoFilter ref="D1:S1000" xr:uid="{00000000-0009-0000-0100-000003000000}"/>
  <tableColumns count="16">
    <tableColumn id="1" xr3:uid="{00000000-0010-0000-0200-000001000000}" name="Chave" dataDxfId="36"/>
    <tableColumn id="2" xr3:uid="{00000000-0010-0000-0200-000002000000}" name="UF" dataDxfId="35"/>
    <tableColumn id="3" xr3:uid="{00000000-0010-0000-0200-000003000000}" name="Nº NF-e" dataDxfId="34"/>
    <tableColumn id="4" xr3:uid="{00000000-0010-0000-0200-000004000000}" name="Fornecedor" dataDxfId="33"/>
    <tableColumn id="16" xr3:uid="{77580AC7-DCF5-4F42-93DA-64B4150DB151}" name="CNPJ" dataDxfId="32"/>
    <tableColumn id="5" xr3:uid="{00000000-0010-0000-0200-000005000000}" name="Produto" dataDxfId="31"/>
    <tableColumn id="14" xr3:uid="{00000000-0010-0000-0200-00000E000000}" name="NCM" dataDxfId="30"/>
    <tableColumn id="6" xr3:uid="{00000000-0010-0000-0200-000006000000}" name="CFOP" dataDxfId="29"/>
    <tableColumn id="7" xr3:uid="{00000000-0010-0000-0200-000007000000}" name="CST" dataDxfId="28"/>
    <tableColumn id="8" xr3:uid="{00000000-0010-0000-0200-000008000000}" name="FRETE" dataDxfId="27"/>
    <tableColumn id="9" xr3:uid="{00000000-0010-0000-0200-000009000000}" name="DESPESAS" dataDxfId="26"/>
    <tableColumn id="10" xr3:uid="{00000000-0010-0000-0200-00000A000000}" name="IPI" dataDxfId="25"/>
    <tableColumn id="11" xr3:uid="{00000000-0010-0000-0200-00000B000000}" name="Vl. Produto" dataDxfId="24"/>
    <tableColumn id="15" xr3:uid="{87D8C259-62B2-4181-9E20-550B7DDDABF2}" name="Quant." dataDxfId="23"/>
    <tableColumn id="12" xr3:uid="{00000000-0010-0000-0200-00000C000000}" name="Aliq.%" dataDxfId="22"/>
    <tableColumn id="13" xr3:uid="{00000000-0010-0000-0200-00000D000000}" name="ICMS ST a Recolher" dataDxfId="21">
      <calculatedColumnFormula>(Tabela224[[#This Row],[FRETE]]+Tabela224[[#This Row],[DESPESAS]]+Tabela224[[#This Row],[IPI]]+Tabela224[[#This Row],[Vl. Produto]])*Tabela224[[#This Row],[Aliq.%]]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216A45-501E-408E-AB90-68F25024370B}" name="Tabela2246" displayName="Tabela2246" ref="D1:S1000" totalsRowShown="0" headerRowDxfId="20" dataDxfId="18" headerRowBorderDxfId="19" tableBorderDxfId="17" totalsRowBorderDxfId="16">
  <autoFilter ref="D1:S1000" xr:uid="{00000000-0009-0000-0100-000003000000}"/>
  <tableColumns count="16">
    <tableColumn id="1" xr3:uid="{BFA3F92F-9F9B-4E1B-AB25-7D8752679AF1}" name="Chave" dataDxfId="15"/>
    <tableColumn id="2" xr3:uid="{A44D1D33-00B8-4839-A966-687A169B86E9}" name="UF" dataDxfId="14"/>
    <tableColumn id="3" xr3:uid="{EC7E9B7C-5A68-4436-9AE3-D61B83EDA175}" name="Nº NF-e" dataDxfId="13"/>
    <tableColumn id="4" xr3:uid="{5AE4840E-52E5-42F9-BEF2-0708D5761719}" name="Fornecedor" dataDxfId="12"/>
    <tableColumn id="16" xr3:uid="{0F0EE467-DE6C-4AEE-88C9-7107F3E7ACE2}" name="CNPJ" dataDxfId="11"/>
    <tableColumn id="5" xr3:uid="{705EC462-64D3-49EF-87F2-444A6713BD84}" name="Produto" dataDxfId="10"/>
    <tableColumn id="14" xr3:uid="{824B46D2-DACD-4D94-B0A1-1ACBEC70C6B5}" name="NCM" dataDxfId="9"/>
    <tableColumn id="6" xr3:uid="{F3F76060-9A57-4F06-BD9C-7131BF1D81AF}" name="CFOP" dataDxfId="8"/>
    <tableColumn id="7" xr3:uid="{92D2D098-B818-46CD-8C1C-1F0E4FF449B2}" name="CST" dataDxfId="7"/>
    <tableColumn id="8" xr3:uid="{6335F039-8857-4B97-B29D-F473F1422B54}" name="FRETE" dataDxfId="6"/>
    <tableColumn id="9" xr3:uid="{295B9193-8736-49F4-AD86-D9DCE06FFCF6}" name="DESPESAS" dataDxfId="5"/>
    <tableColumn id="10" xr3:uid="{B5C19525-632B-47B2-AEEB-7891271C9F01}" name="IPI" dataDxfId="4"/>
    <tableColumn id="11" xr3:uid="{4DBB058D-40E0-4BCF-8090-EED5ED9DC7B7}" name="Vl. Produto" dataDxfId="3"/>
    <tableColumn id="15" xr3:uid="{CD1B2A78-5432-4B39-80B3-9A994804F6C6}" name="Quant." dataDxfId="2"/>
    <tableColumn id="12" xr3:uid="{C2977517-D939-412D-BEF7-EE8A7AAA7DCC}" name="Aliq.%" dataDxfId="1"/>
    <tableColumn id="13" xr3:uid="{C60B5600-931C-421E-8B4F-A3480456DEBA}" name="ICMS ST a Recolher" dataDxfId="0">
      <calculatedColumnFormula>(Tabela2246[[#This Row],[FRETE]]+Tabela2246[[#This Row],[DESPESAS]]+Tabela2246[[#This Row],[IPI]]+Tabela2246[[#This Row],[Vl. Produto]])*Tabela2246[[#This Row],[Aliq.%]]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B1:U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7" width="10.7109375" style="17" customWidth="1"/>
    <col min="18" max="18" width="10.7109375" style="3" customWidth="1"/>
    <col min="19" max="19" width="20.7109375" style="4" customWidth="1"/>
    <col min="20" max="20" width="1.85546875" style="1" customWidth="1"/>
    <col min="21" max="21" width="10.7109375" style="1" customWidth="1"/>
    <col min="22" max="16384" width="9.140625" style="1"/>
  </cols>
  <sheetData>
    <row r="1" spans="2:21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34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35</v>
      </c>
      <c r="R1" s="13" t="s">
        <v>1</v>
      </c>
      <c r="S1" s="14" t="s">
        <v>2</v>
      </c>
      <c r="U1" s="47">
        <f>SUBTOTAL(109,Tabela2[ICMS ST a Recolher])</f>
        <v>0</v>
      </c>
    </row>
    <row r="2" spans="2:21" x14ac:dyDescent="0.25">
      <c r="B2" s="9"/>
      <c r="C2" s="6"/>
      <c r="M2" s="46"/>
      <c r="N2" s="46"/>
      <c r="O2" s="46"/>
      <c r="P2" s="46"/>
      <c r="R2" s="15">
        <v>1.54E-2</v>
      </c>
      <c r="S2" s="18">
        <f>(Tabela2[[#This Row],[FRETE]]+Tabela2[[#This Row],[DESPESAS]]+Tabela2[[#This Row],[IPI]]+Tabela2[[#This Row],[Vl. Produto]])*Tabela2[[#This Row],[Aliq.%]]</f>
        <v>0</v>
      </c>
    </row>
    <row r="3" spans="2:21" x14ac:dyDescent="0.25">
      <c r="B3" s="9"/>
      <c r="C3" s="6"/>
      <c r="M3" s="46"/>
      <c r="N3" s="46"/>
      <c r="O3" s="46"/>
      <c r="P3" s="46"/>
      <c r="R3" s="15">
        <v>1.54E-2</v>
      </c>
      <c r="S3" s="18">
        <f>(Tabela2[[#This Row],[FRETE]]+Tabela2[[#This Row],[DESPESAS]]+Tabela2[[#This Row],[IPI]]+Tabela2[[#This Row],[Vl. Produto]])*Tabela2[[#This Row],[Aliq.%]]</f>
        <v>0</v>
      </c>
    </row>
    <row r="4" spans="2:21" x14ac:dyDescent="0.25">
      <c r="B4" s="9"/>
      <c r="C4" s="6"/>
      <c r="M4" s="46"/>
      <c r="N4" s="46"/>
      <c r="O4" s="46"/>
      <c r="P4" s="46"/>
      <c r="R4" s="15">
        <v>1.54E-2</v>
      </c>
      <c r="S4" s="18">
        <f>(Tabela2[[#This Row],[FRETE]]+Tabela2[[#This Row],[DESPESAS]]+Tabela2[[#This Row],[IPI]]+Tabela2[[#This Row],[Vl. Produto]])*Tabela2[[#This Row],[Aliq.%]]</f>
        <v>0</v>
      </c>
    </row>
    <row r="5" spans="2:21" x14ac:dyDescent="0.25">
      <c r="B5" s="9"/>
      <c r="C5" s="6"/>
      <c r="M5" s="46"/>
      <c r="N5" s="46"/>
      <c r="O5" s="46"/>
      <c r="P5" s="46"/>
      <c r="R5" s="15">
        <v>1.54E-2</v>
      </c>
      <c r="S5" s="18">
        <f>(Tabela2[[#This Row],[FRETE]]+Tabela2[[#This Row],[DESPESAS]]+Tabela2[[#This Row],[IPI]]+Tabela2[[#This Row],[Vl. Produto]])*Tabela2[[#This Row],[Aliq.%]]</f>
        <v>0</v>
      </c>
    </row>
    <row r="6" spans="2:21" x14ac:dyDescent="0.25">
      <c r="B6" s="9"/>
      <c r="C6" s="6"/>
      <c r="M6" s="46"/>
      <c r="N6" s="46"/>
      <c r="O6" s="46"/>
      <c r="P6" s="46"/>
      <c r="R6" s="15">
        <v>1.54E-2</v>
      </c>
      <c r="S6" s="18">
        <f>(Tabela2[[#This Row],[FRETE]]+Tabela2[[#This Row],[DESPESAS]]+Tabela2[[#This Row],[IPI]]+Tabela2[[#This Row],[Vl. Produto]])*Tabela2[[#This Row],[Aliq.%]]</f>
        <v>0</v>
      </c>
    </row>
    <row r="7" spans="2:21" x14ac:dyDescent="0.25">
      <c r="B7" s="9"/>
      <c r="C7" s="6"/>
      <c r="M7" s="46"/>
      <c r="N7" s="46"/>
      <c r="O7" s="46"/>
      <c r="P7" s="46"/>
      <c r="R7" s="15">
        <v>1.54E-2</v>
      </c>
      <c r="S7" s="18">
        <f>(Tabela2[[#This Row],[FRETE]]+Tabela2[[#This Row],[DESPESAS]]+Tabela2[[#This Row],[IPI]]+Tabela2[[#This Row],[Vl. Produto]])*Tabela2[[#This Row],[Aliq.%]]</f>
        <v>0</v>
      </c>
    </row>
    <row r="8" spans="2:21" x14ac:dyDescent="0.25">
      <c r="B8" s="9"/>
      <c r="C8" s="6"/>
      <c r="M8" s="46"/>
      <c r="N8" s="46"/>
      <c r="O8" s="46"/>
      <c r="P8" s="46"/>
      <c r="R8" s="15">
        <v>1.54E-2</v>
      </c>
      <c r="S8" s="18">
        <f>(Tabela2[[#This Row],[FRETE]]+Tabela2[[#This Row],[DESPESAS]]+Tabela2[[#This Row],[IPI]]+Tabela2[[#This Row],[Vl. Produto]])*Tabela2[[#This Row],[Aliq.%]]</f>
        <v>0</v>
      </c>
    </row>
    <row r="9" spans="2:21" x14ac:dyDescent="0.25">
      <c r="B9" s="62" t="s">
        <v>13</v>
      </c>
      <c r="C9" s="6"/>
      <c r="M9" s="46"/>
      <c r="N9" s="46"/>
      <c r="O9" s="46"/>
      <c r="P9" s="46"/>
      <c r="R9" s="15">
        <v>1.54E-2</v>
      </c>
      <c r="S9" s="18">
        <f>(Tabela2[[#This Row],[FRETE]]+Tabela2[[#This Row],[DESPESAS]]+Tabela2[[#This Row],[IPI]]+Tabela2[[#This Row],[Vl. Produto]])*Tabela2[[#This Row],[Aliq.%]]</f>
        <v>0</v>
      </c>
    </row>
    <row r="10" spans="2:21" x14ac:dyDescent="0.25">
      <c r="B10" s="62"/>
      <c r="C10" s="6"/>
      <c r="M10" s="46"/>
      <c r="N10" s="46"/>
      <c r="O10" s="46"/>
      <c r="P10" s="46"/>
      <c r="R10" s="15">
        <v>1.54E-2</v>
      </c>
      <c r="S10" s="18">
        <f>(Tabela2[[#This Row],[FRETE]]+Tabela2[[#This Row],[DESPESAS]]+Tabela2[[#This Row],[IPI]]+Tabela2[[#This Row],[Vl. Produto]])*Tabela2[[#This Row],[Aliq.%]]</f>
        <v>0</v>
      </c>
    </row>
    <row r="11" spans="2:21" x14ac:dyDescent="0.25">
      <c r="B11" s="62"/>
      <c r="C11" s="6"/>
      <c r="M11" s="46"/>
      <c r="N11" s="46"/>
      <c r="O11" s="46"/>
      <c r="P11" s="46"/>
      <c r="R11" s="15">
        <v>1.54E-2</v>
      </c>
      <c r="S11" s="18">
        <f>(Tabela2[[#This Row],[FRETE]]+Tabela2[[#This Row],[DESPESAS]]+Tabela2[[#This Row],[IPI]]+Tabela2[[#This Row],[Vl. Produto]])*Tabela2[[#This Row],[Aliq.%]]</f>
        <v>0</v>
      </c>
    </row>
    <row r="12" spans="2:21" x14ac:dyDescent="0.25">
      <c r="B12" s="62"/>
      <c r="C12" s="6"/>
      <c r="M12" s="46"/>
      <c r="N12" s="46"/>
      <c r="O12" s="46"/>
      <c r="P12" s="46"/>
      <c r="R12" s="15">
        <v>1.54E-2</v>
      </c>
      <c r="S12" s="18">
        <f>(Tabela2[[#This Row],[FRETE]]+Tabela2[[#This Row],[DESPESAS]]+Tabela2[[#This Row],[IPI]]+Tabela2[[#This Row],[Vl. Produto]])*Tabela2[[#This Row],[Aliq.%]]</f>
        <v>0</v>
      </c>
    </row>
    <row r="13" spans="2:21" x14ac:dyDescent="0.25">
      <c r="B13" s="62"/>
      <c r="C13" s="6"/>
      <c r="M13" s="46"/>
      <c r="N13" s="46"/>
      <c r="O13" s="46"/>
      <c r="P13" s="46"/>
      <c r="R13" s="15">
        <v>1.54E-2</v>
      </c>
      <c r="S13" s="18">
        <f>(Tabela2[[#This Row],[FRETE]]+Tabela2[[#This Row],[DESPESAS]]+Tabela2[[#This Row],[IPI]]+Tabela2[[#This Row],[Vl. Produto]])*Tabela2[[#This Row],[Aliq.%]]</f>
        <v>0</v>
      </c>
    </row>
    <row r="14" spans="2:21" x14ac:dyDescent="0.25">
      <c r="B14" s="62"/>
      <c r="C14" s="6"/>
      <c r="M14" s="46"/>
      <c r="N14" s="46"/>
      <c r="O14" s="46"/>
      <c r="P14" s="46"/>
      <c r="R14" s="15">
        <v>1.54E-2</v>
      </c>
      <c r="S14" s="18">
        <f>(Tabela2[[#This Row],[FRETE]]+Tabela2[[#This Row],[DESPESAS]]+Tabela2[[#This Row],[IPI]]+Tabela2[[#This Row],[Vl. Produto]])*Tabela2[[#This Row],[Aliq.%]]</f>
        <v>0</v>
      </c>
    </row>
    <row r="15" spans="2:21" x14ac:dyDescent="0.25">
      <c r="B15" s="62"/>
      <c r="C15" s="6"/>
      <c r="M15" s="46"/>
      <c r="N15" s="46"/>
      <c r="O15" s="46"/>
      <c r="P15" s="46"/>
      <c r="R15" s="15">
        <v>1.54E-2</v>
      </c>
      <c r="S15" s="18">
        <f>(Tabela2[[#This Row],[FRETE]]+Tabela2[[#This Row],[DESPESAS]]+Tabela2[[#This Row],[IPI]]+Tabela2[[#This Row],[Vl. Produto]])*Tabela2[[#This Row],[Aliq.%]]</f>
        <v>0</v>
      </c>
    </row>
    <row r="16" spans="2:21" x14ac:dyDescent="0.25">
      <c r="B16" s="62"/>
      <c r="C16" s="6"/>
      <c r="M16" s="46"/>
      <c r="N16" s="46"/>
      <c r="O16" s="46"/>
      <c r="P16" s="46"/>
      <c r="R16" s="15">
        <v>1.54E-2</v>
      </c>
      <c r="S16" s="18">
        <f>(Tabela2[[#This Row],[FRETE]]+Tabela2[[#This Row],[DESPESAS]]+Tabela2[[#This Row],[IPI]]+Tabela2[[#This Row],[Vl. Produto]])*Tabela2[[#This Row],[Aliq.%]]</f>
        <v>0</v>
      </c>
    </row>
    <row r="17" spans="2:19" x14ac:dyDescent="0.25">
      <c r="B17" s="62"/>
      <c r="C17" s="6"/>
      <c r="M17" s="46"/>
      <c r="N17" s="46"/>
      <c r="O17" s="46"/>
      <c r="P17" s="46"/>
      <c r="R17" s="15">
        <v>1.54E-2</v>
      </c>
      <c r="S17" s="18">
        <f>(Tabela2[[#This Row],[FRETE]]+Tabela2[[#This Row],[DESPESAS]]+Tabela2[[#This Row],[IPI]]+Tabela2[[#This Row],[Vl. Produto]])*Tabela2[[#This Row],[Aliq.%]]</f>
        <v>0</v>
      </c>
    </row>
    <row r="18" spans="2:19" x14ac:dyDescent="0.25">
      <c r="B18" s="9"/>
      <c r="C18" s="6"/>
      <c r="M18" s="46"/>
      <c r="N18" s="46"/>
      <c r="O18" s="46"/>
      <c r="P18" s="46"/>
      <c r="R18" s="15">
        <v>1.54E-2</v>
      </c>
      <c r="S18" s="18">
        <f>(Tabela2[[#This Row],[FRETE]]+Tabela2[[#This Row],[DESPESAS]]+Tabela2[[#This Row],[IPI]]+Tabela2[[#This Row],[Vl. Produto]])*Tabela2[[#This Row],[Aliq.%]]</f>
        <v>0</v>
      </c>
    </row>
    <row r="19" spans="2:19" x14ac:dyDescent="0.25">
      <c r="B19" s="9"/>
      <c r="C19" s="6"/>
      <c r="M19" s="46"/>
      <c r="N19" s="46"/>
      <c r="O19" s="46"/>
      <c r="P19" s="46"/>
      <c r="R19" s="15">
        <v>1.54E-2</v>
      </c>
      <c r="S19" s="18">
        <f>(Tabela2[[#This Row],[FRETE]]+Tabela2[[#This Row],[DESPESAS]]+Tabela2[[#This Row],[IPI]]+Tabela2[[#This Row],[Vl. Produto]])*Tabela2[[#This Row],[Aliq.%]]</f>
        <v>0</v>
      </c>
    </row>
    <row r="20" spans="2:19" x14ac:dyDescent="0.25">
      <c r="B20" s="9"/>
      <c r="C20" s="6"/>
      <c r="M20" s="46"/>
      <c r="N20" s="46"/>
      <c r="O20" s="46"/>
      <c r="P20" s="46"/>
      <c r="R20" s="15">
        <v>1.54E-2</v>
      </c>
      <c r="S20" s="18">
        <f>(Tabela2[[#This Row],[FRETE]]+Tabela2[[#This Row],[DESPESAS]]+Tabela2[[#This Row],[IPI]]+Tabela2[[#This Row],[Vl. Produto]])*Tabela2[[#This Row],[Aliq.%]]</f>
        <v>0</v>
      </c>
    </row>
    <row r="21" spans="2:19" x14ac:dyDescent="0.25">
      <c r="B21" s="9"/>
      <c r="C21" s="6"/>
      <c r="M21" s="46"/>
      <c r="N21" s="46"/>
      <c r="O21" s="46"/>
      <c r="P21" s="46"/>
      <c r="R21" s="15">
        <v>1.54E-2</v>
      </c>
      <c r="S21" s="18">
        <f>(Tabela2[[#This Row],[FRETE]]+Tabela2[[#This Row],[DESPESAS]]+Tabela2[[#This Row],[IPI]]+Tabela2[[#This Row],[Vl. Produto]])*Tabela2[[#This Row],[Aliq.%]]</f>
        <v>0</v>
      </c>
    </row>
    <row r="22" spans="2:19" x14ac:dyDescent="0.25">
      <c r="B22" s="9"/>
      <c r="C22" s="6"/>
      <c r="M22" s="46"/>
      <c r="N22" s="46"/>
      <c r="O22" s="46"/>
      <c r="P22" s="46"/>
      <c r="R22" s="15">
        <v>1.54E-2</v>
      </c>
      <c r="S22" s="18">
        <f>(Tabela2[[#This Row],[FRETE]]+Tabela2[[#This Row],[DESPESAS]]+Tabela2[[#This Row],[IPI]]+Tabela2[[#This Row],[Vl. Produto]])*Tabela2[[#This Row],[Aliq.%]]</f>
        <v>0</v>
      </c>
    </row>
    <row r="23" spans="2:19" x14ac:dyDescent="0.25">
      <c r="B23" s="9"/>
      <c r="C23" s="6"/>
      <c r="M23" s="46"/>
      <c r="N23" s="46"/>
      <c r="O23" s="46"/>
      <c r="P23" s="46"/>
      <c r="R23" s="15">
        <v>1.54E-2</v>
      </c>
      <c r="S23" s="18">
        <f>(Tabela2[[#This Row],[FRETE]]+Tabela2[[#This Row],[DESPESAS]]+Tabela2[[#This Row],[IPI]]+Tabela2[[#This Row],[Vl. Produto]])*Tabela2[[#This Row],[Aliq.%]]</f>
        <v>0</v>
      </c>
    </row>
    <row r="24" spans="2:19" x14ac:dyDescent="0.25">
      <c r="B24" s="9"/>
      <c r="C24" s="6"/>
      <c r="M24" s="46"/>
      <c r="N24" s="46"/>
      <c r="O24" s="46"/>
      <c r="P24" s="46"/>
      <c r="R24" s="15">
        <v>1.54E-2</v>
      </c>
      <c r="S24" s="18">
        <f>(Tabela2[[#This Row],[FRETE]]+Tabela2[[#This Row],[DESPESAS]]+Tabela2[[#This Row],[IPI]]+Tabela2[[#This Row],[Vl. Produto]])*Tabela2[[#This Row],[Aliq.%]]</f>
        <v>0</v>
      </c>
    </row>
    <row r="25" spans="2:19" x14ac:dyDescent="0.25">
      <c r="B25" s="9"/>
      <c r="C25" s="6"/>
      <c r="M25" s="46"/>
      <c r="N25" s="46"/>
      <c r="O25" s="46"/>
      <c r="P25" s="46"/>
      <c r="R25" s="15">
        <v>1.54E-2</v>
      </c>
      <c r="S25" s="18">
        <f>(Tabela2[[#This Row],[FRETE]]+Tabela2[[#This Row],[DESPESAS]]+Tabela2[[#This Row],[IPI]]+Tabela2[[#This Row],[Vl. Produto]])*Tabela2[[#This Row],[Aliq.%]]</f>
        <v>0</v>
      </c>
    </row>
    <row r="26" spans="2:19" x14ac:dyDescent="0.25">
      <c r="B26" s="9"/>
      <c r="C26" s="6"/>
      <c r="M26" s="46"/>
      <c r="N26" s="46"/>
      <c r="O26" s="46"/>
      <c r="P26" s="46"/>
      <c r="R26" s="15">
        <v>1.54E-2</v>
      </c>
      <c r="S26" s="18">
        <f>(Tabela2[[#This Row],[FRETE]]+Tabela2[[#This Row],[DESPESAS]]+Tabela2[[#This Row],[IPI]]+Tabela2[[#This Row],[Vl. Produto]])*Tabela2[[#This Row],[Aliq.%]]</f>
        <v>0</v>
      </c>
    </row>
    <row r="27" spans="2:19" x14ac:dyDescent="0.25">
      <c r="B27" s="9"/>
      <c r="C27" s="6"/>
      <c r="M27" s="46"/>
      <c r="N27" s="46"/>
      <c r="O27" s="46"/>
      <c r="P27" s="46"/>
      <c r="R27" s="15">
        <v>1.54E-2</v>
      </c>
      <c r="S27" s="18">
        <f>(Tabela2[[#This Row],[FRETE]]+Tabela2[[#This Row],[DESPESAS]]+Tabela2[[#This Row],[IPI]]+Tabela2[[#This Row],[Vl. Produto]])*Tabela2[[#This Row],[Aliq.%]]</f>
        <v>0</v>
      </c>
    </row>
    <row r="28" spans="2:19" x14ac:dyDescent="0.25">
      <c r="M28" s="46"/>
      <c r="N28" s="46"/>
      <c r="O28" s="46"/>
      <c r="P28" s="46"/>
      <c r="R28" s="15">
        <v>1.54E-2</v>
      </c>
      <c r="S28" s="18">
        <f>(Tabela2[[#This Row],[FRETE]]+Tabela2[[#This Row],[DESPESAS]]+Tabela2[[#This Row],[IPI]]+Tabela2[[#This Row],[Vl. Produto]])*Tabela2[[#This Row],[Aliq.%]]</f>
        <v>0</v>
      </c>
    </row>
    <row r="29" spans="2:19" x14ac:dyDescent="0.25">
      <c r="M29" s="46"/>
      <c r="N29" s="46"/>
      <c r="O29" s="46"/>
      <c r="P29" s="46"/>
      <c r="R29" s="15">
        <v>1.54E-2</v>
      </c>
      <c r="S29" s="18">
        <f>(Tabela2[[#This Row],[FRETE]]+Tabela2[[#This Row],[DESPESAS]]+Tabela2[[#This Row],[IPI]]+Tabela2[[#This Row],[Vl. Produto]])*Tabela2[[#This Row],[Aliq.%]]</f>
        <v>0</v>
      </c>
    </row>
    <row r="30" spans="2:19" x14ac:dyDescent="0.25">
      <c r="M30" s="46"/>
      <c r="N30" s="46"/>
      <c r="O30" s="46"/>
      <c r="P30" s="46"/>
      <c r="R30" s="15">
        <v>1.54E-2</v>
      </c>
      <c r="S30" s="18">
        <f>(Tabela2[[#This Row],[FRETE]]+Tabela2[[#This Row],[DESPESAS]]+Tabela2[[#This Row],[IPI]]+Tabela2[[#This Row],[Vl. Produto]])*Tabela2[[#This Row],[Aliq.%]]</f>
        <v>0</v>
      </c>
    </row>
    <row r="31" spans="2:19" x14ac:dyDescent="0.25">
      <c r="M31" s="46"/>
      <c r="N31" s="46"/>
      <c r="O31" s="46"/>
      <c r="P31" s="46"/>
      <c r="R31" s="15">
        <v>1.54E-2</v>
      </c>
      <c r="S31" s="18">
        <f>(Tabela2[[#This Row],[FRETE]]+Tabela2[[#This Row],[DESPESAS]]+Tabela2[[#This Row],[IPI]]+Tabela2[[#This Row],[Vl. Produto]])*Tabela2[[#This Row],[Aliq.%]]</f>
        <v>0</v>
      </c>
    </row>
    <row r="32" spans="2:19" x14ac:dyDescent="0.25">
      <c r="M32" s="46"/>
      <c r="N32" s="46"/>
      <c r="O32" s="46"/>
      <c r="P32" s="46"/>
      <c r="R32" s="15">
        <v>1.54E-2</v>
      </c>
      <c r="S32" s="18">
        <f>(Tabela2[[#This Row],[FRETE]]+Tabela2[[#This Row],[DESPESAS]]+Tabela2[[#This Row],[IPI]]+Tabela2[[#This Row],[Vl. Produto]])*Tabela2[[#This Row],[Aliq.%]]</f>
        <v>0</v>
      </c>
    </row>
    <row r="33" spans="13:19" x14ac:dyDescent="0.25">
      <c r="M33" s="46"/>
      <c r="N33" s="46"/>
      <c r="O33" s="46"/>
      <c r="P33" s="46"/>
      <c r="R33" s="15">
        <v>1.54E-2</v>
      </c>
      <c r="S33" s="18">
        <f>(Tabela2[[#This Row],[FRETE]]+Tabela2[[#This Row],[DESPESAS]]+Tabela2[[#This Row],[IPI]]+Tabela2[[#This Row],[Vl. Produto]])*Tabela2[[#This Row],[Aliq.%]]</f>
        <v>0</v>
      </c>
    </row>
    <row r="34" spans="13:19" x14ac:dyDescent="0.25">
      <c r="M34" s="46"/>
      <c r="N34" s="46"/>
      <c r="O34" s="46"/>
      <c r="P34" s="46"/>
      <c r="R34" s="15">
        <v>1.54E-2</v>
      </c>
      <c r="S34" s="18">
        <f>(Tabela2[[#This Row],[FRETE]]+Tabela2[[#This Row],[DESPESAS]]+Tabela2[[#This Row],[IPI]]+Tabela2[[#This Row],[Vl. Produto]])*Tabela2[[#This Row],[Aliq.%]]</f>
        <v>0</v>
      </c>
    </row>
    <row r="35" spans="13:19" x14ac:dyDescent="0.25">
      <c r="M35" s="46"/>
      <c r="N35" s="46"/>
      <c r="O35" s="46"/>
      <c r="P35" s="46"/>
      <c r="R35" s="15">
        <v>1.54E-2</v>
      </c>
      <c r="S35" s="18">
        <f>(Tabela2[[#This Row],[FRETE]]+Tabela2[[#This Row],[DESPESAS]]+Tabela2[[#This Row],[IPI]]+Tabela2[[#This Row],[Vl. Produto]])*Tabela2[[#This Row],[Aliq.%]]</f>
        <v>0</v>
      </c>
    </row>
    <row r="36" spans="13:19" x14ac:dyDescent="0.25">
      <c r="M36" s="46"/>
      <c r="N36" s="46"/>
      <c r="O36" s="46"/>
      <c r="P36" s="46"/>
      <c r="R36" s="15">
        <v>1.54E-2</v>
      </c>
      <c r="S36" s="18">
        <f>(Tabela2[[#This Row],[FRETE]]+Tabela2[[#This Row],[DESPESAS]]+Tabela2[[#This Row],[IPI]]+Tabela2[[#This Row],[Vl. Produto]])*Tabela2[[#This Row],[Aliq.%]]</f>
        <v>0</v>
      </c>
    </row>
    <row r="37" spans="13:19" x14ac:dyDescent="0.25">
      <c r="M37" s="46"/>
      <c r="N37" s="46"/>
      <c r="O37" s="46"/>
      <c r="P37" s="46"/>
      <c r="R37" s="15">
        <v>1.54E-2</v>
      </c>
      <c r="S37" s="18">
        <f>(Tabela2[[#This Row],[FRETE]]+Tabela2[[#This Row],[DESPESAS]]+Tabela2[[#This Row],[IPI]]+Tabela2[[#This Row],[Vl. Produto]])*Tabela2[[#This Row],[Aliq.%]]</f>
        <v>0</v>
      </c>
    </row>
    <row r="38" spans="13:19" x14ac:dyDescent="0.25">
      <c r="M38" s="46"/>
      <c r="N38" s="46"/>
      <c r="O38" s="46"/>
      <c r="P38" s="46"/>
      <c r="R38" s="15">
        <v>1.54E-2</v>
      </c>
      <c r="S38" s="18">
        <f>(Tabela2[[#This Row],[FRETE]]+Tabela2[[#This Row],[DESPESAS]]+Tabela2[[#This Row],[IPI]]+Tabela2[[#This Row],[Vl. Produto]])*Tabela2[[#This Row],[Aliq.%]]</f>
        <v>0</v>
      </c>
    </row>
    <row r="39" spans="13:19" x14ac:dyDescent="0.25">
      <c r="M39" s="46"/>
      <c r="N39" s="46"/>
      <c r="O39" s="46"/>
      <c r="P39" s="46"/>
      <c r="R39" s="15">
        <v>1.54E-2</v>
      </c>
      <c r="S39" s="18">
        <f>(Tabela2[[#This Row],[FRETE]]+Tabela2[[#This Row],[DESPESAS]]+Tabela2[[#This Row],[IPI]]+Tabela2[[#This Row],[Vl. Produto]])*Tabela2[[#This Row],[Aliq.%]]</f>
        <v>0</v>
      </c>
    </row>
    <row r="40" spans="13:19" x14ac:dyDescent="0.25">
      <c r="M40" s="46"/>
      <c r="N40" s="46"/>
      <c r="O40" s="46"/>
      <c r="P40" s="46"/>
      <c r="R40" s="15">
        <v>1.54E-2</v>
      </c>
      <c r="S40" s="18">
        <f>(Tabela2[[#This Row],[FRETE]]+Tabela2[[#This Row],[DESPESAS]]+Tabela2[[#This Row],[IPI]]+Tabela2[[#This Row],[Vl. Produto]])*Tabela2[[#This Row],[Aliq.%]]</f>
        <v>0</v>
      </c>
    </row>
    <row r="41" spans="13:19" x14ac:dyDescent="0.25">
      <c r="M41" s="46"/>
      <c r="N41" s="46"/>
      <c r="O41" s="46"/>
      <c r="P41" s="46"/>
      <c r="R41" s="15">
        <v>1.54E-2</v>
      </c>
      <c r="S41" s="18">
        <f>(Tabela2[[#This Row],[FRETE]]+Tabela2[[#This Row],[DESPESAS]]+Tabela2[[#This Row],[IPI]]+Tabela2[[#This Row],[Vl. Produto]])*Tabela2[[#This Row],[Aliq.%]]</f>
        <v>0</v>
      </c>
    </row>
    <row r="42" spans="13:19" x14ac:dyDescent="0.25">
      <c r="M42" s="46"/>
      <c r="N42" s="46"/>
      <c r="O42" s="46"/>
      <c r="P42" s="46"/>
      <c r="R42" s="15">
        <v>1.54E-2</v>
      </c>
      <c r="S42" s="18">
        <f>(Tabela2[[#This Row],[FRETE]]+Tabela2[[#This Row],[DESPESAS]]+Tabela2[[#This Row],[IPI]]+Tabela2[[#This Row],[Vl. Produto]])*Tabela2[[#This Row],[Aliq.%]]</f>
        <v>0</v>
      </c>
    </row>
    <row r="43" spans="13:19" x14ac:dyDescent="0.25">
      <c r="M43" s="46"/>
      <c r="N43" s="46"/>
      <c r="O43" s="46"/>
      <c r="P43" s="46"/>
      <c r="R43" s="15">
        <v>1.54E-2</v>
      </c>
      <c r="S43" s="18">
        <f>(Tabela2[[#This Row],[FRETE]]+Tabela2[[#This Row],[DESPESAS]]+Tabela2[[#This Row],[IPI]]+Tabela2[[#This Row],[Vl. Produto]])*Tabela2[[#This Row],[Aliq.%]]</f>
        <v>0</v>
      </c>
    </row>
    <row r="44" spans="13:19" x14ac:dyDescent="0.25">
      <c r="M44" s="46"/>
      <c r="N44" s="46"/>
      <c r="O44" s="46"/>
      <c r="P44" s="46"/>
      <c r="R44" s="15">
        <v>1.54E-2</v>
      </c>
      <c r="S44" s="18">
        <f>(Tabela2[[#This Row],[FRETE]]+Tabela2[[#This Row],[DESPESAS]]+Tabela2[[#This Row],[IPI]]+Tabela2[[#This Row],[Vl. Produto]])*Tabela2[[#This Row],[Aliq.%]]</f>
        <v>0</v>
      </c>
    </row>
    <row r="45" spans="13:19" x14ac:dyDescent="0.25">
      <c r="M45" s="46"/>
      <c r="N45" s="46"/>
      <c r="O45" s="46"/>
      <c r="P45" s="46"/>
      <c r="R45" s="15">
        <v>1.54E-2</v>
      </c>
      <c r="S45" s="18">
        <f>(Tabela2[[#This Row],[FRETE]]+Tabela2[[#This Row],[DESPESAS]]+Tabela2[[#This Row],[IPI]]+Tabela2[[#This Row],[Vl. Produto]])*Tabela2[[#This Row],[Aliq.%]]</f>
        <v>0</v>
      </c>
    </row>
    <row r="46" spans="13:19" x14ac:dyDescent="0.25">
      <c r="M46" s="46"/>
      <c r="N46" s="46"/>
      <c r="O46" s="46"/>
      <c r="P46" s="46"/>
      <c r="R46" s="15">
        <v>1.54E-2</v>
      </c>
      <c r="S46" s="18">
        <f>(Tabela2[[#This Row],[FRETE]]+Tabela2[[#This Row],[DESPESAS]]+Tabela2[[#This Row],[IPI]]+Tabela2[[#This Row],[Vl. Produto]])*Tabela2[[#This Row],[Aliq.%]]</f>
        <v>0</v>
      </c>
    </row>
    <row r="47" spans="13:19" x14ac:dyDescent="0.25">
      <c r="M47" s="46"/>
      <c r="N47" s="46"/>
      <c r="O47" s="46"/>
      <c r="P47" s="46"/>
      <c r="R47" s="15">
        <v>1.54E-2</v>
      </c>
      <c r="S47" s="18">
        <f>(Tabela2[[#This Row],[FRETE]]+Tabela2[[#This Row],[DESPESAS]]+Tabela2[[#This Row],[IPI]]+Tabela2[[#This Row],[Vl. Produto]])*Tabela2[[#This Row],[Aliq.%]]</f>
        <v>0</v>
      </c>
    </row>
    <row r="48" spans="13:19" x14ac:dyDescent="0.25">
      <c r="M48" s="46"/>
      <c r="N48" s="46"/>
      <c r="O48" s="46"/>
      <c r="P48" s="46"/>
      <c r="R48" s="15">
        <v>1.54E-2</v>
      </c>
      <c r="S48" s="18">
        <f>(Tabela2[[#This Row],[FRETE]]+Tabela2[[#This Row],[DESPESAS]]+Tabela2[[#This Row],[IPI]]+Tabela2[[#This Row],[Vl. Produto]])*Tabela2[[#This Row],[Aliq.%]]</f>
        <v>0</v>
      </c>
    </row>
    <row r="49" spans="13:19" x14ac:dyDescent="0.25">
      <c r="M49" s="46"/>
      <c r="N49" s="46"/>
      <c r="O49" s="46"/>
      <c r="P49" s="46"/>
      <c r="R49" s="15">
        <v>1.54E-2</v>
      </c>
      <c r="S49" s="18">
        <f>(Tabela2[[#This Row],[FRETE]]+Tabela2[[#This Row],[DESPESAS]]+Tabela2[[#This Row],[IPI]]+Tabela2[[#This Row],[Vl. Produto]])*Tabela2[[#This Row],[Aliq.%]]</f>
        <v>0</v>
      </c>
    </row>
    <row r="50" spans="13:19" x14ac:dyDescent="0.25">
      <c r="M50" s="46"/>
      <c r="N50" s="46"/>
      <c r="O50" s="46"/>
      <c r="P50" s="46"/>
      <c r="R50" s="15">
        <v>1.54E-2</v>
      </c>
      <c r="S50" s="18">
        <f>(Tabela2[[#This Row],[FRETE]]+Tabela2[[#This Row],[DESPESAS]]+Tabela2[[#This Row],[IPI]]+Tabela2[[#This Row],[Vl. Produto]])*Tabela2[[#This Row],[Aliq.%]]</f>
        <v>0</v>
      </c>
    </row>
    <row r="51" spans="13:19" x14ac:dyDescent="0.25">
      <c r="M51" s="46"/>
      <c r="N51" s="46"/>
      <c r="O51" s="46"/>
      <c r="P51" s="46"/>
      <c r="R51" s="15">
        <v>1.54E-2</v>
      </c>
      <c r="S51" s="18">
        <f>(Tabela2[[#This Row],[FRETE]]+Tabela2[[#This Row],[DESPESAS]]+Tabela2[[#This Row],[IPI]]+Tabela2[[#This Row],[Vl. Produto]])*Tabela2[[#This Row],[Aliq.%]]</f>
        <v>0</v>
      </c>
    </row>
    <row r="52" spans="13:19" x14ac:dyDescent="0.25">
      <c r="M52" s="46"/>
      <c r="N52" s="46"/>
      <c r="O52" s="46"/>
      <c r="P52" s="46"/>
      <c r="R52" s="15">
        <v>1.54E-2</v>
      </c>
      <c r="S52" s="18">
        <f>(Tabela2[[#This Row],[FRETE]]+Tabela2[[#This Row],[DESPESAS]]+Tabela2[[#This Row],[IPI]]+Tabela2[[#This Row],[Vl. Produto]])*Tabela2[[#This Row],[Aliq.%]]</f>
        <v>0</v>
      </c>
    </row>
    <row r="53" spans="13:19" x14ac:dyDescent="0.25">
      <c r="M53" s="46"/>
      <c r="N53" s="46"/>
      <c r="O53" s="46"/>
      <c r="P53" s="46"/>
      <c r="R53" s="15">
        <v>1.54E-2</v>
      </c>
      <c r="S53" s="18">
        <f>(Tabela2[[#This Row],[FRETE]]+Tabela2[[#This Row],[DESPESAS]]+Tabela2[[#This Row],[IPI]]+Tabela2[[#This Row],[Vl. Produto]])*Tabela2[[#This Row],[Aliq.%]]</f>
        <v>0</v>
      </c>
    </row>
    <row r="54" spans="13:19" x14ac:dyDescent="0.25">
      <c r="M54" s="46"/>
      <c r="N54" s="46"/>
      <c r="O54" s="46"/>
      <c r="P54" s="46"/>
      <c r="R54" s="15">
        <v>1.54E-2</v>
      </c>
      <c r="S54" s="18">
        <f>(Tabela2[[#This Row],[FRETE]]+Tabela2[[#This Row],[DESPESAS]]+Tabela2[[#This Row],[IPI]]+Tabela2[[#This Row],[Vl. Produto]])*Tabela2[[#This Row],[Aliq.%]]</f>
        <v>0</v>
      </c>
    </row>
    <row r="55" spans="13:19" x14ac:dyDescent="0.25">
      <c r="M55" s="46"/>
      <c r="N55" s="46"/>
      <c r="O55" s="46"/>
      <c r="P55" s="46"/>
      <c r="R55" s="15">
        <v>1.54E-2</v>
      </c>
      <c r="S55" s="18">
        <f>(Tabela2[[#This Row],[FRETE]]+Tabela2[[#This Row],[DESPESAS]]+Tabela2[[#This Row],[IPI]]+Tabela2[[#This Row],[Vl. Produto]])*Tabela2[[#This Row],[Aliq.%]]</f>
        <v>0</v>
      </c>
    </row>
    <row r="56" spans="13:19" x14ac:dyDescent="0.25">
      <c r="M56" s="46"/>
      <c r="N56" s="46"/>
      <c r="O56" s="46"/>
      <c r="P56" s="46"/>
      <c r="R56" s="15">
        <v>1.54E-2</v>
      </c>
      <c r="S56" s="18">
        <f>(Tabela2[[#This Row],[FRETE]]+Tabela2[[#This Row],[DESPESAS]]+Tabela2[[#This Row],[IPI]]+Tabela2[[#This Row],[Vl. Produto]])*Tabela2[[#This Row],[Aliq.%]]</f>
        <v>0</v>
      </c>
    </row>
    <row r="57" spans="13:19" x14ac:dyDescent="0.25">
      <c r="M57" s="46"/>
      <c r="N57" s="46"/>
      <c r="O57" s="46"/>
      <c r="P57" s="46"/>
      <c r="R57" s="15">
        <v>1.54E-2</v>
      </c>
      <c r="S57" s="18">
        <f>(Tabela2[[#This Row],[FRETE]]+Tabela2[[#This Row],[DESPESAS]]+Tabela2[[#This Row],[IPI]]+Tabela2[[#This Row],[Vl. Produto]])*Tabela2[[#This Row],[Aliq.%]]</f>
        <v>0</v>
      </c>
    </row>
    <row r="58" spans="13:19" x14ac:dyDescent="0.25">
      <c r="M58" s="46"/>
      <c r="N58" s="46"/>
      <c r="O58" s="46"/>
      <c r="P58" s="46"/>
      <c r="R58" s="15">
        <v>1.54E-2</v>
      </c>
      <c r="S58" s="18">
        <f>(Tabela2[[#This Row],[FRETE]]+Tabela2[[#This Row],[DESPESAS]]+Tabela2[[#This Row],[IPI]]+Tabela2[[#This Row],[Vl. Produto]])*Tabela2[[#This Row],[Aliq.%]]</f>
        <v>0</v>
      </c>
    </row>
    <row r="59" spans="13:19" x14ac:dyDescent="0.25">
      <c r="M59" s="46"/>
      <c r="N59" s="46"/>
      <c r="O59" s="46"/>
      <c r="P59" s="46"/>
      <c r="R59" s="15">
        <v>1.54E-2</v>
      </c>
      <c r="S59" s="18">
        <f>(Tabela2[[#This Row],[FRETE]]+Tabela2[[#This Row],[DESPESAS]]+Tabela2[[#This Row],[IPI]]+Tabela2[[#This Row],[Vl. Produto]])*Tabela2[[#This Row],[Aliq.%]]</f>
        <v>0</v>
      </c>
    </row>
    <row r="60" spans="13:19" x14ac:dyDescent="0.25">
      <c r="M60" s="46"/>
      <c r="N60" s="46"/>
      <c r="O60" s="46"/>
      <c r="P60" s="46"/>
      <c r="R60" s="15">
        <v>1.54E-2</v>
      </c>
      <c r="S60" s="18">
        <f>(Tabela2[[#This Row],[FRETE]]+Tabela2[[#This Row],[DESPESAS]]+Tabela2[[#This Row],[IPI]]+Tabela2[[#This Row],[Vl. Produto]])*Tabela2[[#This Row],[Aliq.%]]</f>
        <v>0</v>
      </c>
    </row>
    <row r="61" spans="13:19" x14ac:dyDescent="0.25">
      <c r="M61" s="46"/>
      <c r="N61" s="46"/>
      <c r="O61" s="46"/>
      <c r="P61" s="46"/>
      <c r="R61" s="15">
        <v>1.54E-2</v>
      </c>
      <c r="S61" s="18">
        <f>(Tabela2[[#This Row],[FRETE]]+Tabela2[[#This Row],[DESPESAS]]+Tabela2[[#This Row],[IPI]]+Tabela2[[#This Row],[Vl. Produto]])*Tabela2[[#This Row],[Aliq.%]]</f>
        <v>0</v>
      </c>
    </row>
    <row r="62" spans="13:19" x14ac:dyDescent="0.25">
      <c r="M62" s="46"/>
      <c r="N62" s="46"/>
      <c r="O62" s="46"/>
      <c r="P62" s="46"/>
      <c r="R62" s="15">
        <v>1.54E-2</v>
      </c>
      <c r="S62" s="18">
        <f>(Tabela2[[#This Row],[FRETE]]+Tabela2[[#This Row],[DESPESAS]]+Tabela2[[#This Row],[IPI]]+Tabela2[[#This Row],[Vl. Produto]])*Tabela2[[#This Row],[Aliq.%]]</f>
        <v>0</v>
      </c>
    </row>
    <row r="63" spans="13:19" x14ac:dyDescent="0.25">
      <c r="M63" s="46"/>
      <c r="N63" s="46"/>
      <c r="O63" s="46"/>
      <c r="P63" s="46"/>
      <c r="R63" s="15">
        <v>1.54E-2</v>
      </c>
      <c r="S63" s="18">
        <f>(Tabela2[[#This Row],[FRETE]]+Tabela2[[#This Row],[DESPESAS]]+Tabela2[[#This Row],[IPI]]+Tabela2[[#This Row],[Vl. Produto]])*Tabela2[[#This Row],[Aliq.%]]</f>
        <v>0</v>
      </c>
    </row>
    <row r="64" spans="13:19" x14ac:dyDescent="0.25">
      <c r="M64" s="46"/>
      <c r="N64" s="46"/>
      <c r="O64" s="46"/>
      <c r="P64" s="46"/>
      <c r="R64" s="15">
        <v>1.54E-2</v>
      </c>
      <c r="S64" s="18">
        <f>(Tabela2[[#This Row],[FRETE]]+Tabela2[[#This Row],[DESPESAS]]+Tabela2[[#This Row],[IPI]]+Tabela2[[#This Row],[Vl. Produto]])*Tabela2[[#This Row],[Aliq.%]]</f>
        <v>0</v>
      </c>
    </row>
    <row r="65" spans="13:19" x14ac:dyDescent="0.25">
      <c r="M65" s="46"/>
      <c r="N65" s="46"/>
      <c r="O65" s="46"/>
      <c r="P65" s="46"/>
      <c r="R65" s="15">
        <v>1.54E-2</v>
      </c>
      <c r="S65" s="18">
        <f>(Tabela2[[#This Row],[FRETE]]+Tabela2[[#This Row],[DESPESAS]]+Tabela2[[#This Row],[IPI]]+Tabela2[[#This Row],[Vl. Produto]])*Tabela2[[#This Row],[Aliq.%]]</f>
        <v>0</v>
      </c>
    </row>
    <row r="66" spans="13:19" x14ac:dyDescent="0.25">
      <c r="M66" s="46"/>
      <c r="N66" s="46"/>
      <c r="O66" s="46"/>
      <c r="P66" s="46"/>
      <c r="R66" s="15">
        <v>1.54E-2</v>
      </c>
      <c r="S66" s="18">
        <f>(Tabela2[[#This Row],[FRETE]]+Tabela2[[#This Row],[DESPESAS]]+Tabela2[[#This Row],[IPI]]+Tabela2[[#This Row],[Vl. Produto]])*Tabela2[[#This Row],[Aliq.%]]</f>
        <v>0</v>
      </c>
    </row>
    <row r="67" spans="13:19" x14ac:dyDescent="0.25">
      <c r="M67" s="46"/>
      <c r="N67" s="46"/>
      <c r="O67" s="46"/>
      <c r="P67" s="46"/>
      <c r="R67" s="15">
        <v>1.54E-2</v>
      </c>
      <c r="S67" s="18">
        <f>(Tabela2[[#This Row],[FRETE]]+Tabela2[[#This Row],[DESPESAS]]+Tabela2[[#This Row],[IPI]]+Tabela2[[#This Row],[Vl. Produto]])*Tabela2[[#This Row],[Aliq.%]]</f>
        <v>0</v>
      </c>
    </row>
    <row r="68" spans="13:19" x14ac:dyDescent="0.25">
      <c r="M68" s="46"/>
      <c r="N68" s="46"/>
      <c r="O68" s="46"/>
      <c r="P68" s="46"/>
      <c r="R68" s="15">
        <v>1.54E-2</v>
      </c>
      <c r="S68" s="18">
        <f>(Tabela2[[#This Row],[FRETE]]+Tabela2[[#This Row],[DESPESAS]]+Tabela2[[#This Row],[IPI]]+Tabela2[[#This Row],[Vl. Produto]])*Tabela2[[#This Row],[Aliq.%]]</f>
        <v>0</v>
      </c>
    </row>
    <row r="69" spans="13:19" x14ac:dyDescent="0.25">
      <c r="M69" s="46"/>
      <c r="N69" s="46"/>
      <c r="O69" s="46"/>
      <c r="P69" s="46"/>
      <c r="R69" s="15">
        <v>1.54E-2</v>
      </c>
      <c r="S69" s="18">
        <f>(Tabela2[[#This Row],[FRETE]]+Tabela2[[#This Row],[DESPESAS]]+Tabela2[[#This Row],[IPI]]+Tabela2[[#This Row],[Vl. Produto]])*Tabela2[[#This Row],[Aliq.%]]</f>
        <v>0</v>
      </c>
    </row>
    <row r="70" spans="13:19" x14ac:dyDescent="0.25">
      <c r="M70" s="46"/>
      <c r="N70" s="46"/>
      <c r="O70" s="46"/>
      <c r="P70" s="46"/>
      <c r="R70" s="15">
        <v>1.54E-2</v>
      </c>
      <c r="S70" s="18">
        <f>(Tabela2[[#This Row],[FRETE]]+Tabela2[[#This Row],[DESPESAS]]+Tabela2[[#This Row],[IPI]]+Tabela2[[#This Row],[Vl. Produto]])*Tabela2[[#This Row],[Aliq.%]]</f>
        <v>0</v>
      </c>
    </row>
    <row r="71" spans="13:19" x14ac:dyDescent="0.25">
      <c r="M71" s="46"/>
      <c r="N71" s="46"/>
      <c r="O71" s="46"/>
      <c r="P71" s="46"/>
      <c r="R71" s="15">
        <v>1.54E-2</v>
      </c>
      <c r="S71" s="18">
        <f>(Tabela2[[#This Row],[FRETE]]+Tabela2[[#This Row],[DESPESAS]]+Tabela2[[#This Row],[IPI]]+Tabela2[[#This Row],[Vl. Produto]])*Tabela2[[#This Row],[Aliq.%]]</f>
        <v>0</v>
      </c>
    </row>
    <row r="72" spans="13:19" x14ac:dyDescent="0.25">
      <c r="M72" s="46"/>
      <c r="N72" s="46"/>
      <c r="O72" s="46"/>
      <c r="P72" s="46"/>
      <c r="R72" s="15">
        <v>1.54E-2</v>
      </c>
      <c r="S72" s="18">
        <f>(Tabela2[[#This Row],[FRETE]]+Tabela2[[#This Row],[DESPESAS]]+Tabela2[[#This Row],[IPI]]+Tabela2[[#This Row],[Vl. Produto]])*Tabela2[[#This Row],[Aliq.%]]</f>
        <v>0</v>
      </c>
    </row>
    <row r="73" spans="13:19" x14ac:dyDescent="0.25">
      <c r="M73" s="46"/>
      <c r="N73" s="46"/>
      <c r="O73" s="46"/>
      <c r="P73" s="46"/>
      <c r="R73" s="15">
        <v>1.54E-2</v>
      </c>
      <c r="S73" s="18">
        <f>(Tabela2[[#This Row],[FRETE]]+Tabela2[[#This Row],[DESPESAS]]+Tabela2[[#This Row],[IPI]]+Tabela2[[#This Row],[Vl. Produto]])*Tabela2[[#This Row],[Aliq.%]]</f>
        <v>0</v>
      </c>
    </row>
    <row r="74" spans="13:19" x14ac:dyDescent="0.25">
      <c r="M74" s="46"/>
      <c r="N74" s="46"/>
      <c r="O74" s="46"/>
      <c r="P74" s="46"/>
      <c r="R74" s="15">
        <v>1.54E-2</v>
      </c>
      <c r="S74" s="18">
        <f>(Tabela2[[#This Row],[FRETE]]+Tabela2[[#This Row],[DESPESAS]]+Tabela2[[#This Row],[IPI]]+Tabela2[[#This Row],[Vl. Produto]])*Tabela2[[#This Row],[Aliq.%]]</f>
        <v>0</v>
      </c>
    </row>
    <row r="75" spans="13:19" x14ac:dyDescent="0.25">
      <c r="M75" s="46"/>
      <c r="N75" s="46"/>
      <c r="O75" s="46"/>
      <c r="P75" s="46"/>
      <c r="R75" s="15">
        <v>1.54E-2</v>
      </c>
      <c r="S75" s="18">
        <f>(Tabela2[[#This Row],[FRETE]]+Tabela2[[#This Row],[DESPESAS]]+Tabela2[[#This Row],[IPI]]+Tabela2[[#This Row],[Vl. Produto]])*Tabela2[[#This Row],[Aliq.%]]</f>
        <v>0</v>
      </c>
    </row>
    <row r="76" spans="13:19" x14ac:dyDescent="0.25">
      <c r="M76" s="46"/>
      <c r="N76" s="46"/>
      <c r="O76" s="46"/>
      <c r="P76" s="46"/>
      <c r="R76" s="15">
        <v>1.54E-2</v>
      </c>
      <c r="S76" s="18">
        <f>(Tabela2[[#This Row],[FRETE]]+Tabela2[[#This Row],[DESPESAS]]+Tabela2[[#This Row],[IPI]]+Tabela2[[#This Row],[Vl. Produto]])*Tabela2[[#This Row],[Aliq.%]]</f>
        <v>0</v>
      </c>
    </row>
    <row r="77" spans="13:19" x14ac:dyDescent="0.25">
      <c r="M77" s="46"/>
      <c r="N77" s="46"/>
      <c r="O77" s="46"/>
      <c r="P77" s="46"/>
      <c r="R77" s="15">
        <v>1.54E-2</v>
      </c>
      <c r="S77" s="18">
        <f>(Tabela2[[#This Row],[FRETE]]+Tabela2[[#This Row],[DESPESAS]]+Tabela2[[#This Row],[IPI]]+Tabela2[[#This Row],[Vl. Produto]])*Tabela2[[#This Row],[Aliq.%]]</f>
        <v>0</v>
      </c>
    </row>
    <row r="78" spans="13:19" x14ac:dyDescent="0.25">
      <c r="M78" s="46"/>
      <c r="N78" s="46"/>
      <c r="O78" s="46"/>
      <c r="P78" s="46"/>
      <c r="R78" s="15">
        <v>1.54E-2</v>
      </c>
      <c r="S78" s="18">
        <f>(Tabela2[[#This Row],[FRETE]]+Tabela2[[#This Row],[DESPESAS]]+Tabela2[[#This Row],[IPI]]+Tabela2[[#This Row],[Vl. Produto]])*Tabela2[[#This Row],[Aliq.%]]</f>
        <v>0</v>
      </c>
    </row>
    <row r="79" spans="13:19" x14ac:dyDescent="0.25">
      <c r="M79" s="46"/>
      <c r="N79" s="46"/>
      <c r="O79" s="46"/>
      <c r="P79" s="46"/>
      <c r="R79" s="15">
        <v>1.54E-2</v>
      </c>
      <c r="S79" s="18">
        <f>(Tabela2[[#This Row],[FRETE]]+Tabela2[[#This Row],[DESPESAS]]+Tabela2[[#This Row],[IPI]]+Tabela2[[#This Row],[Vl. Produto]])*Tabela2[[#This Row],[Aliq.%]]</f>
        <v>0</v>
      </c>
    </row>
    <row r="80" spans="13:19" x14ac:dyDescent="0.25">
      <c r="M80" s="46"/>
      <c r="N80" s="46"/>
      <c r="O80" s="46"/>
      <c r="P80" s="46"/>
      <c r="R80" s="15">
        <v>1.54E-2</v>
      </c>
      <c r="S80" s="18">
        <f>(Tabela2[[#This Row],[FRETE]]+Tabela2[[#This Row],[DESPESAS]]+Tabela2[[#This Row],[IPI]]+Tabela2[[#This Row],[Vl. Produto]])*Tabela2[[#This Row],[Aliq.%]]</f>
        <v>0</v>
      </c>
    </row>
    <row r="81" spans="13:19" x14ac:dyDescent="0.25">
      <c r="M81" s="46"/>
      <c r="N81" s="46"/>
      <c r="O81" s="46"/>
      <c r="P81" s="46"/>
      <c r="R81" s="15">
        <v>1.54E-2</v>
      </c>
      <c r="S81" s="18">
        <f>(Tabela2[[#This Row],[FRETE]]+Tabela2[[#This Row],[DESPESAS]]+Tabela2[[#This Row],[IPI]]+Tabela2[[#This Row],[Vl. Produto]])*Tabela2[[#This Row],[Aliq.%]]</f>
        <v>0</v>
      </c>
    </row>
    <row r="82" spans="13:19" x14ac:dyDescent="0.25">
      <c r="M82" s="46"/>
      <c r="N82" s="46"/>
      <c r="O82" s="46"/>
      <c r="P82" s="46"/>
      <c r="R82" s="15">
        <v>1.54E-2</v>
      </c>
      <c r="S82" s="18">
        <f>(Tabela2[[#This Row],[FRETE]]+Tabela2[[#This Row],[DESPESAS]]+Tabela2[[#This Row],[IPI]]+Tabela2[[#This Row],[Vl. Produto]])*Tabela2[[#This Row],[Aliq.%]]</f>
        <v>0</v>
      </c>
    </row>
    <row r="83" spans="13:19" x14ac:dyDescent="0.25">
      <c r="M83" s="46"/>
      <c r="N83" s="46"/>
      <c r="O83" s="46"/>
      <c r="P83" s="46"/>
      <c r="R83" s="15">
        <v>1.54E-2</v>
      </c>
      <c r="S83" s="18">
        <f>(Tabela2[[#This Row],[FRETE]]+Tabela2[[#This Row],[DESPESAS]]+Tabela2[[#This Row],[IPI]]+Tabela2[[#This Row],[Vl. Produto]])*Tabela2[[#This Row],[Aliq.%]]</f>
        <v>0</v>
      </c>
    </row>
    <row r="84" spans="13:19" x14ac:dyDescent="0.25">
      <c r="M84" s="46"/>
      <c r="N84" s="46"/>
      <c r="O84" s="46"/>
      <c r="P84" s="46"/>
      <c r="R84" s="15">
        <v>1.54E-2</v>
      </c>
      <c r="S84" s="18">
        <f>(Tabela2[[#This Row],[FRETE]]+Tabela2[[#This Row],[DESPESAS]]+Tabela2[[#This Row],[IPI]]+Tabela2[[#This Row],[Vl. Produto]])*Tabela2[[#This Row],[Aliq.%]]</f>
        <v>0</v>
      </c>
    </row>
    <row r="85" spans="13:19" x14ac:dyDescent="0.25">
      <c r="M85" s="46"/>
      <c r="N85" s="46"/>
      <c r="O85" s="46"/>
      <c r="P85" s="46"/>
      <c r="R85" s="15">
        <v>1.54E-2</v>
      </c>
      <c r="S85" s="18">
        <f>(Tabela2[[#This Row],[FRETE]]+Tabela2[[#This Row],[DESPESAS]]+Tabela2[[#This Row],[IPI]]+Tabela2[[#This Row],[Vl. Produto]])*Tabela2[[#This Row],[Aliq.%]]</f>
        <v>0</v>
      </c>
    </row>
    <row r="86" spans="13:19" x14ac:dyDescent="0.25">
      <c r="M86" s="46"/>
      <c r="N86" s="46"/>
      <c r="O86" s="46"/>
      <c r="P86" s="46"/>
      <c r="R86" s="15">
        <v>1.54E-2</v>
      </c>
      <c r="S86" s="18">
        <f>(Tabela2[[#This Row],[FRETE]]+Tabela2[[#This Row],[DESPESAS]]+Tabela2[[#This Row],[IPI]]+Tabela2[[#This Row],[Vl. Produto]])*Tabela2[[#This Row],[Aliq.%]]</f>
        <v>0</v>
      </c>
    </row>
    <row r="87" spans="13:19" x14ac:dyDescent="0.25">
      <c r="M87" s="46"/>
      <c r="N87" s="46"/>
      <c r="O87" s="46"/>
      <c r="P87" s="46"/>
      <c r="R87" s="15">
        <v>1.54E-2</v>
      </c>
      <c r="S87" s="18">
        <f>(Tabela2[[#This Row],[FRETE]]+Tabela2[[#This Row],[DESPESAS]]+Tabela2[[#This Row],[IPI]]+Tabela2[[#This Row],[Vl. Produto]])*Tabela2[[#This Row],[Aliq.%]]</f>
        <v>0</v>
      </c>
    </row>
    <row r="88" spans="13:19" x14ac:dyDescent="0.25">
      <c r="M88" s="46"/>
      <c r="N88" s="46"/>
      <c r="O88" s="46"/>
      <c r="P88" s="46"/>
      <c r="R88" s="15">
        <v>1.54E-2</v>
      </c>
      <c r="S88" s="18">
        <f>(Tabela2[[#This Row],[FRETE]]+Tabela2[[#This Row],[DESPESAS]]+Tabela2[[#This Row],[IPI]]+Tabela2[[#This Row],[Vl. Produto]])*Tabela2[[#This Row],[Aliq.%]]</f>
        <v>0</v>
      </c>
    </row>
    <row r="89" spans="13:19" x14ac:dyDescent="0.25">
      <c r="M89" s="46"/>
      <c r="N89" s="46"/>
      <c r="O89" s="46"/>
      <c r="P89" s="46"/>
      <c r="R89" s="15">
        <v>1.54E-2</v>
      </c>
      <c r="S89" s="18">
        <f>(Tabela2[[#This Row],[FRETE]]+Tabela2[[#This Row],[DESPESAS]]+Tabela2[[#This Row],[IPI]]+Tabela2[[#This Row],[Vl. Produto]])*Tabela2[[#This Row],[Aliq.%]]</f>
        <v>0</v>
      </c>
    </row>
    <row r="90" spans="13:19" x14ac:dyDescent="0.25">
      <c r="M90" s="46"/>
      <c r="N90" s="46"/>
      <c r="O90" s="46"/>
      <c r="P90" s="46"/>
      <c r="R90" s="15">
        <v>1.54E-2</v>
      </c>
      <c r="S90" s="18">
        <f>(Tabela2[[#This Row],[FRETE]]+Tabela2[[#This Row],[DESPESAS]]+Tabela2[[#This Row],[IPI]]+Tabela2[[#This Row],[Vl. Produto]])*Tabela2[[#This Row],[Aliq.%]]</f>
        <v>0</v>
      </c>
    </row>
    <row r="91" spans="13:19" x14ac:dyDescent="0.25">
      <c r="M91" s="46"/>
      <c r="N91" s="46"/>
      <c r="O91" s="46"/>
      <c r="P91" s="46"/>
      <c r="R91" s="15">
        <v>1.54E-2</v>
      </c>
      <c r="S91" s="18">
        <f>(Tabela2[[#This Row],[FRETE]]+Tabela2[[#This Row],[DESPESAS]]+Tabela2[[#This Row],[IPI]]+Tabela2[[#This Row],[Vl. Produto]])*Tabela2[[#This Row],[Aliq.%]]</f>
        <v>0</v>
      </c>
    </row>
    <row r="92" spans="13:19" x14ac:dyDescent="0.25">
      <c r="M92" s="46"/>
      <c r="N92" s="46"/>
      <c r="O92" s="46"/>
      <c r="P92" s="46"/>
      <c r="R92" s="15">
        <v>1.54E-2</v>
      </c>
      <c r="S92" s="18">
        <f>(Tabela2[[#This Row],[FRETE]]+Tabela2[[#This Row],[DESPESAS]]+Tabela2[[#This Row],[IPI]]+Tabela2[[#This Row],[Vl. Produto]])*Tabela2[[#This Row],[Aliq.%]]</f>
        <v>0</v>
      </c>
    </row>
    <row r="93" spans="13:19" x14ac:dyDescent="0.25">
      <c r="M93" s="46"/>
      <c r="N93" s="46"/>
      <c r="O93" s="46"/>
      <c r="P93" s="46"/>
      <c r="R93" s="15">
        <v>1.54E-2</v>
      </c>
      <c r="S93" s="18">
        <f>(Tabela2[[#This Row],[FRETE]]+Tabela2[[#This Row],[DESPESAS]]+Tabela2[[#This Row],[IPI]]+Tabela2[[#This Row],[Vl. Produto]])*Tabela2[[#This Row],[Aliq.%]]</f>
        <v>0</v>
      </c>
    </row>
    <row r="94" spans="13:19" x14ac:dyDescent="0.25">
      <c r="M94" s="46"/>
      <c r="N94" s="46"/>
      <c r="O94" s="46"/>
      <c r="P94" s="46"/>
      <c r="R94" s="15">
        <v>1.54E-2</v>
      </c>
      <c r="S94" s="18">
        <f>(Tabela2[[#This Row],[FRETE]]+Tabela2[[#This Row],[DESPESAS]]+Tabela2[[#This Row],[IPI]]+Tabela2[[#This Row],[Vl. Produto]])*Tabela2[[#This Row],[Aliq.%]]</f>
        <v>0</v>
      </c>
    </row>
    <row r="95" spans="13:19" x14ac:dyDescent="0.25">
      <c r="M95" s="46"/>
      <c r="N95" s="46"/>
      <c r="O95" s="46"/>
      <c r="P95" s="46"/>
      <c r="R95" s="15">
        <v>1.54E-2</v>
      </c>
      <c r="S95" s="18">
        <f>(Tabela2[[#This Row],[FRETE]]+Tabela2[[#This Row],[DESPESAS]]+Tabela2[[#This Row],[IPI]]+Tabela2[[#This Row],[Vl. Produto]])*Tabela2[[#This Row],[Aliq.%]]</f>
        <v>0</v>
      </c>
    </row>
    <row r="96" spans="13:19" x14ac:dyDescent="0.25">
      <c r="M96" s="46"/>
      <c r="N96" s="46"/>
      <c r="O96" s="46"/>
      <c r="P96" s="46"/>
      <c r="R96" s="15">
        <v>1.54E-2</v>
      </c>
      <c r="S96" s="18">
        <f>(Tabela2[[#This Row],[FRETE]]+Tabela2[[#This Row],[DESPESAS]]+Tabela2[[#This Row],[IPI]]+Tabela2[[#This Row],[Vl. Produto]])*Tabela2[[#This Row],[Aliq.%]]</f>
        <v>0</v>
      </c>
    </row>
    <row r="97" spans="13:19" x14ac:dyDescent="0.25">
      <c r="M97" s="46"/>
      <c r="N97" s="46"/>
      <c r="O97" s="46"/>
      <c r="P97" s="46"/>
      <c r="R97" s="15">
        <v>1.54E-2</v>
      </c>
      <c r="S97" s="18">
        <f>(Tabela2[[#This Row],[FRETE]]+Tabela2[[#This Row],[DESPESAS]]+Tabela2[[#This Row],[IPI]]+Tabela2[[#This Row],[Vl. Produto]])*Tabela2[[#This Row],[Aliq.%]]</f>
        <v>0</v>
      </c>
    </row>
    <row r="98" spans="13:19" x14ac:dyDescent="0.25">
      <c r="M98" s="46"/>
      <c r="N98" s="46"/>
      <c r="O98" s="46"/>
      <c r="P98" s="46"/>
      <c r="R98" s="15">
        <v>1.54E-2</v>
      </c>
      <c r="S98" s="18">
        <f>(Tabela2[[#This Row],[FRETE]]+Tabela2[[#This Row],[DESPESAS]]+Tabela2[[#This Row],[IPI]]+Tabela2[[#This Row],[Vl. Produto]])*Tabela2[[#This Row],[Aliq.%]]</f>
        <v>0</v>
      </c>
    </row>
    <row r="99" spans="13:19" x14ac:dyDescent="0.25">
      <c r="M99" s="46"/>
      <c r="N99" s="46"/>
      <c r="O99" s="46"/>
      <c r="P99" s="46"/>
      <c r="R99" s="15">
        <v>1.54E-2</v>
      </c>
      <c r="S99" s="18">
        <f>(Tabela2[[#This Row],[FRETE]]+Tabela2[[#This Row],[DESPESAS]]+Tabela2[[#This Row],[IPI]]+Tabela2[[#This Row],[Vl. Produto]])*Tabela2[[#This Row],[Aliq.%]]</f>
        <v>0</v>
      </c>
    </row>
    <row r="100" spans="13:19" x14ac:dyDescent="0.25">
      <c r="M100" s="46"/>
      <c r="N100" s="46"/>
      <c r="O100" s="46"/>
      <c r="P100" s="46"/>
      <c r="R100" s="15">
        <v>1.54E-2</v>
      </c>
      <c r="S100" s="18">
        <f>(Tabela2[[#This Row],[FRETE]]+Tabela2[[#This Row],[DESPESAS]]+Tabela2[[#This Row],[IPI]]+Tabela2[[#This Row],[Vl. Produto]])*Tabela2[[#This Row],[Aliq.%]]</f>
        <v>0</v>
      </c>
    </row>
    <row r="101" spans="13:19" x14ac:dyDescent="0.25">
      <c r="M101" s="46"/>
      <c r="N101" s="46"/>
      <c r="O101" s="46"/>
      <c r="P101" s="46"/>
      <c r="R101" s="15">
        <v>1.54E-2</v>
      </c>
      <c r="S101" s="18">
        <f>(Tabela2[[#This Row],[FRETE]]+Tabela2[[#This Row],[DESPESAS]]+Tabela2[[#This Row],[IPI]]+Tabela2[[#This Row],[Vl. Produto]])*Tabela2[[#This Row],[Aliq.%]]</f>
        <v>0</v>
      </c>
    </row>
    <row r="102" spans="13:19" x14ac:dyDescent="0.25">
      <c r="M102" s="46"/>
      <c r="N102" s="46"/>
      <c r="O102" s="46"/>
      <c r="P102" s="46"/>
      <c r="R102" s="15">
        <v>1.54E-2</v>
      </c>
      <c r="S102" s="18">
        <f>(Tabela2[[#This Row],[FRETE]]+Tabela2[[#This Row],[DESPESAS]]+Tabela2[[#This Row],[IPI]]+Tabela2[[#This Row],[Vl. Produto]])*Tabela2[[#This Row],[Aliq.%]]</f>
        <v>0</v>
      </c>
    </row>
    <row r="103" spans="13:19" x14ac:dyDescent="0.25">
      <c r="M103" s="46"/>
      <c r="N103" s="46"/>
      <c r="O103" s="46"/>
      <c r="P103" s="46"/>
      <c r="R103" s="15">
        <v>1.54E-2</v>
      </c>
      <c r="S103" s="18">
        <f>(Tabela2[[#This Row],[FRETE]]+Tabela2[[#This Row],[DESPESAS]]+Tabela2[[#This Row],[IPI]]+Tabela2[[#This Row],[Vl. Produto]])*Tabela2[[#This Row],[Aliq.%]]</f>
        <v>0</v>
      </c>
    </row>
    <row r="104" spans="13:19" x14ac:dyDescent="0.25">
      <c r="M104" s="46"/>
      <c r="N104" s="46"/>
      <c r="O104" s="46"/>
      <c r="P104" s="46"/>
      <c r="R104" s="15">
        <v>1.54E-2</v>
      </c>
      <c r="S104" s="18">
        <f>(Tabela2[[#This Row],[FRETE]]+Tabela2[[#This Row],[DESPESAS]]+Tabela2[[#This Row],[IPI]]+Tabela2[[#This Row],[Vl. Produto]])*Tabela2[[#This Row],[Aliq.%]]</f>
        <v>0</v>
      </c>
    </row>
    <row r="105" spans="13:19" x14ac:dyDescent="0.25">
      <c r="M105" s="46"/>
      <c r="N105" s="46"/>
      <c r="O105" s="46"/>
      <c r="P105" s="46"/>
      <c r="R105" s="15">
        <v>1.54E-2</v>
      </c>
      <c r="S105" s="18">
        <f>(Tabela2[[#This Row],[FRETE]]+Tabela2[[#This Row],[DESPESAS]]+Tabela2[[#This Row],[IPI]]+Tabela2[[#This Row],[Vl. Produto]])*Tabela2[[#This Row],[Aliq.%]]</f>
        <v>0</v>
      </c>
    </row>
    <row r="106" spans="13:19" x14ac:dyDescent="0.25">
      <c r="M106" s="46"/>
      <c r="N106" s="46"/>
      <c r="O106" s="46"/>
      <c r="P106" s="46"/>
      <c r="R106" s="15">
        <v>1.54E-2</v>
      </c>
      <c r="S106" s="18">
        <f>(Tabela2[[#This Row],[FRETE]]+Tabela2[[#This Row],[DESPESAS]]+Tabela2[[#This Row],[IPI]]+Tabela2[[#This Row],[Vl. Produto]])*Tabela2[[#This Row],[Aliq.%]]</f>
        <v>0</v>
      </c>
    </row>
    <row r="107" spans="13:19" x14ac:dyDescent="0.25">
      <c r="M107" s="46"/>
      <c r="N107" s="46"/>
      <c r="O107" s="46"/>
      <c r="P107" s="46"/>
      <c r="R107" s="15">
        <v>1.54E-2</v>
      </c>
      <c r="S107" s="18">
        <f>(Tabela2[[#This Row],[FRETE]]+Tabela2[[#This Row],[DESPESAS]]+Tabela2[[#This Row],[IPI]]+Tabela2[[#This Row],[Vl. Produto]])*Tabela2[[#This Row],[Aliq.%]]</f>
        <v>0</v>
      </c>
    </row>
    <row r="108" spans="13:19" x14ac:dyDescent="0.25">
      <c r="M108" s="46"/>
      <c r="N108" s="46"/>
      <c r="O108" s="46"/>
      <c r="P108" s="46"/>
      <c r="R108" s="15">
        <v>1.54E-2</v>
      </c>
      <c r="S108" s="18">
        <f>(Tabela2[[#This Row],[FRETE]]+Tabela2[[#This Row],[DESPESAS]]+Tabela2[[#This Row],[IPI]]+Tabela2[[#This Row],[Vl. Produto]])*Tabela2[[#This Row],[Aliq.%]]</f>
        <v>0</v>
      </c>
    </row>
    <row r="109" spans="13:19" x14ac:dyDescent="0.25">
      <c r="M109" s="46"/>
      <c r="N109" s="46"/>
      <c r="O109" s="46"/>
      <c r="P109" s="46"/>
      <c r="R109" s="15">
        <v>1.54E-2</v>
      </c>
      <c r="S109" s="18">
        <f>(Tabela2[[#This Row],[FRETE]]+Tabela2[[#This Row],[DESPESAS]]+Tabela2[[#This Row],[IPI]]+Tabela2[[#This Row],[Vl. Produto]])*Tabela2[[#This Row],[Aliq.%]]</f>
        <v>0</v>
      </c>
    </row>
    <row r="110" spans="13:19" x14ac:dyDescent="0.25">
      <c r="M110" s="46"/>
      <c r="N110" s="46"/>
      <c r="O110" s="46"/>
      <c r="P110" s="46"/>
      <c r="R110" s="15">
        <v>1.54E-2</v>
      </c>
      <c r="S110" s="18">
        <f>(Tabela2[[#This Row],[FRETE]]+Tabela2[[#This Row],[DESPESAS]]+Tabela2[[#This Row],[IPI]]+Tabela2[[#This Row],[Vl. Produto]])*Tabela2[[#This Row],[Aliq.%]]</f>
        <v>0</v>
      </c>
    </row>
    <row r="111" spans="13:19" x14ac:dyDescent="0.25">
      <c r="M111" s="46"/>
      <c r="N111" s="46"/>
      <c r="O111" s="46"/>
      <c r="P111" s="46"/>
      <c r="R111" s="15">
        <v>1.54E-2</v>
      </c>
      <c r="S111" s="18">
        <f>(Tabela2[[#This Row],[FRETE]]+Tabela2[[#This Row],[DESPESAS]]+Tabela2[[#This Row],[IPI]]+Tabela2[[#This Row],[Vl. Produto]])*Tabela2[[#This Row],[Aliq.%]]</f>
        <v>0</v>
      </c>
    </row>
    <row r="112" spans="13:19" x14ac:dyDescent="0.25">
      <c r="M112" s="46"/>
      <c r="N112" s="46"/>
      <c r="O112" s="46"/>
      <c r="P112" s="46"/>
      <c r="R112" s="15">
        <v>1.54E-2</v>
      </c>
      <c r="S112" s="18">
        <f>(Tabela2[[#This Row],[FRETE]]+Tabela2[[#This Row],[DESPESAS]]+Tabela2[[#This Row],[IPI]]+Tabela2[[#This Row],[Vl. Produto]])*Tabela2[[#This Row],[Aliq.%]]</f>
        <v>0</v>
      </c>
    </row>
    <row r="113" spans="13:19" x14ac:dyDescent="0.25">
      <c r="M113" s="46"/>
      <c r="N113" s="46"/>
      <c r="O113" s="46"/>
      <c r="P113" s="46"/>
      <c r="R113" s="15">
        <v>1.54E-2</v>
      </c>
      <c r="S113" s="18">
        <f>(Tabela2[[#This Row],[FRETE]]+Tabela2[[#This Row],[DESPESAS]]+Tabela2[[#This Row],[IPI]]+Tabela2[[#This Row],[Vl. Produto]])*Tabela2[[#This Row],[Aliq.%]]</f>
        <v>0</v>
      </c>
    </row>
    <row r="114" spans="13:19" x14ac:dyDescent="0.25">
      <c r="M114" s="46"/>
      <c r="N114" s="46"/>
      <c r="O114" s="46"/>
      <c r="P114" s="46"/>
      <c r="R114" s="15">
        <v>1.54E-2</v>
      </c>
      <c r="S114" s="18">
        <f>(Tabela2[[#This Row],[FRETE]]+Tabela2[[#This Row],[DESPESAS]]+Tabela2[[#This Row],[IPI]]+Tabela2[[#This Row],[Vl. Produto]])*Tabela2[[#This Row],[Aliq.%]]</f>
        <v>0</v>
      </c>
    </row>
    <row r="115" spans="13:19" x14ac:dyDescent="0.25">
      <c r="M115" s="46"/>
      <c r="N115" s="46"/>
      <c r="O115" s="46"/>
      <c r="P115" s="46"/>
      <c r="R115" s="15">
        <v>1.54E-2</v>
      </c>
      <c r="S115" s="18">
        <f>(Tabela2[[#This Row],[FRETE]]+Tabela2[[#This Row],[DESPESAS]]+Tabela2[[#This Row],[IPI]]+Tabela2[[#This Row],[Vl. Produto]])*Tabela2[[#This Row],[Aliq.%]]</f>
        <v>0</v>
      </c>
    </row>
    <row r="116" spans="13:19" x14ac:dyDescent="0.25">
      <c r="M116" s="46"/>
      <c r="N116" s="46"/>
      <c r="O116" s="46"/>
      <c r="P116" s="46"/>
      <c r="R116" s="15">
        <v>1.54E-2</v>
      </c>
      <c r="S116" s="18">
        <f>(Tabela2[[#This Row],[FRETE]]+Tabela2[[#This Row],[DESPESAS]]+Tabela2[[#This Row],[IPI]]+Tabela2[[#This Row],[Vl. Produto]])*Tabela2[[#This Row],[Aliq.%]]</f>
        <v>0</v>
      </c>
    </row>
    <row r="117" spans="13:19" x14ac:dyDescent="0.25">
      <c r="M117" s="46"/>
      <c r="N117" s="46"/>
      <c r="O117" s="46"/>
      <c r="P117" s="46"/>
      <c r="R117" s="15">
        <v>1.54E-2</v>
      </c>
      <c r="S117" s="18">
        <f>(Tabela2[[#This Row],[FRETE]]+Tabela2[[#This Row],[DESPESAS]]+Tabela2[[#This Row],[IPI]]+Tabela2[[#This Row],[Vl. Produto]])*Tabela2[[#This Row],[Aliq.%]]</f>
        <v>0</v>
      </c>
    </row>
    <row r="118" spans="13:19" x14ac:dyDescent="0.25">
      <c r="M118" s="46"/>
      <c r="N118" s="46"/>
      <c r="O118" s="46"/>
      <c r="P118" s="46"/>
      <c r="R118" s="15">
        <v>1.54E-2</v>
      </c>
      <c r="S118" s="18">
        <f>(Tabela2[[#This Row],[FRETE]]+Tabela2[[#This Row],[DESPESAS]]+Tabela2[[#This Row],[IPI]]+Tabela2[[#This Row],[Vl. Produto]])*Tabela2[[#This Row],[Aliq.%]]</f>
        <v>0</v>
      </c>
    </row>
    <row r="119" spans="13:19" x14ac:dyDescent="0.25">
      <c r="M119" s="46"/>
      <c r="N119" s="46"/>
      <c r="O119" s="46"/>
      <c r="P119" s="46"/>
      <c r="R119" s="15">
        <v>1.54E-2</v>
      </c>
      <c r="S119" s="18">
        <f>(Tabela2[[#This Row],[FRETE]]+Tabela2[[#This Row],[DESPESAS]]+Tabela2[[#This Row],[IPI]]+Tabela2[[#This Row],[Vl. Produto]])*Tabela2[[#This Row],[Aliq.%]]</f>
        <v>0</v>
      </c>
    </row>
    <row r="120" spans="13:19" x14ac:dyDescent="0.25">
      <c r="M120" s="46"/>
      <c r="N120" s="46"/>
      <c r="O120" s="46"/>
      <c r="P120" s="46"/>
      <c r="R120" s="15">
        <v>1.54E-2</v>
      </c>
      <c r="S120" s="18">
        <f>(Tabela2[[#This Row],[FRETE]]+Tabela2[[#This Row],[DESPESAS]]+Tabela2[[#This Row],[IPI]]+Tabela2[[#This Row],[Vl. Produto]])*Tabela2[[#This Row],[Aliq.%]]</f>
        <v>0</v>
      </c>
    </row>
    <row r="121" spans="13:19" x14ac:dyDescent="0.25">
      <c r="M121" s="46"/>
      <c r="N121" s="46"/>
      <c r="O121" s="46"/>
      <c r="P121" s="46"/>
      <c r="R121" s="15">
        <v>1.54E-2</v>
      </c>
      <c r="S121" s="18">
        <f>(Tabela2[[#This Row],[FRETE]]+Tabela2[[#This Row],[DESPESAS]]+Tabela2[[#This Row],[IPI]]+Tabela2[[#This Row],[Vl. Produto]])*Tabela2[[#This Row],[Aliq.%]]</f>
        <v>0</v>
      </c>
    </row>
    <row r="122" spans="13:19" x14ac:dyDescent="0.25">
      <c r="M122" s="46"/>
      <c r="N122" s="46"/>
      <c r="O122" s="46"/>
      <c r="P122" s="46"/>
      <c r="R122" s="15">
        <v>1.54E-2</v>
      </c>
      <c r="S122" s="18">
        <f>(Tabela2[[#This Row],[FRETE]]+Tabela2[[#This Row],[DESPESAS]]+Tabela2[[#This Row],[IPI]]+Tabela2[[#This Row],[Vl. Produto]])*Tabela2[[#This Row],[Aliq.%]]</f>
        <v>0</v>
      </c>
    </row>
    <row r="123" spans="13:19" x14ac:dyDescent="0.25">
      <c r="M123" s="46"/>
      <c r="N123" s="46"/>
      <c r="O123" s="46"/>
      <c r="P123" s="46"/>
      <c r="R123" s="15">
        <v>1.54E-2</v>
      </c>
      <c r="S123" s="18">
        <f>(Tabela2[[#This Row],[FRETE]]+Tabela2[[#This Row],[DESPESAS]]+Tabela2[[#This Row],[IPI]]+Tabela2[[#This Row],[Vl. Produto]])*Tabela2[[#This Row],[Aliq.%]]</f>
        <v>0</v>
      </c>
    </row>
    <row r="124" spans="13:19" x14ac:dyDescent="0.25">
      <c r="M124" s="46"/>
      <c r="N124" s="46"/>
      <c r="O124" s="46"/>
      <c r="P124" s="46"/>
      <c r="R124" s="15">
        <v>1.54E-2</v>
      </c>
      <c r="S124" s="18">
        <f>(Tabela2[[#This Row],[FRETE]]+Tabela2[[#This Row],[DESPESAS]]+Tabela2[[#This Row],[IPI]]+Tabela2[[#This Row],[Vl. Produto]])*Tabela2[[#This Row],[Aliq.%]]</f>
        <v>0</v>
      </c>
    </row>
    <row r="125" spans="13:19" x14ac:dyDescent="0.25">
      <c r="M125" s="46"/>
      <c r="N125" s="46"/>
      <c r="O125" s="46"/>
      <c r="P125" s="46"/>
      <c r="R125" s="15">
        <v>1.54E-2</v>
      </c>
      <c r="S125" s="18">
        <f>(Tabela2[[#This Row],[FRETE]]+Tabela2[[#This Row],[DESPESAS]]+Tabela2[[#This Row],[IPI]]+Tabela2[[#This Row],[Vl. Produto]])*Tabela2[[#This Row],[Aliq.%]]</f>
        <v>0</v>
      </c>
    </row>
    <row r="126" spans="13:19" x14ac:dyDescent="0.25">
      <c r="M126" s="46"/>
      <c r="N126" s="46"/>
      <c r="O126" s="46"/>
      <c r="P126" s="46"/>
      <c r="R126" s="15">
        <v>1.54E-2</v>
      </c>
      <c r="S126" s="18">
        <f>(Tabela2[[#This Row],[FRETE]]+Tabela2[[#This Row],[DESPESAS]]+Tabela2[[#This Row],[IPI]]+Tabela2[[#This Row],[Vl. Produto]])*Tabela2[[#This Row],[Aliq.%]]</f>
        <v>0</v>
      </c>
    </row>
    <row r="127" spans="13:19" x14ac:dyDescent="0.25">
      <c r="M127" s="46"/>
      <c r="N127" s="46"/>
      <c r="O127" s="46"/>
      <c r="P127" s="46"/>
      <c r="R127" s="15">
        <v>1.54E-2</v>
      </c>
      <c r="S127" s="18">
        <f>(Tabela2[[#This Row],[FRETE]]+Tabela2[[#This Row],[DESPESAS]]+Tabela2[[#This Row],[IPI]]+Tabela2[[#This Row],[Vl. Produto]])*Tabela2[[#This Row],[Aliq.%]]</f>
        <v>0</v>
      </c>
    </row>
    <row r="128" spans="13:19" x14ac:dyDescent="0.25">
      <c r="M128" s="46"/>
      <c r="N128" s="46"/>
      <c r="O128" s="46"/>
      <c r="P128" s="46"/>
      <c r="R128" s="15">
        <v>1.54E-2</v>
      </c>
      <c r="S128" s="18">
        <f>(Tabela2[[#This Row],[FRETE]]+Tabela2[[#This Row],[DESPESAS]]+Tabela2[[#This Row],[IPI]]+Tabela2[[#This Row],[Vl. Produto]])*Tabela2[[#This Row],[Aliq.%]]</f>
        <v>0</v>
      </c>
    </row>
    <row r="129" spans="13:19" x14ac:dyDescent="0.25">
      <c r="M129" s="46"/>
      <c r="N129" s="46"/>
      <c r="O129" s="46"/>
      <c r="P129" s="46"/>
      <c r="R129" s="15">
        <v>1.54E-2</v>
      </c>
      <c r="S129" s="18">
        <f>(Tabela2[[#This Row],[FRETE]]+Tabela2[[#This Row],[DESPESAS]]+Tabela2[[#This Row],[IPI]]+Tabela2[[#This Row],[Vl. Produto]])*Tabela2[[#This Row],[Aliq.%]]</f>
        <v>0</v>
      </c>
    </row>
    <row r="130" spans="13:19" x14ac:dyDescent="0.25">
      <c r="M130" s="46"/>
      <c r="N130" s="46"/>
      <c r="O130" s="46"/>
      <c r="P130" s="46"/>
      <c r="R130" s="15">
        <v>1.54E-2</v>
      </c>
      <c r="S130" s="18">
        <f>(Tabela2[[#This Row],[FRETE]]+Tabela2[[#This Row],[DESPESAS]]+Tabela2[[#This Row],[IPI]]+Tabela2[[#This Row],[Vl. Produto]])*Tabela2[[#This Row],[Aliq.%]]</f>
        <v>0</v>
      </c>
    </row>
    <row r="131" spans="13:19" x14ac:dyDescent="0.25">
      <c r="M131" s="46"/>
      <c r="N131" s="46"/>
      <c r="O131" s="46"/>
      <c r="P131" s="46"/>
      <c r="R131" s="15">
        <v>1.54E-2</v>
      </c>
      <c r="S131" s="18">
        <f>(Tabela2[[#This Row],[FRETE]]+Tabela2[[#This Row],[DESPESAS]]+Tabela2[[#This Row],[IPI]]+Tabela2[[#This Row],[Vl. Produto]])*Tabela2[[#This Row],[Aliq.%]]</f>
        <v>0</v>
      </c>
    </row>
    <row r="132" spans="13:19" x14ac:dyDescent="0.25">
      <c r="M132" s="46"/>
      <c r="N132" s="46"/>
      <c r="O132" s="46"/>
      <c r="P132" s="46"/>
      <c r="R132" s="15">
        <v>1.54E-2</v>
      </c>
      <c r="S132" s="18">
        <f>(Tabela2[[#This Row],[FRETE]]+Tabela2[[#This Row],[DESPESAS]]+Tabela2[[#This Row],[IPI]]+Tabela2[[#This Row],[Vl. Produto]])*Tabela2[[#This Row],[Aliq.%]]</f>
        <v>0</v>
      </c>
    </row>
    <row r="133" spans="13:19" x14ac:dyDescent="0.25">
      <c r="M133" s="46"/>
      <c r="N133" s="46"/>
      <c r="O133" s="46"/>
      <c r="P133" s="46"/>
      <c r="R133" s="15">
        <v>1.54E-2</v>
      </c>
      <c r="S133" s="18">
        <f>(Tabela2[[#This Row],[FRETE]]+Tabela2[[#This Row],[DESPESAS]]+Tabela2[[#This Row],[IPI]]+Tabela2[[#This Row],[Vl. Produto]])*Tabela2[[#This Row],[Aliq.%]]</f>
        <v>0</v>
      </c>
    </row>
    <row r="134" spans="13:19" x14ac:dyDescent="0.25">
      <c r="M134" s="46"/>
      <c r="N134" s="46"/>
      <c r="O134" s="46"/>
      <c r="P134" s="46"/>
      <c r="R134" s="15">
        <v>1.54E-2</v>
      </c>
      <c r="S134" s="18">
        <f>(Tabela2[[#This Row],[FRETE]]+Tabela2[[#This Row],[DESPESAS]]+Tabela2[[#This Row],[IPI]]+Tabela2[[#This Row],[Vl. Produto]])*Tabela2[[#This Row],[Aliq.%]]</f>
        <v>0</v>
      </c>
    </row>
    <row r="135" spans="13:19" x14ac:dyDescent="0.25">
      <c r="M135" s="46"/>
      <c r="N135" s="46"/>
      <c r="O135" s="46"/>
      <c r="P135" s="46"/>
      <c r="R135" s="15">
        <v>1.54E-2</v>
      </c>
      <c r="S135" s="18">
        <f>(Tabela2[[#This Row],[FRETE]]+Tabela2[[#This Row],[DESPESAS]]+Tabela2[[#This Row],[IPI]]+Tabela2[[#This Row],[Vl. Produto]])*Tabela2[[#This Row],[Aliq.%]]</f>
        <v>0</v>
      </c>
    </row>
    <row r="136" spans="13:19" x14ac:dyDescent="0.25">
      <c r="M136" s="46"/>
      <c r="N136" s="46"/>
      <c r="O136" s="46"/>
      <c r="P136" s="46"/>
      <c r="R136" s="15">
        <v>1.54E-2</v>
      </c>
      <c r="S136" s="18">
        <f>(Tabela2[[#This Row],[FRETE]]+Tabela2[[#This Row],[DESPESAS]]+Tabela2[[#This Row],[IPI]]+Tabela2[[#This Row],[Vl. Produto]])*Tabela2[[#This Row],[Aliq.%]]</f>
        <v>0</v>
      </c>
    </row>
    <row r="137" spans="13:19" x14ac:dyDescent="0.25">
      <c r="M137" s="46"/>
      <c r="N137" s="46"/>
      <c r="O137" s="46"/>
      <c r="P137" s="46"/>
      <c r="R137" s="15">
        <v>1.54E-2</v>
      </c>
      <c r="S137" s="18">
        <f>(Tabela2[[#This Row],[FRETE]]+Tabela2[[#This Row],[DESPESAS]]+Tabela2[[#This Row],[IPI]]+Tabela2[[#This Row],[Vl. Produto]])*Tabela2[[#This Row],[Aliq.%]]</f>
        <v>0</v>
      </c>
    </row>
    <row r="138" spans="13:19" x14ac:dyDescent="0.25">
      <c r="M138" s="46"/>
      <c r="N138" s="46"/>
      <c r="O138" s="46"/>
      <c r="P138" s="46"/>
      <c r="R138" s="15">
        <v>1.54E-2</v>
      </c>
      <c r="S138" s="18">
        <f>(Tabela2[[#This Row],[FRETE]]+Tabela2[[#This Row],[DESPESAS]]+Tabela2[[#This Row],[IPI]]+Tabela2[[#This Row],[Vl. Produto]])*Tabela2[[#This Row],[Aliq.%]]</f>
        <v>0</v>
      </c>
    </row>
    <row r="139" spans="13:19" x14ac:dyDescent="0.25">
      <c r="M139" s="46"/>
      <c r="N139" s="46"/>
      <c r="O139" s="46"/>
      <c r="P139" s="46"/>
      <c r="R139" s="15">
        <v>1.54E-2</v>
      </c>
      <c r="S139" s="18">
        <f>(Tabela2[[#This Row],[FRETE]]+Tabela2[[#This Row],[DESPESAS]]+Tabela2[[#This Row],[IPI]]+Tabela2[[#This Row],[Vl. Produto]])*Tabela2[[#This Row],[Aliq.%]]</f>
        <v>0</v>
      </c>
    </row>
    <row r="140" spans="13:19" x14ac:dyDescent="0.25">
      <c r="M140" s="46"/>
      <c r="N140" s="46"/>
      <c r="O140" s="46"/>
      <c r="P140" s="46"/>
      <c r="R140" s="15">
        <v>1.54E-2</v>
      </c>
      <c r="S140" s="18">
        <f>(Tabela2[[#This Row],[FRETE]]+Tabela2[[#This Row],[DESPESAS]]+Tabela2[[#This Row],[IPI]]+Tabela2[[#This Row],[Vl. Produto]])*Tabela2[[#This Row],[Aliq.%]]</f>
        <v>0</v>
      </c>
    </row>
    <row r="141" spans="13:19" x14ac:dyDescent="0.25">
      <c r="M141" s="46"/>
      <c r="N141" s="46"/>
      <c r="O141" s="46"/>
      <c r="P141" s="46"/>
      <c r="R141" s="15">
        <v>1.54E-2</v>
      </c>
      <c r="S141" s="18">
        <f>(Tabela2[[#This Row],[FRETE]]+Tabela2[[#This Row],[DESPESAS]]+Tabela2[[#This Row],[IPI]]+Tabela2[[#This Row],[Vl. Produto]])*Tabela2[[#This Row],[Aliq.%]]</f>
        <v>0</v>
      </c>
    </row>
    <row r="142" spans="13:19" x14ac:dyDescent="0.25">
      <c r="M142" s="46"/>
      <c r="N142" s="46"/>
      <c r="O142" s="46"/>
      <c r="P142" s="46"/>
      <c r="R142" s="15">
        <v>1.54E-2</v>
      </c>
      <c r="S142" s="18">
        <f>(Tabela2[[#This Row],[FRETE]]+Tabela2[[#This Row],[DESPESAS]]+Tabela2[[#This Row],[IPI]]+Tabela2[[#This Row],[Vl. Produto]])*Tabela2[[#This Row],[Aliq.%]]</f>
        <v>0</v>
      </c>
    </row>
    <row r="143" spans="13:19" x14ac:dyDescent="0.25">
      <c r="M143" s="46"/>
      <c r="N143" s="46"/>
      <c r="O143" s="46"/>
      <c r="P143" s="46"/>
      <c r="R143" s="15">
        <v>1.54E-2</v>
      </c>
      <c r="S143" s="18">
        <f>(Tabela2[[#This Row],[FRETE]]+Tabela2[[#This Row],[DESPESAS]]+Tabela2[[#This Row],[IPI]]+Tabela2[[#This Row],[Vl. Produto]])*Tabela2[[#This Row],[Aliq.%]]</f>
        <v>0</v>
      </c>
    </row>
    <row r="144" spans="13:19" x14ac:dyDescent="0.25">
      <c r="M144" s="46"/>
      <c r="N144" s="46"/>
      <c r="O144" s="46"/>
      <c r="P144" s="46"/>
      <c r="R144" s="15">
        <v>1.54E-2</v>
      </c>
      <c r="S144" s="18">
        <f>(Tabela2[[#This Row],[FRETE]]+Tabela2[[#This Row],[DESPESAS]]+Tabela2[[#This Row],[IPI]]+Tabela2[[#This Row],[Vl. Produto]])*Tabela2[[#This Row],[Aliq.%]]</f>
        <v>0</v>
      </c>
    </row>
    <row r="145" spans="13:19" x14ac:dyDescent="0.25">
      <c r="M145" s="46"/>
      <c r="N145" s="46"/>
      <c r="O145" s="46"/>
      <c r="P145" s="46"/>
      <c r="R145" s="15">
        <v>1.54E-2</v>
      </c>
      <c r="S145" s="18">
        <f>(Tabela2[[#This Row],[FRETE]]+Tabela2[[#This Row],[DESPESAS]]+Tabela2[[#This Row],[IPI]]+Tabela2[[#This Row],[Vl. Produto]])*Tabela2[[#This Row],[Aliq.%]]</f>
        <v>0</v>
      </c>
    </row>
    <row r="146" spans="13:19" x14ac:dyDescent="0.25">
      <c r="M146" s="46"/>
      <c r="N146" s="46"/>
      <c r="O146" s="46"/>
      <c r="P146" s="46"/>
      <c r="R146" s="15">
        <v>1.54E-2</v>
      </c>
      <c r="S146" s="18">
        <f>(Tabela2[[#This Row],[FRETE]]+Tabela2[[#This Row],[DESPESAS]]+Tabela2[[#This Row],[IPI]]+Tabela2[[#This Row],[Vl. Produto]])*Tabela2[[#This Row],[Aliq.%]]</f>
        <v>0</v>
      </c>
    </row>
    <row r="147" spans="13:19" x14ac:dyDescent="0.25">
      <c r="M147" s="46"/>
      <c r="N147" s="46"/>
      <c r="O147" s="46"/>
      <c r="P147" s="46"/>
      <c r="R147" s="15">
        <v>1.54E-2</v>
      </c>
      <c r="S147" s="18">
        <f>(Tabela2[[#This Row],[FRETE]]+Tabela2[[#This Row],[DESPESAS]]+Tabela2[[#This Row],[IPI]]+Tabela2[[#This Row],[Vl. Produto]])*Tabela2[[#This Row],[Aliq.%]]</f>
        <v>0</v>
      </c>
    </row>
    <row r="148" spans="13:19" x14ac:dyDescent="0.25">
      <c r="M148" s="46"/>
      <c r="N148" s="46"/>
      <c r="O148" s="46"/>
      <c r="P148" s="46"/>
      <c r="R148" s="15">
        <v>1.54E-2</v>
      </c>
      <c r="S148" s="18">
        <f>(Tabela2[[#This Row],[FRETE]]+Tabela2[[#This Row],[DESPESAS]]+Tabela2[[#This Row],[IPI]]+Tabela2[[#This Row],[Vl. Produto]])*Tabela2[[#This Row],[Aliq.%]]</f>
        <v>0</v>
      </c>
    </row>
    <row r="149" spans="13:19" x14ac:dyDescent="0.25">
      <c r="M149" s="46"/>
      <c r="N149" s="46"/>
      <c r="O149" s="46"/>
      <c r="P149" s="46"/>
      <c r="R149" s="15">
        <v>1.54E-2</v>
      </c>
      <c r="S149" s="18">
        <f>(Tabela2[[#This Row],[FRETE]]+Tabela2[[#This Row],[DESPESAS]]+Tabela2[[#This Row],[IPI]]+Tabela2[[#This Row],[Vl. Produto]])*Tabela2[[#This Row],[Aliq.%]]</f>
        <v>0</v>
      </c>
    </row>
    <row r="150" spans="13:19" x14ac:dyDescent="0.25">
      <c r="M150" s="46"/>
      <c r="N150" s="46"/>
      <c r="O150" s="46"/>
      <c r="P150" s="46"/>
      <c r="R150" s="15">
        <v>1.54E-2</v>
      </c>
      <c r="S150" s="18">
        <f>(Tabela2[[#This Row],[FRETE]]+Tabela2[[#This Row],[DESPESAS]]+Tabela2[[#This Row],[IPI]]+Tabela2[[#This Row],[Vl. Produto]])*Tabela2[[#This Row],[Aliq.%]]</f>
        <v>0</v>
      </c>
    </row>
    <row r="151" spans="13:19" x14ac:dyDescent="0.25">
      <c r="M151" s="46"/>
      <c r="N151" s="46"/>
      <c r="O151" s="46"/>
      <c r="P151" s="46"/>
      <c r="R151" s="15">
        <v>1.54E-2</v>
      </c>
      <c r="S151" s="18">
        <f>(Tabela2[[#This Row],[FRETE]]+Tabela2[[#This Row],[DESPESAS]]+Tabela2[[#This Row],[IPI]]+Tabela2[[#This Row],[Vl. Produto]])*Tabela2[[#This Row],[Aliq.%]]</f>
        <v>0</v>
      </c>
    </row>
    <row r="152" spans="13:19" x14ac:dyDescent="0.25">
      <c r="M152" s="46"/>
      <c r="N152" s="46"/>
      <c r="O152" s="46"/>
      <c r="P152" s="46"/>
      <c r="R152" s="15">
        <v>1.54E-2</v>
      </c>
      <c r="S152" s="18">
        <f>(Tabela2[[#This Row],[FRETE]]+Tabela2[[#This Row],[DESPESAS]]+Tabela2[[#This Row],[IPI]]+Tabela2[[#This Row],[Vl. Produto]])*Tabela2[[#This Row],[Aliq.%]]</f>
        <v>0</v>
      </c>
    </row>
    <row r="153" spans="13:19" x14ac:dyDescent="0.25">
      <c r="M153" s="46"/>
      <c r="N153" s="46"/>
      <c r="O153" s="46"/>
      <c r="P153" s="46"/>
      <c r="R153" s="15">
        <v>1.54E-2</v>
      </c>
      <c r="S153" s="18">
        <f>(Tabela2[[#This Row],[FRETE]]+Tabela2[[#This Row],[DESPESAS]]+Tabela2[[#This Row],[IPI]]+Tabela2[[#This Row],[Vl. Produto]])*Tabela2[[#This Row],[Aliq.%]]</f>
        <v>0</v>
      </c>
    </row>
    <row r="154" spans="13:19" x14ac:dyDescent="0.25">
      <c r="M154" s="46"/>
      <c r="N154" s="46"/>
      <c r="O154" s="46"/>
      <c r="P154" s="46"/>
      <c r="R154" s="15">
        <v>1.54E-2</v>
      </c>
      <c r="S154" s="18">
        <f>(Tabela2[[#This Row],[FRETE]]+Tabela2[[#This Row],[DESPESAS]]+Tabela2[[#This Row],[IPI]]+Tabela2[[#This Row],[Vl. Produto]])*Tabela2[[#This Row],[Aliq.%]]</f>
        <v>0</v>
      </c>
    </row>
    <row r="155" spans="13:19" x14ac:dyDescent="0.25">
      <c r="M155" s="46"/>
      <c r="N155" s="46"/>
      <c r="O155" s="46"/>
      <c r="P155" s="46"/>
      <c r="R155" s="15">
        <v>1.54E-2</v>
      </c>
      <c r="S155" s="18">
        <f>(Tabela2[[#This Row],[FRETE]]+Tabela2[[#This Row],[DESPESAS]]+Tabela2[[#This Row],[IPI]]+Tabela2[[#This Row],[Vl. Produto]])*Tabela2[[#This Row],[Aliq.%]]</f>
        <v>0</v>
      </c>
    </row>
    <row r="156" spans="13:19" x14ac:dyDescent="0.25">
      <c r="M156" s="46"/>
      <c r="N156" s="46"/>
      <c r="O156" s="46"/>
      <c r="P156" s="46"/>
      <c r="R156" s="15">
        <v>1.54E-2</v>
      </c>
      <c r="S156" s="18">
        <f>(Tabela2[[#This Row],[FRETE]]+Tabela2[[#This Row],[DESPESAS]]+Tabela2[[#This Row],[IPI]]+Tabela2[[#This Row],[Vl. Produto]])*Tabela2[[#This Row],[Aliq.%]]</f>
        <v>0</v>
      </c>
    </row>
    <row r="157" spans="13:19" x14ac:dyDescent="0.25">
      <c r="M157" s="46"/>
      <c r="N157" s="46"/>
      <c r="O157" s="46"/>
      <c r="P157" s="46"/>
      <c r="R157" s="15">
        <v>1.54E-2</v>
      </c>
      <c r="S157" s="18">
        <f>(Tabela2[[#This Row],[FRETE]]+Tabela2[[#This Row],[DESPESAS]]+Tabela2[[#This Row],[IPI]]+Tabela2[[#This Row],[Vl. Produto]])*Tabela2[[#This Row],[Aliq.%]]</f>
        <v>0</v>
      </c>
    </row>
    <row r="158" spans="13:19" x14ac:dyDescent="0.25">
      <c r="M158" s="46"/>
      <c r="N158" s="46"/>
      <c r="O158" s="46"/>
      <c r="P158" s="46"/>
      <c r="R158" s="15">
        <v>1.54E-2</v>
      </c>
      <c r="S158" s="18">
        <f>(Tabela2[[#This Row],[FRETE]]+Tabela2[[#This Row],[DESPESAS]]+Tabela2[[#This Row],[IPI]]+Tabela2[[#This Row],[Vl. Produto]])*Tabela2[[#This Row],[Aliq.%]]</f>
        <v>0</v>
      </c>
    </row>
    <row r="159" spans="13:19" x14ac:dyDescent="0.25">
      <c r="M159" s="46"/>
      <c r="N159" s="46"/>
      <c r="O159" s="46"/>
      <c r="P159" s="46"/>
      <c r="R159" s="15">
        <v>1.54E-2</v>
      </c>
      <c r="S159" s="18">
        <f>(Tabela2[[#This Row],[FRETE]]+Tabela2[[#This Row],[DESPESAS]]+Tabela2[[#This Row],[IPI]]+Tabela2[[#This Row],[Vl. Produto]])*Tabela2[[#This Row],[Aliq.%]]</f>
        <v>0</v>
      </c>
    </row>
    <row r="160" spans="13:19" x14ac:dyDescent="0.25">
      <c r="M160" s="46"/>
      <c r="N160" s="46"/>
      <c r="O160" s="46"/>
      <c r="P160" s="46"/>
      <c r="R160" s="15">
        <v>1.54E-2</v>
      </c>
      <c r="S160" s="18">
        <f>(Tabela2[[#This Row],[FRETE]]+Tabela2[[#This Row],[DESPESAS]]+Tabela2[[#This Row],[IPI]]+Tabela2[[#This Row],[Vl. Produto]])*Tabela2[[#This Row],[Aliq.%]]</f>
        <v>0</v>
      </c>
    </row>
    <row r="161" spans="13:19" x14ac:dyDescent="0.25">
      <c r="M161" s="46"/>
      <c r="N161" s="46"/>
      <c r="O161" s="46"/>
      <c r="P161" s="46"/>
      <c r="R161" s="15">
        <v>1.54E-2</v>
      </c>
      <c r="S161" s="18">
        <f>(Tabela2[[#This Row],[FRETE]]+Tabela2[[#This Row],[DESPESAS]]+Tabela2[[#This Row],[IPI]]+Tabela2[[#This Row],[Vl. Produto]])*Tabela2[[#This Row],[Aliq.%]]</f>
        <v>0</v>
      </c>
    </row>
    <row r="162" spans="13:19" x14ac:dyDescent="0.25">
      <c r="M162" s="46"/>
      <c r="N162" s="46"/>
      <c r="O162" s="46"/>
      <c r="P162" s="46"/>
      <c r="R162" s="15">
        <v>1.54E-2</v>
      </c>
      <c r="S162" s="18">
        <f>(Tabela2[[#This Row],[FRETE]]+Tabela2[[#This Row],[DESPESAS]]+Tabela2[[#This Row],[IPI]]+Tabela2[[#This Row],[Vl. Produto]])*Tabela2[[#This Row],[Aliq.%]]</f>
        <v>0</v>
      </c>
    </row>
    <row r="163" spans="13:19" x14ac:dyDescent="0.25">
      <c r="M163" s="46"/>
      <c r="N163" s="46"/>
      <c r="O163" s="46"/>
      <c r="P163" s="46"/>
      <c r="R163" s="15">
        <v>1.54E-2</v>
      </c>
      <c r="S163" s="18">
        <f>(Tabela2[[#This Row],[FRETE]]+Tabela2[[#This Row],[DESPESAS]]+Tabela2[[#This Row],[IPI]]+Tabela2[[#This Row],[Vl. Produto]])*Tabela2[[#This Row],[Aliq.%]]</f>
        <v>0</v>
      </c>
    </row>
    <row r="164" spans="13:19" x14ac:dyDescent="0.25">
      <c r="M164" s="46"/>
      <c r="N164" s="46"/>
      <c r="O164" s="46"/>
      <c r="P164" s="46"/>
      <c r="R164" s="15">
        <v>1.54E-2</v>
      </c>
      <c r="S164" s="18">
        <f>(Tabela2[[#This Row],[FRETE]]+Tabela2[[#This Row],[DESPESAS]]+Tabela2[[#This Row],[IPI]]+Tabela2[[#This Row],[Vl. Produto]])*Tabela2[[#This Row],[Aliq.%]]</f>
        <v>0</v>
      </c>
    </row>
    <row r="165" spans="13:19" x14ac:dyDescent="0.25">
      <c r="M165" s="46"/>
      <c r="N165" s="46"/>
      <c r="O165" s="46"/>
      <c r="P165" s="46"/>
      <c r="R165" s="15">
        <v>1.54E-2</v>
      </c>
      <c r="S165" s="18">
        <f>(Tabela2[[#This Row],[FRETE]]+Tabela2[[#This Row],[DESPESAS]]+Tabela2[[#This Row],[IPI]]+Tabela2[[#This Row],[Vl. Produto]])*Tabela2[[#This Row],[Aliq.%]]</f>
        <v>0</v>
      </c>
    </row>
    <row r="166" spans="13:19" x14ac:dyDescent="0.25">
      <c r="M166" s="46"/>
      <c r="N166" s="46"/>
      <c r="O166" s="46"/>
      <c r="P166" s="46"/>
      <c r="R166" s="15">
        <v>1.54E-2</v>
      </c>
      <c r="S166" s="18">
        <f>(Tabela2[[#This Row],[FRETE]]+Tabela2[[#This Row],[DESPESAS]]+Tabela2[[#This Row],[IPI]]+Tabela2[[#This Row],[Vl. Produto]])*Tabela2[[#This Row],[Aliq.%]]</f>
        <v>0</v>
      </c>
    </row>
    <row r="167" spans="13:19" x14ac:dyDescent="0.25">
      <c r="M167" s="46"/>
      <c r="N167" s="46"/>
      <c r="O167" s="46"/>
      <c r="P167" s="46"/>
      <c r="R167" s="15">
        <v>1.54E-2</v>
      </c>
      <c r="S167" s="18">
        <f>(Tabela2[[#This Row],[FRETE]]+Tabela2[[#This Row],[DESPESAS]]+Tabela2[[#This Row],[IPI]]+Tabela2[[#This Row],[Vl. Produto]])*Tabela2[[#This Row],[Aliq.%]]</f>
        <v>0</v>
      </c>
    </row>
    <row r="168" spans="13:19" x14ac:dyDescent="0.25">
      <c r="M168" s="46"/>
      <c r="N168" s="46"/>
      <c r="O168" s="46"/>
      <c r="P168" s="46"/>
      <c r="R168" s="15">
        <v>1.54E-2</v>
      </c>
      <c r="S168" s="18">
        <f>(Tabela2[[#This Row],[FRETE]]+Tabela2[[#This Row],[DESPESAS]]+Tabela2[[#This Row],[IPI]]+Tabela2[[#This Row],[Vl. Produto]])*Tabela2[[#This Row],[Aliq.%]]</f>
        <v>0</v>
      </c>
    </row>
    <row r="169" spans="13:19" x14ac:dyDescent="0.25">
      <c r="M169" s="46"/>
      <c r="N169" s="46"/>
      <c r="O169" s="46"/>
      <c r="P169" s="46"/>
      <c r="R169" s="15">
        <v>1.54E-2</v>
      </c>
      <c r="S169" s="18">
        <f>(Tabela2[[#This Row],[FRETE]]+Tabela2[[#This Row],[DESPESAS]]+Tabela2[[#This Row],[IPI]]+Tabela2[[#This Row],[Vl. Produto]])*Tabela2[[#This Row],[Aliq.%]]</f>
        <v>0</v>
      </c>
    </row>
    <row r="170" spans="13:19" x14ac:dyDescent="0.25">
      <c r="M170" s="46"/>
      <c r="N170" s="46"/>
      <c r="O170" s="46"/>
      <c r="P170" s="46"/>
      <c r="R170" s="15">
        <v>1.54E-2</v>
      </c>
      <c r="S170" s="18">
        <f>(Tabela2[[#This Row],[FRETE]]+Tabela2[[#This Row],[DESPESAS]]+Tabela2[[#This Row],[IPI]]+Tabela2[[#This Row],[Vl. Produto]])*Tabela2[[#This Row],[Aliq.%]]</f>
        <v>0</v>
      </c>
    </row>
    <row r="171" spans="13:19" x14ac:dyDescent="0.25">
      <c r="M171" s="46"/>
      <c r="N171" s="46"/>
      <c r="O171" s="46"/>
      <c r="P171" s="46"/>
      <c r="R171" s="15">
        <v>1.54E-2</v>
      </c>
      <c r="S171" s="18">
        <f>(Tabela2[[#This Row],[FRETE]]+Tabela2[[#This Row],[DESPESAS]]+Tabela2[[#This Row],[IPI]]+Tabela2[[#This Row],[Vl. Produto]])*Tabela2[[#This Row],[Aliq.%]]</f>
        <v>0</v>
      </c>
    </row>
    <row r="172" spans="13:19" x14ac:dyDescent="0.25">
      <c r="M172" s="46"/>
      <c r="N172" s="46"/>
      <c r="O172" s="46"/>
      <c r="P172" s="46"/>
      <c r="R172" s="15">
        <v>1.54E-2</v>
      </c>
      <c r="S172" s="18">
        <f>(Tabela2[[#This Row],[FRETE]]+Tabela2[[#This Row],[DESPESAS]]+Tabela2[[#This Row],[IPI]]+Tabela2[[#This Row],[Vl. Produto]])*Tabela2[[#This Row],[Aliq.%]]</f>
        <v>0</v>
      </c>
    </row>
    <row r="173" spans="13:19" x14ac:dyDescent="0.25">
      <c r="M173" s="46"/>
      <c r="N173" s="46"/>
      <c r="O173" s="46"/>
      <c r="P173" s="46"/>
      <c r="R173" s="15">
        <v>1.54E-2</v>
      </c>
      <c r="S173" s="18">
        <f>(Tabela2[[#This Row],[FRETE]]+Tabela2[[#This Row],[DESPESAS]]+Tabela2[[#This Row],[IPI]]+Tabela2[[#This Row],[Vl. Produto]])*Tabela2[[#This Row],[Aliq.%]]</f>
        <v>0</v>
      </c>
    </row>
    <row r="174" spans="13:19" x14ac:dyDescent="0.25">
      <c r="M174" s="46"/>
      <c r="N174" s="46"/>
      <c r="O174" s="46"/>
      <c r="P174" s="46"/>
      <c r="R174" s="15">
        <v>1.54E-2</v>
      </c>
      <c r="S174" s="18">
        <f>(Tabela2[[#This Row],[FRETE]]+Tabela2[[#This Row],[DESPESAS]]+Tabela2[[#This Row],[IPI]]+Tabela2[[#This Row],[Vl. Produto]])*Tabela2[[#This Row],[Aliq.%]]</f>
        <v>0</v>
      </c>
    </row>
    <row r="175" spans="13:19" x14ac:dyDescent="0.25">
      <c r="M175" s="46"/>
      <c r="N175" s="46"/>
      <c r="O175" s="46"/>
      <c r="P175" s="46"/>
      <c r="R175" s="15">
        <v>1.54E-2</v>
      </c>
      <c r="S175" s="18">
        <f>(Tabela2[[#This Row],[FRETE]]+Tabela2[[#This Row],[DESPESAS]]+Tabela2[[#This Row],[IPI]]+Tabela2[[#This Row],[Vl. Produto]])*Tabela2[[#This Row],[Aliq.%]]</f>
        <v>0</v>
      </c>
    </row>
    <row r="176" spans="13:19" x14ac:dyDescent="0.25">
      <c r="M176" s="46"/>
      <c r="N176" s="46"/>
      <c r="O176" s="46"/>
      <c r="P176" s="46"/>
      <c r="R176" s="15">
        <v>1.54E-2</v>
      </c>
      <c r="S176" s="18">
        <f>(Tabela2[[#This Row],[FRETE]]+Tabela2[[#This Row],[DESPESAS]]+Tabela2[[#This Row],[IPI]]+Tabela2[[#This Row],[Vl. Produto]])*Tabela2[[#This Row],[Aliq.%]]</f>
        <v>0</v>
      </c>
    </row>
    <row r="177" spans="13:19" x14ac:dyDescent="0.25">
      <c r="M177" s="46"/>
      <c r="N177" s="46"/>
      <c r="O177" s="46"/>
      <c r="P177" s="46"/>
      <c r="R177" s="15">
        <v>1.54E-2</v>
      </c>
      <c r="S177" s="18">
        <f>(Tabela2[[#This Row],[FRETE]]+Tabela2[[#This Row],[DESPESAS]]+Tabela2[[#This Row],[IPI]]+Tabela2[[#This Row],[Vl. Produto]])*Tabela2[[#This Row],[Aliq.%]]</f>
        <v>0</v>
      </c>
    </row>
    <row r="178" spans="13:19" x14ac:dyDescent="0.25">
      <c r="M178" s="46"/>
      <c r="N178" s="46"/>
      <c r="O178" s="46"/>
      <c r="P178" s="46"/>
      <c r="R178" s="15">
        <v>1.54E-2</v>
      </c>
      <c r="S178" s="18">
        <f>(Tabela2[[#This Row],[FRETE]]+Tabela2[[#This Row],[DESPESAS]]+Tabela2[[#This Row],[IPI]]+Tabela2[[#This Row],[Vl. Produto]])*Tabela2[[#This Row],[Aliq.%]]</f>
        <v>0</v>
      </c>
    </row>
    <row r="179" spans="13:19" x14ac:dyDescent="0.25">
      <c r="M179" s="46"/>
      <c r="N179" s="46"/>
      <c r="O179" s="46"/>
      <c r="P179" s="46"/>
      <c r="R179" s="15">
        <v>1.54E-2</v>
      </c>
      <c r="S179" s="18">
        <f>(Tabela2[[#This Row],[FRETE]]+Tabela2[[#This Row],[DESPESAS]]+Tabela2[[#This Row],[IPI]]+Tabela2[[#This Row],[Vl. Produto]])*Tabela2[[#This Row],[Aliq.%]]</f>
        <v>0</v>
      </c>
    </row>
    <row r="180" spans="13:19" x14ac:dyDescent="0.25">
      <c r="M180" s="46"/>
      <c r="N180" s="46"/>
      <c r="O180" s="46"/>
      <c r="P180" s="46"/>
      <c r="R180" s="15">
        <v>1.54E-2</v>
      </c>
      <c r="S180" s="18">
        <f>(Tabela2[[#This Row],[FRETE]]+Tabela2[[#This Row],[DESPESAS]]+Tabela2[[#This Row],[IPI]]+Tabela2[[#This Row],[Vl. Produto]])*Tabela2[[#This Row],[Aliq.%]]</f>
        <v>0</v>
      </c>
    </row>
    <row r="181" spans="13:19" x14ac:dyDescent="0.25">
      <c r="M181" s="46"/>
      <c r="N181" s="46"/>
      <c r="O181" s="46"/>
      <c r="P181" s="46"/>
      <c r="R181" s="15">
        <v>1.54E-2</v>
      </c>
      <c r="S181" s="18">
        <f>(Tabela2[[#This Row],[FRETE]]+Tabela2[[#This Row],[DESPESAS]]+Tabela2[[#This Row],[IPI]]+Tabela2[[#This Row],[Vl. Produto]])*Tabela2[[#This Row],[Aliq.%]]</f>
        <v>0</v>
      </c>
    </row>
    <row r="182" spans="13:19" x14ac:dyDescent="0.25">
      <c r="M182" s="46"/>
      <c r="N182" s="46"/>
      <c r="O182" s="46"/>
      <c r="P182" s="46"/>
      <c r="R182" s="15">
        <v>1.54E-2</v>
      </c>
      <c r="S182" s="18">
        <f>(Tabela2[[#This Row],[FRETE]]+Tabela2[[#This Row],[DESPESAS]]+Tabela2[[#This Row],[IPI]]+Tabela2[[#This Row],[Vl. Produto]])*Tabela2[[#This Row],[Aliq.%]]</f>
        <v>0</v>
      </c>
    </row>
    <row r="183" spans="13:19" x14ac:dyDescent="0.25">
      <c r="M183" s="46"/>
      <c r="N183" s="46"/>
      <c r="O183" s="46"/>
      <c r="P183" s="46"/>
      <c r="R183" s="15">
        <v>1.54E-2</v>
      </c>
      <c r="S183" s="18">
        <f>(Tabela2[[#This Row],[FRETE]]+Tabela2[[#This Row],[DESPESAS]]+Tabela2[[#This Row],[IPI]]+Tabela2[[#This Row],[Vl. Produto]])*Tabela2[[#This Row],[Aliq.%]]</f>
        <v>0</v>
      </c>
    </row>
    <row r="184" spans="13:19" x14ac:dyDescent="0.25">
      <c r="M184" s="46"/>
      <c r="N184" s="46"/>
      <c r="O184" s="46"/>
      <c r="P184" s="46"/>
      <c r="R184" s="15">
        <v>1.54E-2</v>
      </c>
      <c r="S184" s="18">
        <f>(Tabela2[[#This Row],[FRETE]]+Tabela2[[#This Row],[DESPESAS]]+Tabela2[[#This Row],[IPI]]+Tabela2[[#This Row],[Vl. Produto]])*Tabela2[[#This Row],[Aliq.%]]</f>
        <v>0</v>
      </c>
    </row>
    <row r="185" spans="13:19" x14ac:dyDescent="0.25">
      <c r="M185" s="46"/>
      <c r="N185" s="46"/>
      <c r="O185" s="46"/>
      <c r="P185" s="46"/>
      <c r="R185" s="15">
        <v>1.54E-2</v>
      </c>
      <c r="S185" s="18">
        <f>(Tabela2[[#This Row],[FRETE]]+Tabela2[[#This Row],[DESPESAS]]+Tabela2[[#This Row],[IPI]]+Tabela2[[#This Row],[Vl. Produto]])*Tabela2[[#This Row],[Aliq.%]]</f>
        <v>0</v>
      </c>
    </row>
    <row r="186" spans="13:19" x14ac:dyDescent="0.25">
      <c r="M186" s="46"/>
      <c r="N186" s="46"/>
      <c r="O186" s="46"/>
      <c r="P186" s="46"/>
      <c r="R186" s="15">
        <v>1.54E-2</v>
      </c>
      <c r="S186" s="18">
        <f>(Tabela2[[#This Row],[FRETE]]+Tabela2[[#This Row],[DESPESAS]]+Tabela2[[#This Row],[IPI]]+Tabela2[[#This Row],[Vl. Produto]])*Tabela2[[#This Row],[Aliq.%]]</f>
        <v>0</v>
      </c>
    </row>
    <row r="187" spans="13:19" x14ac:dyDescent="0.25">
      <c r="M187" s="46"/>
      <c r="N187" s="46"/>
      <c r="O187" s="46"/>
      <c r="P187" s="46"/>
      <c r="R187" s="15">
        <v>1.54E-2</v>
      </c>
      <c r="S187" s="18">
        <f>(Tabela2[[#This Row],[FRETE]]+Tabela2[[#This Row],[DESPESAS]]+Tabela2[[#This Row],[IPI]]+Tabela2[[#This Row],[Vl. Produto]])*Tabela2[[#This Row],[Aliq.%]]</f>
        <v>0</v>
      </c>
    </row>
    <row r="188" spans="13:19" x14ac:dyDescent="0.25">
      <c r="M188" s="46"/>
      <c r="N188" s="46"/>
      <c r="O188" s="46"/>
      <c r="P188" s="46"/>
      <c r="R188" s="15">
        <v>1.54E-2</v>
      </c>
      <c r="S188" s="18">
        <f>(Tabela2[[#This Row],[FRETE]]+Tabela2[[#This Row],[DESPESAS]]+Tabela2[[#This Row],[IPI]]+Tabela2[[#This Row],[Vl. Produto]])*Tabela2[[#This Row],[Aliq.%]]</f>
        <v>0</v>
      </c>
    </row>
    <row r="189" spans="13:19" x14ac:dyDescent="0.25">
      <c r="M189" s="46"/>
      <c r="N189" s="46"/>
      <c r="O189" s="46"/>
      <c r="P189" s="46"/>
      <c r="R189" s="15">
        <v>1.54E-2</v>
      </c>
      <c r="S189" s="18">
        <f>(Tabela2[[#This Row],[FRETE]]+Tabela2[[#This Row],[DESPESAS]]+Tabela2[[#This Row],[IPI]]+Tabela2[[#This Row],[Vl. Produto]])*Tabela2[[#This Row],[Aliq.%]]</f>
        <v>0</v>
      </c>
    </row>
    <row r="190" spans="13:19" x14ac:dyDescent="0.25">
      <c r="M190" s="46"/>
      <c r="N190" s="46"/>
      <c r="O190" s="46"/>
      <c r="P190" s="46"/>
      <c r="R190" s="15">
        <v>1.54E-2</v>
      </c>
      <c r="S190" s="18">
        <f>(Tabela2[[#This Row],[FRETE]]+Tabela2[[#This Row],[DESPESAS]]+Tabela2[[#This Row],[IPI]]+Tabela2[[#This Row],[Vl. Produto]])*Tabela2[[#This Row],[Aliq.%]]</f>
        <v>0</v>
      </c>
    </row>
    <row r="191" spans="13:19" x14ac:dyDescent="0.25">
      <c r="M191" s="46"/>
      <c r="N191" s="46"/>
      <c r="O191" s="46"/>
      <c r="P191" s="46"/>
      <c r="R191" s="15">
        <v>1.54E-2</v>
      </c>
      <c r="S191" s="18">
        <f>(Tabela2[[#This Row],[FRETE]]+Tabela2[[#This Row],[DESPESAS]]+Tabela2[[#This Row],[IPI]]+Tabela2[[#This Row],[Vl. Produto]])*Tabela2[[#This Row],[Aliq.%]]</f>
        <v>0</v>
      </c>
    </row>
    <row r="192" spans="13:19" x14ac:dyDescent="0.25">
      <c r="M192" s="46"/>
      <c r="N192" s="46"/>
      <c r="O192" s="46"/>
      <c r="P192" s="46"/>
      <c r="R192" s="15">
        <v>1.54E-2</v>
      </c>
      <c r="S192" s="18">
        <f>(Tabela2[[#This Row],[FRETE]]+Tabela2[[#This Row],[DESPESAS]]+Tabela2[[#This Row],[IPI]]+Tabela2[[#This Row],[Vl. Produto]])*Tabela2[[#This Row],[Aliq.%]]</f>
        <v>0</v>
      </c>
    </row>
    <row r="193" spans="13:19" x14ac:dyDescent="0.25">
      <c r="M193" s="46"/>
      <c r="N193" s="46"/>
      <c r="O193" s="46"/>
      <c r="P193" s="46"/>
      <c r="R193" s="15">
        <v>1.54E-2</v>
      </c>
      <c r="S193" s="18">
        <f>(Tabela2[[#This Row],[FRETE]]+Tabela2[[#This Row],[DESPESAS]]+Tabela2[[#This Row],[IPI]]+Tabela2[[#This Row],[Vl. Produto]])*Tabela2[[#This Row],[Aliq.%]]</f>
        <v>0</v>
      </c>
    </row>
    <row r="194" spans="13:19" x14ac:dyDescent="0.25">
      <c r="M194" s="46"/>
      <c r="N194" s="46"/>
      <c r="O194" s="46"/>
      <c r="P194" s="46"/>
      <c r="R194" s="15">
        <v>1.54E-2</v>
      </c>
      <c r="S194" s="18">
        <f>(Tabela2[[#This Row],[FRETE]]+Tabela2[[#This Row],[DESPESAS]]+Tabela2[[#This Row],[IPI]]+Tabela2[[#This Row],[Vl. Produto]])*Tabela2[[#This Row],[Aliq.%]]</f>
        <v>0</v>
      </c>
    </row>
    <row r="195" spans="13:19" x14ac:dyDescent="0.25">
      <c r="M195" s="46"/>
      <c r="N195" s="46"/>
      <c r="O195" s="46"/>
      <c r="P195" s="46"/>
      <c r="R195" s="15">
        <v>1.54E-2</v>
      </c>
      <c r="S195" s="18">
        <f>(Tabela2[[#This Row],[FRETE]]+Tabela2[[#This Row],[DESPESAS]]+Tabela2[[#This Row],[IPI]]+Tabela2[[#This Row],[Vl. Produto]])*Tabela2[[#This Row],[Aliq.%]]</f>
        <v>0</v>
      </c>
    </row>
    <row r="196" spans="13:19" x14ac:dyDescent="0.25">
      <c r="M196" s="46"/>
      <c r="N196" s="46"/>
      <c r="O196" s="46"/>
      <c r="P196" s="46"/>
      <c r="R196" s="15">
        <v>1.54E-2</v>
      </c>
      <c r="S196" s="18">
        <f>(Tabela2[[#This Row],[FRETE]]+Tabela2[[#This Row],[DESPESAS]]+Tabela2[[#This Row],[IPI]]+Tabela2[[#This Row],[Vl. Produto]])*Tabela2[[#This Row],[Aliq.%]]</f>
        <v>0</v>
      </c>
    </row>
    <row r="197" spans="13:19" x14ac:dyDescent="0.25">
      <c r="M197" s="46"/>
      <c r="N197" s="46"/>
      <c r="O197" s="46"/>
      <c r="P197" s="46"/>
      <c r="R197" s="15">
        <v>1.54E-2</v>
      </c>
      <c r="S197" s="18">
        <f>(Tabela2[[#This Row],[FRETE]]+Tabela2[[#This Row],[DESPESAS]]+Tabela2[[#This Row],[IPI]]+Tabela2[[#This Row],[Vl. Produto]])*Tabela2[[#This Row],[Aliq.%]]</f>
        <v>0</v>
      </c>
    </row>
    <row r="198" spans="13:19" x14ac:dyDescent="0.25">
      <c r="M198" s="46"/>
      <c r="N198" s="46"/>
      <c r="O198" s="46"/>
      <c r="P198" s="46"/>
      <c r="R198" s="15">
        <v>1.54E-2</v>
      </c>
      <c r="S198" s="18">
        <f>(Tabela2[[#This Row],[FRETE]]+Tabela2[[#This Row],[DESPESAS]]+Tabela2[[#This Row],[IPI]]+Tabela2[[#This Row],[Vl. Produto]])*Tabela2[[#This Row],[Aliq.%]]</f>
        <v>0</v>
      </c>
    </row>
    <row r="199" spans="13:19" x14ac:dyDescent="0.25">
      <c r="M199" s="46"/>
      <c r="N199" s="46"/>
      <c r="O199" s="46"/>
      <c r="P199" s="46"/>
      <c r="R199" s="15">
        <v>1.54E-2</v>
      </c>
      <c r="S199" s="18">
        <f>(Tabela2[[#This Row],[FRETE]]+Tabela2[[#This Row],[DESPESAS]]+Tabela2[[#This Row],[IPI]]+Tabela2[[#This Row],[Vl. Produto]])*Tabela2[[#This Row],[Aliq.%]]</f>
        <v>0</v>
      </c>
    </row>
    <row r="200" spans="13:19" x14ac:dyDescent="0.25">
      <c r="M200" s="46"/>
      <c r="N200" s="46"/>
      <c r="O200" s="46"/>
      <c r="P200" s="46"/>
      <c r="R200" s="15">
        <v>1.54E-2</v>
      </c>
      <c r="S200" s="18">
        <f>(Tabela2[[#This Row],[FRETE]]+Tabela2[[#This Row],[DESPESAS]]+Tabela2[[#This Row],[IPI]]+Tabela2[[#This Row],[Vl. Produto]])*Tabela2[[#This Row],[Aliq.%]]</f>
        <v>0</v>
      </c>
    </row>
    <row r="201" spans="13:19" x14ac:dyDescent="0.25">
      <c r="M201" s="46"/>
      <c r="N201" s="46"/>
      <c r="O201" s="46"/>
      <c r="P201" s="46"/>
      <c r="R201" s="15">
        <v>1.54E-2</v>
      </c>
      <c r="S201" s="18">
        <f>(Tabela2[[#This Row],[FRETE]]+Tabela2[[#This Row],[DESPESAS]]+Tabela2[[#This Row],[IPI]]+Tabela2[[#This Row],[Vl. Produto]])*Tabela2[[#This Row],[Aliq.%]]</f>
        <v>0</v>
      </c>
    </row>
    <row r="202" spans="13:19" x14ac:dyDescent="0.25">
      <c r="M202" s="46"/>
      <c r="N202" s="46"/>
      <c r="O202" s="46"/>
      <c r="P202" s="46"/>
      <c r="R202" s="15">
        <v>1.54E-2</v>
      </c>
      <c r="S202" s="18">
        <f>(Tabela2[[#This Row],[FRETE]]+Tabela2[[#This Row],[DESPESAS]]+Tabela2[[#This Row],[IPI]]+Tabela2[[#This Row],[Vl. Produto]])*Tabela2[[#This Row],[Aliq.%]]</f>
        <v>0</v>
      </c>
    </row>
    <row r="203" spans="13:19" x14ac:dyDescent="0.25">
      <c r="M203" s="46"/>
      <c r="N203" s="46"/>
      <c r="O203" s="46"/>
      <c r="P203" s="46"/>
      <c r="R203" s="15">
        <v>1.54E-2</v>
      </c>
      <c r="S203" s="18">
        <f>(Tabela2[[#This Row],[FRETE]]+Tabela2[[#This Row],[DESPESAS]]+Tabela2[[#This Row],[IPI]]+Tabela2[[#This Row],[Vl. Produto]])*Tabela2[[#This Row],[Aliq.%]]</f>
        <v>0</v>
      </c>
    </row>
    <row r="204" spans="13:19" x14ac:dyDescent="0.25">
      <c r="M204" s="46"/>
      <c r="N204" s="46"/>
      <c r="O204" s="46"/>
      <c r="P204" s="46"/>
      <c r="R204" s="15">
        <v>1.54E-2</v>
      </c>
      <c r="S204" s="18">
        <f>(Tabela2[[#This Row],[FRETE]]+Tabela2[[#This Row],[DESPESAS]]+Tabela2[[#This Row],[IPI]]+Tabela2[[#This Row],[Vl. Produto]])*Tabela2[[#This Row],[Aliq.%]]</f>
        <v>0</v>
      </c>
    </row>
    <row r="205" spans="13:19" x14ac:dyDescent="0.25">
      <c r="M205" s="46"/>
      <c r="N205" s="46"/>
      <c r="O205" s="46"/>
      <c r="P205" s="46"/>
      <c r="R205" s="15">
        <v>1.54E-2</v>
      </c>
      <c r="S205" s="18">
        <f>(Tabela2[[#This Row],[FRETE]]+Tabela2[[#This Row],[DESPESAS]]+Tabela2[[#This Row],[IPI]]+Tabela2[[#This Row],[Vl. Produto]])*Tabela2[[#This Row],[Aliq.%]]</f>
        <v>0</v>
      </c>
    </row>
    <row r="206" spans="13:19" x14ac:dyDescent="0.25">
      <c r="M206" s="46"/>
      <c r="N206" s="46"/>
      <c r="O206" s="46"/>
      <c r="P206" s="46"/>
      <c r="R206" s="15">
        <v>1.54E-2</v>
      </c>
      <c r="S206" s="18">
        <f>(Tabela2[[#This Row],[FRETE]]+Tabela2[[#This Row],[DESPESAS]]+Tabela2[[#This Row],[IPI]]+Tabela2[[#This Row],[Vl. Produto]])*Tabela2[[#This Row],[Aliq.%]]</f>
        <v>0</v>
      </c>
    </row>
    <row r="207" spans="13:19" x14ac:dyDescent="0.25">
      <c r="M207" s="46"/>
      <c r="N207" s="46"/>
      <c r="O207" s="46"/>
      <c r="P207" s="46"/>
      <c r="R207" s="15">
        <v>1.54E-2</v>
      </c>
      <c r="S207" s="18">
        <f>(Tabela2[[#This Row],[FRETE]]+Tabela2[[#This Row],[DESPESAS]]+Tabela2[[#This Row],[IPI]]+Tabela2[[#This Row],[Vl. Produto]])*Tabela2[[#This Row],[Aliq.%]]</f>
        <v>0</v>
      </c>
    </row>
    <row r="208" spans="13:19" x14ac:dyDescent="0.25">
      <c r="M208" s="46"/>
      <c r="N208" s="46"/>
      <c r="O208" s="46"/>
      <c r="P208" s="46"/>
      <c r="R208" s="15">
        <v>1.54E-2</v>
      </c>
      <c r="S208" s="18">
        <f>(Tabela2[[#This Row],[FRETE]]+Tabela2[[#This Row],[DESPESAS]]+Tabela2[[#This Row],[IPI]]+Tabela2[[#This Row],[Vl. Produto]])*Tabela2[[#This Row],[Aliq.%]]</f>
        <v>0</v>
      </c>
    </row>
    <row r="209" spans="13:19" x14ac:dyDescent="0.25">
      <c r="M209" s="46"/>
      <c r="N209" s="46"/>
      <c r="O209" s="46"/>
      <c r="P209" s="46"/>
      <c r="R209" s="15">
        <v>1.54E-2</v>
      </c>
      <c r="S209" s="18">
        <f>(Tabela2[[#This Row],[FRETE]]+Tabela2[[#This Row],[DESPESAS]]+Tabela2[[#This Row],[IPI]]+Tabela2[[#This Row],[Vl. Produto]])*Tabela2[[#This Row],[Aliq.%]]</f>
        <v>0</v>
      </c>
    </row>
    <row r="210" spans="13:19" x14ac:dyDescent="0.25">
      <c r="M210" s="46"/>
      <c r="N210" s="46"/>
      <c r="O210" s="46"/>
      <c r="P210" s="46"/>
      <c r="R210" s="15">
        <v>1.54E-2</v>
      </c>
      <c r="S210" s="18">
        <f>(Tabela2[[#This Row],[FRETE]]+Tabela2[[#This Row],[DESPESAS]]+Tabela2[[#This Row],[IPI]]+Tabela2[[#This Row],[Vl. Produto]])*Tabela2[[#This Row],[Aliq.%]]</f>
        <v>0</v>
      </c>
    </row>
    <row r="211" spans="13:19" x14ac:dyDescent="0.25">
      <c r="M211" s="46"/>
      <c r="N211" s="46"/>
      <c r="O211" s="46"/>
      <c r="P211" s="46"/>
      <c r="R211" s="15">
        <v>1.54E-2</v>
      </c>
      <c r="S211" s="18">
        <f>(Tabela2[[#This Row],[FRETE]]+Tabela2[[#This Row],[DESPESAS]]+Tabela2[[#This Row],[IPI]]+Tabela2[[#This Row],[Vl. Produto]])*Tabela2[[#This Row],[Aliq.%]]</f>
        <v>0</v>
      </c>
    </row>
    <row r="212" spans="13:19" x14ac:dyDescent="0.25">
      <c r="M212" s="46"/>
      <c r="N212" s="46"/>
      <c r="O212" s="46"/>
      <c r="P212" s="46"/>
      <c r="R212" s="15">
        <v>1.54E-2</v>
      </c>
      <c r="S212" s="18">
        <f>(Tabela2[[#This Row],[FRETE]]+Tabela2[[#This Row],[DESPESAS]]+Tabela2[[#This Row],[IPI]]+Tabela2[[#This Row],[Vl. Produto]])*Tabela2[[#This Row],[Aliq.%]]</f>
        <v>0</v>
      </c>
    </row>
    <row r="213" spans="13:19" x14ac:dyDescent="0.25">
      <c r="M213" s="46"/>
      <c r="N213" s="46"/>
      <c r="O213" s="46"/>
      <c r="P213" s="46"/>
      <c r="R213" s="15">
        <v>1.54E-2</v>
      </c>
      <c r="S213" s="18">
        <f>(Tabela2[[#This Row],[FRETE]]+Tabela2[[#This Row],[DESPESAS]]+Tabela2[[#This Row],[IPI]]+Tabela2[[#This Row],[Vl. Produto]])*Tabela2[[#This Row],[Aliq.%]]</f>
        <v>0</v>
      </c>
    </row>
    <row r="214" spans="13:19" x14ac:dyDescent="0.25">
      <c r="M214" s="46"/>
      <c r="N214" s="46"/>
      <c r="O214" s="46"/>
      <c r="P214" s="46"/>
      <c r="R214" s="15">
        <v>1.54E-2</v>
      </c>
      <c r="S214" s="18">
        <f>(Tabela2[[#This Row],[FRETE]]+Tabela2[[#This Row],[DESPESAS]]+Tabela2[[#This Row],[IPI]]+Tabela2[[#This Row],[Vl. Produto]])*Tabela2[[#This Row],[Aliq.%]]</f>
        <v>0</v>
      </c>
    </row>
    <row r="215" spans="13:19" x14ac:dyDescent="0.25">
      <c r="M215" s="46"/>
      <c r="N215" s="46"/>
      <c r="O215" s="46"/>
      <c r="P215" s="46"/>
      <c r="R215" s="15">
        <v>1.54E-2</v>
      </c>
      <c r="S215" s="18">
        <f>(Tabela2[[#This Row],[FRETE]]+Tabela2[[#This Row],[DESPESAS]]+Tabela2[[#This Row],[IPI]]+Tabela2[[#This Row],[Vl. Produto]])*Tabela2[[#This Row],[Aliq.%]]</f>
        <v>0</v>
      </c>
    </row>
    <row r="216" spans="13:19" x14ac:dyDescent="0.25">
      <c r="M216" s="46"/>
      <c r="N216" s="46"/>
      <c r="O216" s="46"/>
      <c r="P216" s="46"/>
      <c r="R216" s="15">
        <v>1.54E-2</v>
      </c>
      <c r="S216" s="18">
        <f>(Tabela2[[#This Row],[FRETE]]+Tabela2[[#This Row],[DESPESAS]]+Tabela2[[#This Row],[IPI]]+Tabela2[[#This Row],[Vl. Produto]])*Tabela2[[#This Row],[Aliq.%]]</f>
        <v>0</v>
      </c>
    </row>
    <row r="217" spans="13:19" x14ac:dyDescent="0.25">
      <c r="M217" s="46"/>
      <c r="N217" s="46"/>
      <c r="O217" s="46"/>
      <c r="P217" s="46"/>
      <c r="R217" s="15">
        <v>1.54E-2</v>
      </c>
      <c r="S217" s="18">
        <f>(Tabela2[[#This Row],[FRETE]]+Tabela2[[#This Row],[DESPESAS]]+Tabela2[[#This Row],[IPI]]+Tabela2[[#This Row],[Vl. Produto]])*Tabela2[[#This Row],[Aliq.%]]</f>
        <v>0</v>
      </c>
    </row>
    <row r="218" spans="13:19" x14ac:dyDescent="0.25">
      <c r="M218" s="46"/>
      <c r="N218" s="46"/>
      <c r="O218" s="46"/>
      <c r="P218" s="46"/>
      <c r="R218" s="15">
        <v>1.54E-2</v>
      </c>
      <c r="S218" s="18">
        <f>(Tabela2[[#This Row],[FRETE]]+Tabela2[[#This Row],[DESPESAS]]+Tabela2[[#This Row],[IPI]]+Tabela2[[#This Row],[Vl. Produto]])*Tabela2[[#This Row],[Aliq.%]]</f>
        <v>0</v>
      </c>
    </row>
    <row r="219" spans="13:19" x14ac:dyDescent="0.25">
      <c r="M219" s="46"/>
      <c r="N219" s="46"/>
      <c r="O219" s="46"/>
      <c r="P219" s="46"/>
      <c r="R219" s="15">
        <v>1.54E-2</v>
      </c>
      <c r="S219" s="18">
        <f>(Tabela2[[#This Row],[FRETE]]+Tabela2[[#This Row],[DESPESAS]]+Tabela2[[#This Row],[IPI]]+Tabela2[[#This Row],[Vl. Produto]])*Tabela2[[#This Row],[Aliq.%]]</f>
        <v>0</v>
      </c>
    </row>
    <row r="220" spans="13:19" x14ac:dyDescent="0.25">
      <c r="M220" s="46"/>
      <c r="N220" s="46"/>
      <c r="O220" s="46"/>
      <c r="P220" s="46"/>
      <c r="R220" s="15">
        <v>1.54E-2</v>
      </c>
      <c r="S220" s="18">
        <f>(Tabela2[[#This Row],[FRETE]]+Tabela2[[#This Row],[DESPESAS]]+Tabela2[[#This Row],[IPI]]+Tabela2[[#This Row],[Vl. Produto]])*Tabela2[[#This Row],[Aliq.%]]</f>
        <v>0</v>
      </c>
    </row>
    <row r="221" spans="13:19" x14ac:dyDescent="0.25">
      <c r="M221" s="46"/>
      <c r="N221" s="46"/>
      <c r="O221" s="46"/>
      <c r="P221" s="46"/>
      <c r="R221" s="15">
        <v>1.54E-2</v>
      </c>
      <c r="S221" s="18">
        <f>(Tabela2[[#This Row],[FRETE]]+Tabela2[[#This Row],[DESPESAS]]+Tabela2[[#This Row],[IPI]]+Tabela2[[#This Row],[Vl. Produto]])*Tabela2[[#This Row],[Aliq.%]]</f>
        <v>0</v>
      </c>
    </row>
    <row r="222" spans="13:19" x14ac:dyDescent="0.25">
      <c r="M222" s="46"/>
      <c r="N222" s="46"/>
      <c r="O222" s="46"/>
      <c r="P222" s="46"/>
      <c r="R222" s="15">
        <v>1.54E-2</v>
      </c>
      <c r="S222" s="18">
        <f>(Tabela2[[#This Row],[FRETE]]+Tabela2[[#This Row],[DESPESAS]]+Tabela2[[#This Row],[IPI]]+Tabela2[[#This Row],[Vl. Produto]])*Tabela2[[#This Row],[Aliq.%]]</f>
        <v>0</v>
      </c>
    </row>
    <row r="223" spans="13:19" x14ac:dyDescent="0.25">
      <c r="M223" s="46"/>
      <c r="N223" s="46"/>
      <c r="O223" s="46"/>
      <c r="P223" s="46"/>
      <c r="R223" s="15">
        <v>1.54E-2</v>
      </c>
      <c r="S223" s="18">
        <f>(Tabela2[[#This Row],[FRETE]]+Tabela2[[#This Row],[DESPESAS]]+Tabela2[[#This Row],[IPI]]+Tabela2[[#This Row],[Vl. Produto]])*Tabela2[[#This Row],[Aliq.%]]</f>
        <v>0</v>
      </c>
    </row>
    <row r="224" spans="13:19" x14ac:dyDescent="0.25">
      <c r="M224" s="46"/>
      <c r="N224" s="46"/>
      <c r="O224" s="46"/>
      <c r="P224" s="46"/>
      <c r="R224" s="15">
        <v>1.54E-2</v>
      </c>
      <c r="S224" s="18">
        <f>(Tabela2[[#This Row],[FRETE]]+Tabela2[[#This Row],[DESPESAS]]+Tabela2[[#This Row],[IPI]]+Tabela2[[#This Row],[Vl. Produto]])*Tabela2[[#This Row],[Aliq.%]]</f>
        <v>0</v>
      </c>
    </row>
    <row r="225" spans="13:19" x14ac:dyDescent="0.25">
      <c r="M225" s="46"/>
      <c r="N225" s="46"/>
      <c r="O225" s="46"/>
      <c r="P225" s="46"/>
      <c r="R225" s="15">
        <v>1.54E-2</v>
      </c>
      <c r="S225" s="18">
        <f>(Tabela2[[#This Row],[FRETE]]+Tabela2[[#This Row],[DESPESAS]]+Tabela2[[#This Row],[IPI]]+Tabela2[[#This Row],[Vl. Produto]])*Tabela2[[#This Row],[Aliq.%]]</f>
        <v>0</v>
      </c>
    </row>
    <row r="226" spans="13:19" x14ac:dyDescent="0.25">
      <c r="M226" s="46"/>
      <c r="N226" s="46"/>
      <c r="O226" s="46"/>
      <c r="P226" s="46"/>
      <c r="R226" s="15">
        <v>1.54E-2</v>
      </c>
      <c r="S226" s="18">
        <f>(Tabela2[[#This Row],[FRETE]]+Tabela2[[#This Row],[DESPESAS]]+Tabela2[[#This Row],[IPI]]+Tabela2[[#This Row],[Vl. Produto]])*Tabela2[[#This Row],[Aliq.%]]</f>
        <v>0</v>
      </c>
    </row>
    <row r="227" spans="13:19" x14ac:dyDescent="0.25">
      <c r="M227" s="46"/>
      <c r="N227" s="46"/>
      <c r="O227" s="46"/>
      <c r="P227" s="46"/>
      <c r="R227" s="15">
        <v>1.54E-2</v>
      </c>
      <c r="S227" s="18">
        <f>(Tabela2[[#This Row],[FRETE]]+Tabela2[[#This Row],[DESPESAS]]+Tabela2[[#This Row],[IPI]]+Tabela2[[#This Row],[Vl. Produto]])*Tabela2[[#This Row],[Aliq.%]]</f>
        <v>0</v>
      </c>
    </row>
    <row r="228" spans="13:19" x14ac:dyDescent="0.25">
      <c r="M228" s="46"/>
      <c r="N228" s="46"/>
      <c r="O228" s="46"/>
      <c r="P228" s="46"/>
      <c r="R228" s="15">
        <v>1.54E-2</v>
      </c>
      <c r="S228" s="18">
        <f>(Tabela2[[#This Row],[FRETE]]+Tabela2[[#This Row],[DESPESAS]]+Tabela2[[#This Row],[IPI]]+Tabela2[[#This Row],[Vl. Produto]])*Tabela2[[#This Row],[Aliq.%]]</f>
        <v>0</v>
      </c>
    </row>
    <row r="229" spans="13:19" x14ac:dyDescent="0.25">
      <c r="M229" s="46"/>
      <c r="N229" s="46"/>
      <c r="O229" s="46"/>
      <c r="P229" s="46"/>
      <c r="R229" s="15">
        <v>1.54E-2</v>
      </c>
      <c r="S229" s="18">
        <f>(Tabela2[[#This Row],[FRETE]]+Tabela2[[#This Row],[DESPESAS]]+Tabela2[[#This Row],[IPI]]+Tabela2[[#This Row],[Vl. Produto]])*Tabela2[[#This Row],[Aliq.%]]</f>
        <v>0</v>
      </c>
    </row>
    <row r="230" spans="13:19" x14ac:dyDescent="0.25">
      <c r="M230" s="46"/>
      <c r="N230" s="46"/>
      <c r="O230" s="46"/>
      <c r="P230" s="46"/>
      <c r="R230" s="15">
        <v>1.54E-2</v>
      </c>
      <c r="S230" s="18">
        <f>(Tabela2[[#This Row],[FRETE]]+Tabela2[[#This Row],[DESPESAS]]+Tabela2[[#This Row],[IPI]]+Tabela2[[#This Row],[Vl. Produto]])*Tabela2[[#This Row],[Aliq.%]]</f>
        <v>0</v>
      </c>
    </row>
    <row r="231" spans="13:19" x14ac:dyDescent="0.25">
      <c r="M231" s="46"/>
      <c r="N231" s="46"/>
      <c r="O231" s="46"/>
      <c r="P231" s="46"/>
      <c r="R231" s="15">
        <v>1.54E-2</v>
      </c>
      <c r="S231" s="18">
        <f>(Tabela2[[#This Row],[FRETE]]+Tabela2[[#This Row],[DESPESAS]]+Tabela2[[#This Row],[IPI]]+Tabela2[[#This Row],[Vl. Produto]])*Tabela2[[#This Row],[Aliq.%]]</f>
        <v>0</v>
      </c>
    </row>
    <row r="232" spans="13:19" x14ac:dyDescent="0.25">
      <c r="M232" s="46"/>
      <c r="N232" s="46"/>
      <c r="O232" s="46"/>
      <c r="P232" s="46"/>
      <c r="R232" s="15">
        <v>1.54E-2</v>
      </c>
      <c r="S232" s="18">
        <f>(Tabela2[[#This Row],[FRETE]]+Tabela2[[#This Row],[DESPESAS]]+Tabela2[[#This Row],[IPI]]+Tabela2[[#This Row],[Vl. Produto]])*Tabela2[[#This Row],[Aliq.%]]</f>
        <v>0</v>
      </c>
    </row>
    <row r="233" spans="13:19" x14ac:dyDescent="0.25">
      <c r="M233" s="46"/>
      <c r="N233" s="46"/>
      <c r="O233" s="46"/>
      <c r="P233" s="46"/>
      <c r="R233" s="15">
        <v>1.54E-2</v>
      </c>
      <c r="S233" s="18">
        <f>(Tabela2[[#This Row],[FRETE]]+Tabela2[[#This Row],[DESPESAS]]+Tabela2[[#This Row],[IPI]]+Tabela2[[#This Row],[Vl. Produto]])*Tabela2[[#This Row],[Aliq.%]]</f>
        <v>0</v>
      </c>
    </row>
    <row r="234" spans="13:19" x14ac:dyDescent="0.25">
      <c r="M234" s="46"/>
      <c r="N234" s="46"/>
      <c r="O234" s="46"/>
      <c r="P234" s="46"/>
      <c r="R234" s="15">
        <v>1.54E-2</v>
      </c>
      <c r="S234" s="18">
        <f>(Tabela2[[#This Row],[FRETE]]+Tabela2[[#This Row],[DESPESAS]]+Tabela2[[#This Row],[IPI]]+Tabela2[[#This Row],[Vl. Produto]])*Tabela2[[#This Row],[Aliq.%]]</f>
        <v>0</v>
      </c>
    </row>
    <row r="235" spans="13:19" x14ac:dyDescent="0.25">
      <c r="M235" s="46"/>
      <c r="N235" s="46"/>
      <c r="O235" s="46"/>
      <c r="P235" s="46"/>
      <c r="R235" s="15">
        <v>1.54E-2</v>
      </c>
      <c r="S235" s="18">
        <f>(Tabela2[[#This Row],[FRETE]]+Tabela2[[#This Row],[DESPESAS]]+Tabela2[[#This Row],[IPI]]+Tabela2[[#This Row],[Vl. Produto]])*Tabela2[[#This Row],[Aliq.%]]</f>
        <v>0</v>
      </c>
    </row>
    <row r="236" spans="13:19" x14ac:dyDescent="0.25">
      <c r="M236" s="46"/>
      <c r="N236" s="46"/>
      <c r="O236" s="46"/>
      <c r="P236" s="46"/>
      <c r="R236" s="15">
        <v>1.54E-2</v>
      </c>
      <c r="S236" s="18">
        <f>(Tabela2[[#This Row],[FRETE]]+Tabela2[[#This Row],[DESPESAS]]+Tabela2[[#This Row],[IPI]]+Tabela2[[#This Row],[Vl. Produto]])*Tabela2[[#This Row],[Aliq.%]]</f>
        <v>0</v>
      </c>
    </row>
    <row r="237" spans="13:19" x14ac:dyDescent="0.25">
      <c r="M237" s="46"/>
      <c r="N237" s="46"/>
      <c r="O237" s="46"/>
      <c r="P237" s="46"/>
      <c r="R237" s="15">
        <v>1.54E-2</v>
      </c>
      <c r="S237" s="18">
        <f>(Tabela2[[#This Row],[FRETE]]+Tabela2[[#This Row],[DESPESAS]]+Tabela2[[#This Row],[IPI]]+Tabela2[[#This Row],[Vl. Produto]])*Tabela2[[#This Row],[Aliq.%]]</f>
        <v>0</v>
      </c>
    </row>
    <row r="238" spans="13:19" x14ac:dyDescent="0.25">
      <c r="M238" s="46"/>
      <c r="N238" s="46"/>
      <c r="O238" s="46"/>
      <c r="P238" s="46"/>
      <c r="R238" s="15">
        <v>1.54E-2</v>
      </c>
      <c r="S238" s="18">
        <f>(Tabela2[[#This Row],[FRETE]]+Tabela2[[#This Row],[DESPESAS]]+Tabela2[[#This Row],[IPI]]+Tabela2[[#This Row],[Vl. Produto]])*Tabela2[[#This Row],[Aliq.%]]</f>
        <v>0</v>
      </c>
    </row>
    <row r="239" spans="13:19" x14ac:dyDescent="0.25">
      <c r="M239" s="46"/>
      <c r="N239" s="46"/>
      <c r="O239" s="46"/>
      <c r="P239" s="46"/>
      <c r="R239" s="15">
        <v>1.54E-2</v>
      </c>
      <c r="S239" s="18">
        <f>(Tabela2[[#This Row],[FRETE]]+Tabela2[[#This Row],[DESPESAS]]+Tabela2[[#This Row],[IPI]]+Tabela2[[#This Row],[Vl. Produto]])*Tabela2[[#This Row],[Aliq.%]]</f>
        <v>0</v>
      </c>
    </row>
    <row r="240" spans="13:19" x14ac:dyDescent="0.25">
      <c r="M240" s="46"/>
      <c r="N240" s="46"/>
      <c r="O240" s="46"/>
      <c r="P240" s="46"/>
      <c r="R240" s="15">
        <v>1.54E-2</v>
      </c>
      <c r="S240" s="18">
        <f>(Tabela2[[#This Row],[FRETE]]+Tabela2[[#This Row],[DESPESAS]]+Tabela2[[#This Row],[IPI]]+Tabela2[[#This Row],[Vl. Produto]])*Tabela2[[#This Row],[Aliq.%]]</f>
        <v>0</v>
      </c>
    </row>
    <row r="241" spans="13:19" x14ac:dyDescent="0.25">
      <c r="M241" s="46"/>
      <c r="N241" s="46"/>
      <c r="O241" s="46"/>
      <c r="P241" s="46"/>
      <c r="R241" s="15">
        <v>1.54E-2</v>
      </c>
      <c r="S241" s="18">
        <f>(Tabela2[[#This Row],[FRETE]]+Tabela2[[#This Row],[DESPESAS]]+Tabela2[[#This Row],[IPI]]+Tabela2[[#This Row],[Vl. Produto]])*Tabela2[[#This Row],[Aliq.%]]</f>
        <v>0</v>
      </c>
    </row>
    <row r="242" spans="13:19" x14ac:dyDescent="0.25">
      <c r="M242" s="46"/>
      <c r="N242" s="46"/>
      <c r="O242" s="46"/>
      <c r="P242" s="46"/>
      <c r="R242" s="15">
        <v>1.54E-2</v>
      </c>
      <c r="S242" s="18">
        <f>(Tabela2[[#This Row],[FRETE]]+Tabela2[[#This Row],[DESPESAS]]+Tabela2[[#This Row],[IPI]]+Tabela2[[#This Row],[Vl. Produto]])*Tabela2[[#This Row],[Aliq.%]]</f>
        <v>0</v>
      </c>
    </row>
    <row r="243" spans="13:19" x14ac:dyDescent="0.25">
      <c r="M243" s="46"/>
      <c r="N243" s="46"/>
      <c r="O243" s="46"/>
      <c r="P243" s="46"/>
      <c r="R243" s="15">
        <v>1.54E-2</v>
      </c>
      <c r="S243" s="18">
        <f>(Tabela2[[#This Row],[FRETE]]+Tabela2[[#This Row],[DESPESAS]]+Tabela2[[#This Row],[IPI]]+Tabela2[[#This Row],[Vl. Produto]])*Tabela2[[#This Row],[Aliq.%]]</f>
        <v>0</v>
      </c>
    </row>
    <row r="244" spans="13:19" x14ac:dyDescent="0.25">
      <c r="M244" s="46"/>
      <c r="N244" s="46"/>
      <c r="O244" s="46"/>
      <c r="P244" s="46"/>
      <c r="R244" s="15">
        <v>1.54E-2</v>
      </c>
      <c r="S244" s="18">
        <f>(Tabela2[[#This Row],[FRETE]]+Tabela2[[#This Row],[DESPESAS]]+Tabela2[[#This Row],[IPI]]+Tabela2[[#This Row],[Vl. Produto]])*Tabela2[[#This Row],[Aliq.%]]</f>
        <v>0</v>
      </c>
    </row>
    <row r="245" spans="13:19" x14ac:dyDescent="0.25">
      <c r="M245" s="46"/>
      <c r="N245" s="46"/>
      <c r="O245" s="46"/>
      <c r="P245" s="46"/>
      <c r="R245" s="15">
        <v>1.54E-2</v>
      </c>
      <c r="S245" s="18">
        <f>(Tabela2[[#This Row],[FRETE]]+Tabela2[[#This Row],[DESPESAS]]+Tabela2[[#This Row],[IPI]]+Tabela2[[#This Row],[Vl. Produto]])*Tabela2[[#This Row],[Aliq.%]]</f>
        <v>0</v>
      </c>
    </row>
    <row r="246" spans="13:19" x14ac:dyDescent="0.25">
      <c r="M246" s="46"/>
      <c r="N246" s="46"/>
      <c r="O246" s="46"/>
      <c r="P246" s="46"/>
      <c r="R246" s="15">
        <v>1.54E-2</v>
      </c>
      <c r="S246" s="18">
        <f>(Tabela2[[#This Row],[FRETE]]+Tabela2[[#This Row],[DESPESAS]]+Tabela2[[#This Row],[IPI]]+Tabela2[[#This Row],[Vl. Produto]])*Tabela2[[#This Row],[Aliq.%]]</f>
        <v>0</v>
      </c>
    </row>
    <row r="247" spans="13:19" x14ac:dyDescent="0.25">
      <c r="M247" s="46"/>
      <c r="N247" s="46"/>
      <c r="O247" s="46"/>
      <c r="P247" s="46"/>
      <c r="R247" s="15">
        <v>1.54E-2</v>
      </c>
      <c r="S247" s="18">
        <f>(Tabela2[[#This Row],[FRETE]]+Tabela2[[#This Row],[DESPESAS]]+Tabela2[[#This Row],[IPI]]+Tabela2[[#This Row],[Vl. Produto]])*Tabela2[[#This Row],[Aliq.%]]</f>
        <v>0</v>
      </c>
    </row>
    <row r="248" spans="13:19" x14ac:dyDescent="0.25">
      <c r="M248" s="46"/>
      <c r="N248" s="46"/>
      <c r="O248" s="46"/>
      <c r="P248" s="46"/>
      <c r="R248" s="15">
        <v>1.54E-2</v>
      </c>
      <c r="S248" s="18">
        <f>(Tabela2[[#This Row],[FRETE]]+Tabela2[[#This Row],[DESPESAS]]+Tabela2[[#This Row],[IPI]]+Tabela2[[#This Row],[Vl. Produto]])*Tabela2[[#This Row],[Aliq.%]]</f>
        <v>0</v>
      </c>
    </row>
    <row r="249" spans="13:19" x14ac:dyDescent="0.25">
      <c r="M249" s="46"/>
      <c r="N249" s="46"/>
      <c r="O249" s="46"/>
      <c r="P249" s="46"/>
      <c r="R249" s="15">
        <v>1.54E-2</v>
      </c>
      <c r="S249" s="18">
        <f>(Tabela2[[#This Row],[FRETE]]+Tabela2[[#This Row],[DESPESAS]]+Tabela2[[#This Row],[IPI]]+Tabela2[[#This Row],[Vl. Produto]])*Tabela2[[#This Row],[Aliq.%]]</f>
        <v>0</v>
      </c>
    </row>
    <row r="250" spans="13:19" x14ac:dyDescent="0.25">
      <c r="M250" s="46"/>
      <c r="N250" s="46"/>
      <c r="O250" s="46"/>
      <c r="P250" s="46"/>
      <c r="R250" s="15">
        <v>1.54E-2</v>
      </c>
      <c r="S250" s="18">
        <f>(Tabela2[[#This Row],[FRETE]]+Tabela2[[#This Row],[DESPESAS]]+Tabela2[[#This Row],[IPI]]+Tabela2[[#This Row],[Vl. Produto]])*Tabela2[[#This Row],[Aliq.%]]</f>
        <v>0</v>
      </c>
    </row>
    <row r="251" spans="13:19" x14ac:dyDescent="0.25">
      <c r="M251" s="46"/>
      <c r="N251" s="46"/>
      <c r="O251" s="46"/>
      <c r="P251" s="46"/>
      <c r="R251" s="15">
        <v>1.54E-2</v>
      </c>
      <c r="S251" s="18">
        <f>(Tabela2[[#This Row],[FRETE]]+Tabela2[[#This Row],[DESPESAS]]+Tabela2[[#This Row],[IPI]]+Tabela2[[#This Row],[Vl. Produto]])*Tabela2[[#This Row],[Aliq.%]]</f>
        <v>0</v>
      </c>
    </row>
    <row r="252" spans="13:19" x14ac:dyDescent="0.25">
      <c r="M252" s="46"/>
      <c r="N252" s="46"/>
      <c r="O252" s="46"/>
      <c r="P252" s="46"/>
      <c r="R252" s="15">
        <v>1.54E-2</v>
      </c>
      <c r="S252" s="18">
        <f>(Tabela2[[#This Row],[FRETE]]+Tabela2[[#This Row],[DESPESAS]]+Tabela2[[#This Row],[IPI]]+Tabela2[[#This Row],[Vl. Produto]])*Tabela2[[#This Row],[Aliq.%]]</f>
        <v>0</v>
      </c>
    </row>
    <row r="253" spans="13:19" x14ac:dyDescent="0.25">
      <c r="M253" s="46"/>
      <c r="N253" s="46"/>
      <c r="O253" s="46"/>
      <c r="P253" s="46"/>
      <c r="R253" s="15">
        <v>1.54E-2</v>
      </c>
      <c r="S253" s="18">
        <f>(Tabela2[[#This Row],[FRETE]]+Tabela2[[#This Row],[DESPESAS]]+Tabela2[[#This Row],[IPI]]+Tabela2[[#This Row],[Vl. Produto]])*Tabela2[[#This Row],[Aliq.%]]</f>
        <v>0</v>
      </c>
    </row>
    <row r="254" spans="13:19" x14ac:dyDescent="0.25">
      <c r="M254" s="46"/>
      <c r="N254" s="46"/>
      <c r="O254" s="46"/>
      <c r="P254" s="46"/>
      <c r="R254" s="15">
        <v>1.54E-2</v>
      </c>
      <c r="S254" s="18">
        <f>(Tabela2[[#This Row],[FRETE]]+Tabela2[[#This Row],[DESPESAS]]+Tabela2[[#This Row],[IPI]]+Tabela2[[#This Row],[Vl. Produto]])*Tabela2[[#This Row],[Aliq.%]]</f>
        <v>0</v>
      </c>
    </row>
    <row r="255" spans="13:19" x14ac:dyDescent="0.25">
      <c r="M255" s="46"/>
      <c r="N255" s="46"/>
      <c r="O255" s="46"/>
      <c r="P255" s="46"/>
      <c r="R255" s="15">
        <v>1.54E-2</v>
      </c>
      <c r="S255" s="18">
        <f>(Tabela2[[#This Row],[FRETE]]+Tabela2[[#This Row],[DESPESAS]]+Tabela2[[#This Row],[IPI]]+Tabela2[[#This Row],[Vl. Produto]])*Tabela2[[#This Row],[Aliq.%]]</f>
        <v>0</v>
      </c>
    </row>
    <row r="256" spans="13:19" x14ac:dyDescent="0.25">
      <c r="M256" s="46"/>
      <c r="N256" s="46"/>
      <c r="O256" s="46"/>
      <c r="P256" s="46"/>
      <c r="R256" s="15">
        <v>1.54E-2</v>
      </c>
      <c r="S256" s="18">
        <f>(Tabela2[[#This Row],[FRETE]]+Tabela2[[#This Row],[DESPESAS]]+Tabela2[[#This Row],[IPI]]+Tabela2[[#This Row],[Vl. Produto]])*Tabela2[[#This Row],[Aliq.%]]</f>
        <v>0</v>
      </c>
    </row>
    <row r="257" spans="13:19" x14ac:dyDescent="0.25">
      <c r="M257" s="46"/>
      <c r="N257" s="46"/>
      <c r="O257" s="46"/>
      <c r="P257" s="46"/>
      <c r="R257" s="15">
        <v>1.54E-2</v>
      </c>
      <c r="S257" s="18">
        <f>(Tabela2[[#This Row],[FRETE]]+Tabela2[[#This Row],[DESPESAS]]+Tabela2[[#This Row],[IPI]]+Tabela2[[#This Row],[Vl. Produto]])*Tabela2[[#This Row],[Aliq.%]]</f>
        <v>0</v>
      </c>
    </row>
    <row r="258" spans="13:19" x14ac:dyDescent="0.25">
      <c r="M258" s="46"/>
      <c r="N258" s="46"/>
      <c r="O258" s="46"/>
      <c r="P258" s="46"/>
      <c r="R258" s="15">
        <v>1.54E-2</v>
      </c>
      <c r="S258" s="18">
        <f>(Tabela2[[#This Row],[FRETE]]+Tabela2[[#This Row],[DESPESAS]]+Tabela2[[#This Row],[IPI]]+Tabela2[[#This Row],[Vl. Produto]])*Tabela2[[#This Row],[Aliq.%]]</f>
        <v>0</v>
      </c>
    </row>
    <row r="259" spans="13:19" x14ac:dyDescent="0.25">
      <c r="M259" s="46"/>
      <c r="N259" s="46"/>
      <c r="O259" s="46"/>
      <c r="P259" s="46"/>
      <c r="R259" s="15">
        <v>1.54E-2</v>
      </c>
      <c r="S259" s="18">
        <f>(Tabela2[[#This Row],[FRETE]]+Tabela2[[#This Row],[DESPESAS]]+Tabela2[[#This Row],[IPI]]+Tabela2[[#This Row],[Vl. Produto]])*Tabela2[[#This Row],[Aliq.%]]</f>
        <v>0</v>
      </c>
    </row>
    <row r="260" spans="13:19" x14ac:dyDescent="0.25">
      <c r="M260" s="46"/>
      <c r="N260" s="46"/>
      <c r="O260" s="46"/>
      <c r="P260" s="46"/>
      <c r="R260" s="15">
        <v>1.54E-2</v>
      </c>
      <c r="S260" s="18">
        <f>(Tabela2[[#This Row],[FRETE]]+Tabela2[[#This Row],[DESPESAS]]+Tabela2[[#This Row],[IPI]]+Tabela2[[#This Row],[Vl. Produto]])*Tabela2[[#This Row],[Aliq.%]]</f>
        <v>0</v>
      </c>
    </row>
    <row r="261" spans="13:19" x14ac:dyDescent="0.25">
      <c r="M261" s="46"/>
      <c r="N261" s="46"/>
      <c r="O261" s="46"/>
      <c r="P261" s="46"/>
      <c r="R261" s="15">
        <v>1.54E-2</v>
      </c>
      <c r="S261" s="18">
        <f>(Tabela2[[#This Row],[FRETE]]+Tabela2[[#This Row],[DESPESAS]]+Tabela2[[#This Row],[IPI]]+Tabela2[[#This Row],[Vl. Produto]])*Tabela2[[#This Row],[Aliq.%]]</f>
        <v>0</v>
      </c>
    </row>
    <row r="262" spans="13:19" x14ac:dyDescent="0.25">
      <c r="M262" s="46"/>
      <c r="N262" s="46"/>
      <c r="O262" s="46"/>
      <c r="P262" s="46"/>
      <c r="R262" s="15">
        <v>1.54E-2</v>
      </c>
      <c r="S262" s="18">
        <f>(Tabela2[[#This Row],[FRETE]]+Tabela2[[#This Row],[DESPESAS]]+Tabela2[[#This Row],[IPI]]+Tabela2[[#This Row],[Vl. Produto]])*Tabela2[[#This Row],[Aliq.%]]</f>
        <v>0</v>
      </c>
    </row>
    <row r="263" spans="13:19" x14ac:dyDescent="0.25">
      <c r="M263" s="46"/>
      <c r="N263" s="46"/>
      <c r="O263" s="46"/>
      <c r="P263" s="46"/>
      <c r="R263" s="15">
        <v>1.54E-2</v>
      </c>
      <c r="S263" s="18">
        <f>(Tabela2[[#This Row],[FRETE]]+Tabela2[[#This Row],[DESPESAS]]+Tabela2[[#This Row],[IPI]]+Tabela2[[#This Row],[Vl. Produto]])*Tabela2[[#This Row],[Aliq.%]]</f>
        <v>0</v>
      </c>
    </row>
    <row r="264" spans="13:19" x14ac:dyDescent="0.25">
      <c r="M264" s="46"/>
      <c r="N264" s="46"/>
      <c r="O264" s="46"/>
      <c r="P264" s="46"/>
      <c r="R264" s="15">
        <v>1.54E-2</v>
      </c>
      <c r="S264" s="18">
        <f>(Tabela2[[#This Row],[FRETE]]+Tabela2[[#This Row],[DESPESAS]]+Tabela2[[#This Row],[IPI]]+Tabela2[[#This Row],[Vl. Produto]])*Tabela2[[#This Row],[Aliq.%]]</f>
        <v>0</v>
      </c>
    </row>
    <row r="265" spans="13:19" x14ac:dyDescent="0.25">
      <c r="M265" s="46"/>
      <c r="N265" s="46"/>
      <c r="O265" s="46"/>
      <c r="P265" s="46"/>
      <c r="R265" s="15">
        <v>1.54E-2</v>
      </c>
      <c r="S265" s="18">
        <f>(Tabela2[[#This Row],[FRETE]]+Tabela2[[#This Row],[DESPESAS]]+Tabela2[[#This Row],[IPI]]+Tabela2[[#This Row],[Vl. Produto]])*Tabela2[[#This Row],[Aliq.%]]</f>
        <v>0</v>
      </c>
    </row>
    <row r="266" spans="13:19" x14ac:dyDescent="0.25">
      <c r="M266" s="46"/>
      <c r="N266" s="46"/>
      <c r="O266" s="46"/>
      <c r="P266" s="46"/>
      <c r="R266" s="15">
        <v>1.54E-2</v>
      </c>
      <c r="S266" s="18">
        <f>(Tabela2[[#This Row],[FRETE]]+Tabela2[[#This Row],[DESPESAS]]+Tabela2[[#This Row],[IPI]]+Tabela2[[#This Row],[Vl. Produto]])*Tabela2[[#This Row],[Aliq.%]]</f>
        <v>0</v>
      </c>
    </row>
    <row r="267" spans="13:19" x14ac:dyDescent="0.25">
      <c r="M267" s="46"/>
      <c r="N267" s="46"/>
      <c r="O267" s="46"/>
      <c r="P267" s="46"/>
      <c r="R267" s="15">
        <v>1.54E-2</v>
      </c>
      <c r="S267" s="18">
        <f>(Tabela2[[#This Row],[FRETE]]+Tabela2[[#This Row],[DESPESAS]]+Tabela2[[#This Row],[IPI]]+Tabela2[[#This Row],[Vl. Produto]])*Tabela2[[#This Row],[Aliq.%]]</f>
        <v>0</v>
      </c>
    </row>
    <row r="268" spans="13:19" x14ac:dyDescent="0.25">
      <c r="M268" s="46"/>
      <c r="N268" s="46"/>
      <c r="O268" s="46"/>
      <c r="P268" s="46"/>
      <c r="R268" s="15">
        <v>1.54E-2</v>
      </c>
      <c r="S268" s="18">
        <f>(Tabela2[[#This Row],[FRETE]]+Tabela2[[#This Row],[DESPESAS]]+Tabela2[[#This Row],[IPI]]+Tabela2[[#This Row],[Vl. Produto]])*Tabela2[[#This Row],[Aliq.%]]</f>
        <v>0</v>
      </c>
    </row>
    <row r="269" spans="13:19" x14ac:dyDescent="0.25">
      <c r="M269" s="46"/>
      <c r="N269" s="46"/>
      <c r="O269" s="46"/>
      <c r="P269" s="46"/>
      <c r="R269" s="15">
        <v>1.54E-2</v>
      </c>
      <c r="S269" s="18">
        <f>(Tabela2[[#This Row],[FRETE]]+Tabela2[[#This Row],[DESPESAS]]+Tabela2[[#This Row],[IPI]]+Tabela2[[#This Row],[Vl. Produto]])*Tabela2[[#This Row],[Aliq.%]]</f>
        <v>0</v>
      </c>
    </row>
    <row r="270" spans="13:19" x14ac:dyDescent="0.25">
      <c r="M270" s="46"/>
      <c r="N270" s="46"/>
      <c r="O270" s="46"/>
      <c r="P270" s="46"/>
      <c r="R270" s="15">
        <v>1.54E-2</v>
      </c>
      <c r="S270" s="18">
        <f>(Tabela2[[#This Row],[FRETE]]+Tabela2[[#This Row],[DESPESAS]]+Tabela2[[#This Row],[IPI]]+Tabela2[[#This Row],[Vl. Produto]])*Tabela2[[#This Row],[Aliq.%]]</f>
        <v>0</v>
      </c>
    </row>
    <row r="271" spans="13:19" x14ac:dyDescent="0.25">
      <c r="M271" s="46"/>
      <c r="N271" s="46"/>
      <c r="O271" s="46"/>
      <c r="P271" s="46"/>
      <c r="R271" s="15">
        <v>1.54E-2</v>
      </c>
      <c r="S271" s="18">
        <f>(Tabela2[[#This Row],[FRETE]]+Tabela2[[#This Row],[DESPESAS]]+Tabela2[[#This Row],[IPI]]+Tabela2[[#This Row],[Vl. Produto]])*Tabela2[[#This Row],[Aliq.%]]</f>
        <v>0</v>
      </c>
    </row>
    <row r="272" spans="13:19" x14ac:dyDescent="0.25">
      <c r="M272" s="46"/>
      <c r="N272" s="46"/>
      <c r="O272" s="46"/>
      <c r="P272" s="46"/>
      <c r="R272" s="15">
        <v>1.54E-2</v>
      </c>
      <c r="S272" s="18">
        <f>(Tabela2[[#This Row],[FRETE]]+Tabela2[[#This Row],[DESPESAS]]+Tabela2[[#This Row],[IPI]]+Tabela2[[#This Row],[Vl. Produto]])*Tabela2[[#This Row],[Aliq.%]]</f>
        <v>0</v>
      </c>
    </row>
    <row r="273" spans="13:19" x14ac:dyDescent="0.25">
      <c r="M273" s="46"/>
      <c r="N273" s="46"/>
      <c r="O273" s="46"/>
      <c r="P273" s="46"/>
      <c r="R273" s="15">
        <v>1.54E-2</v>
      </c>
      <c r="S273" s="18">
        <f>(Tabela2[[#This Row],[FRETE]]+Tabela2[[#This Row],[DESPESAS]]+Tabela2[[#This Row],[IPI]]+Tabela2[[#This Row],[Vl. Produto]])*Tabela2[[#This Row],[Aliq.%]]</f>
        <v>0</v>
      </c>
    </row>
    <row r="274" spans="13:19" x14ac:dyDescent="0.25">
      <c r="M274" s="46"/>
      <c r="N274" s="46"/>
      <c r="O274" s="46"/>
      <c r="P274" s="46"/>
      <c r="R274" s="15">
        <v>1.54E-2</v>
      </c>
      <c r="S274" s="18">
        <f>(Tabela2[[#This Row],[FRETE]]+Tabela2[[#This Row],[DESPESAS]]+Tabela2[[#This Row],[IPI]]+Tabela2[[#This Row],[Vl. Produto]])*Tabela2[[#This Row],[Aliq.%]]</f>
        <v>0</v>
      </c>
    </row>
    <row r="275" spans="13:19" x14ac:dyDescent="0.25">
      <c r="M275" s="46"/>
      <c r="N275" s="46"/>
      <c r="O275" s="46"/>
      <c r="P275" s="46"/>
      <c r="R275" s="15">
        <v>1.54E-2</v>
      </c>
      <c r="S275" s="18">
        <f>(Tabela2[[#This Row],[FRETE]]+Tabela2[[#This Row],[DESPESAS]]+Tabela2[[#This Row],[IPI]]+Tabela2[[#This Row],[Vl. Produto]])*Tabela2[[#This Row],[Aliq.%]]</f>
        <v>0</v>
      </c>
    </row>
    <row r="276" spans="13:19" x14ac:dyDescent="0.25">
      <c r="M276" s="46"/>
      <c r="N276" s="46"/>
      <c r="O276" s="46"/>
      <c r="P276" s="46"/>
      <c r="R276" s="15">
        <v>1.54E-2</v>
      </c>
      <c r="S276" s="18">
        <f>(Tabela2[[#This Row],[FRETE]]+Tabela2[[#This Row],[DESPESAS]]+Tabela2[[#This Row],[IPI]]+Tabela2[[#This Row],[Vl. Produto]])*Tabela2[[#This Row],[Aliq.%]]</f>
        <v>0</v>
      </c>
    </row>
    <row r="277" spans="13:19" x14ac:dyDescent="0.25">
      <c r="M277" s="46"/>
      <c r="N277" s="46"/>
      <c r="O277" s="46"/>
      <c r="P277" s="46"/>
      <c r="R277" s="15">
        <v>1.54E-2</v>
      </c>
      <c r="S277" s="18">
        <f>(Tabela2[[#This Row],[FRETE]]+Tabela2[[#This Row],[DESPESAS]]+Tabela2[[#This Row],[IPI]]+Tabela2[[#This Row],[Vl. Produto]])*Tabela2[[#This Row],[Aliq.%]]</f>
        <v>0</v>
      </c>
    </row>
    <row r="278" spans="13:19" x14ac:dyDescent="0.25">
      <c r="M278" s="46"/>
      <c r="N278" s="46"/>
      <c r="O278" s="46"/>
      <c r="P278" s="46"/>
      <c r="R278" s="15">
        <v>1.54E-2</v>
      </c>
      <c r="S278" s="18">
        <f>(Tabela2[[#This Row],[FRETE]]+Tabela2[[#This Row],[DESPESAS]]+Tabela2[[#This Row],[IPI]]+Tabela2[[#This Row],[Vl. Produto]])*Tabela2[[#This Row],[Aliq.%]]</f>
        <v>0</v>
      </c>
    </row>
    <row r="279" spans="13:19" x14ac:dyDescent="0.25">
      <c r="M279" s="46"/>
      <c r="N279" s="46"/>
      <c r="O279" s="46"/>
      <c r="P279" s="46"/>
      <c r="R279" s="15">
        <v>1.54E-2</v>
      </c>
      <c r="S279" s="18">
        <f>(Tabela2[[#This Row],[FRETE]]+Tabela2[[#This Row],[DESPESAS]]+Tabela2[[#This Row],[IPI]]+Tabela2[[#This Row],[Vl. Produto]])*Tabela2[[#This Row],[Aliq.%]]</f>
        <v>0</v>
      </c>
    </row>
    <row r="280" spans="13:19" x14ac:dyDescent="0.25">
      <c r="M280" s="46"/>
      <c r="N280" s="46"/>
      <c r="O280" s="46"/>
      <c r="P280" s="46"/>
      <c r="R280" s="15">
        <v>1.54E-2</v>
      </c>
      <c r="S280" s="18">
        <f>(Tabela2[[#This Row],[FRETE]]+Tabela2[[#This Row],[DESPESAS]]+Tabela2[[#This Row],[IPI]]+Tabela2[[#This Row],[Vl. Produto]])*Tabela2[[#This Row],[Aliq.%]]</f>
        <v>0</v>
      </c>
    </row>
    <row r="281" spans="13:19" x14ac:dyDescent="0.25">
      <c r="M281" s="46"/>
      <c r="N281" s="46"/>
      <c r="O281" s="46"/>
      <c r="P281" s="46"/>
      <c r="R281" s="15">
        <v>1.54E-2</v>
      </c>
      <c r="S281" s="18">
        <f>(Tabela2[[#This Row],[FRETE]]+Tabela2[[#This Row],[DESPESAS]]+Tabela2[[#This Row],[IPI]]+Tabela2[[#This Row],[Vl. Produto]])*Tabela2[[#This Row],[Aliq.%]]</f>
        <v>0</v>
      </c>
    </row>
    <row r="282" spans="13:19" x14ac:dyDescent="0.25">
      <c r="M282" s="46"/>
      <c r="N282" s="46"/>
      <c r="O282" s="46"/>
      <c r="P282" s="46"/>
      <c r="R282" s="15">
        <v>1.54E-2</v>
      </c>
      <c r="S282" s="18">
        <f>(Tabela2[[#This Row],[FRETE]]+Tabela2[[#This Row],[DESPESAS]]+Tabela2[[#This Row],[IPI]]+Tabela2[[#This Row],[Vl. Produto]])*Tabela2[[#This Row],[Aliq.%]]</f>
        <v>0</v>
      </c>
    </row>
    <row r="283" spans="13:19" x14ac:dyDescent="0.25">
      <c r="M283" s="46"/>
      <c r="N283" s="46"/>
      <c r="O283" s="46"/>
      <c r="P283" s="46"/>
      <c r="R283" s="15">
        <v>1.54E-2</v>
      </c>
      <c r="S283" s="18">
        <f>(Tabela2[[#This Row],[FRETE]]+Tabela2[[#This Row],[DESPESAS]]+Tabela2[[#This Row],[IPI]]+Tabela2[[#This Row],[Vl. Produto]])*Tabela2[[#This Row],[Aliq.%]]</f>
        <v>0</v>
      </c>
    </row>
    <row r="284" spans="13:19" x14ac:dyDescent="0.25">
      <c r="M284" s="46"/>
      <c r="N284" s="46"/>
      <c r="O284" s="46"/>
      <c r="P284" s="46"/>
      <c r="R284" s="15">
        <v>1.54E-2</v>
      </c>
      <c r="S284" s="18">
        <f>(Tabela2[[#This Row],[FRETE]]+Tabela2[[#This Row],[DESPESAS]]+Tabela2[[#This Row],[IPI]]+Tabela2[[#This Row],[Vl. Produto]])*Tabela2[[#This Row],[Aliq.%]]</f>
        <v>0</v>
      </c>
    </row>
    <row r="285" spans="13:19" x14ac:dyDescent="0.25">
      <c r="M285" s="46"/>
      <c r="N285" s="46"/>
      <c r="O285" s="46"/>
      <c r="P285" s="46"/>
      <c r="R285" s="15">
        <v>1.54E-2</v>
      </c>
      <c r="S285" s="18">
        <f>(Tabela2[[#This Row],[FRETE]]+Tabela2[[#This Row],[DESPESAS]]+Tabela2[[#This Row],[IPI]]+Tabela2[[#This Row],[Vl. Produto]])*Tabela2[[#This Row],[Aliq.%]]</f>
        <v>0</v>
      </c>
    </row>
    <row r="286" spans="13:19" x14ac:dyDescent="0.25">
      <c r="M286" s="46"/>
      <c r="N286" s="46"/>
      <c r="O286" s="46"/>
      <c r="P286" s="46"/>
      <c r="R286" s="15">
        <v>1.54E-2</v>
      </c>
      <c r="S286" s="18">
        <f>(Tabela2[[#This Row],[FRETE]]+Tabela2[[#This Row],[DESPESAS]]+Tabela2[[#This Row],[IPI]]+Tabela2[[#This Row],[Vl. Produto]])*Tabela2[[#This Row],[Aliq.%]]</f>
        <v>0</v>
      </c>
    </row>
    <row r="287" spans="13:19" x14ac:dyDescent="0.25">
      <c r="M287" s="46"/>
      <c r="N287" s="46"/>
      <c r="O287" s="46"/>
      <c r="P287" s="46"/>
      <c r="R287" s="15">
        <v>1.54E-2</v>
      </c>
      <c r="S287" s="18">
        <f>(Tabela2[[#This Row],[FRETE]]+Tabela2[[#This Row],[DESPESAS]]+Tabela2[[#This Row],[IPI]]+Tabela2[[#This Row],[Vl. Produto]])*Tabela2[[#This Row],[Aliq.%]]</f>
        <v>0</v>
      </c>
    </row>
    <row r="288" spans="13:19" x14ac:dyDescent="0.25">
      <c r="M288" s="46"/>
      <c r="N288" s="46"/>
      <c r="O288" s="46"/>
      <c r="P288" s="46"/>
      <c r="R288" s="15">
        <v>1.54E-2</v>
      </c>
      <c r="S288" s="18">
        <f>(Tabela2[[#This Row],[FRETE]]+Tabela2[[#This Row],[DESPESAS]]+Tabela2[[#This Row],[IPI]]+Tabela2[[#This Row],[Vl. Produto]])*Tabela2[[#This Row],[Aliq.%]]</f>
        <v>0</v>
      </c>
    </row>
    <row r="289" spans="13:19" x14ac:dyDescent="0.25">
      <c r="M289" s="46"/>
      <c r="N289" s="46"/>
      <c r="O289" s="46"/>
      <c r="P289" s="46"/>
      <c r="R289" s="15">
        <v>1.54E-2</v>
      </c>
      <c r="S289" s="18">
        <f>(Tabela2[[#This Row],[FRETE]]+Tabela2[[#This Row],[DESPESAS]]+Tabela2[[#This Row],[IPI]]+Tabela2[[#This Row],[Vl. Produto]])*Tabela2[[#This Row],[Aliq.%]]</f>
        <v>0</v>
      </c>
    </row>
    <row r="290" spans="13:19" x14ac:dyDescent="0.25">
      <c r="M290" s="46"/>
      <c r="N290" s="46"/>
      <c r="O290" s="46"/>
      <c r="P290" s="46"/>
      <c r="R290" s="15">
        <v>1.54E-2</v>
      </c>
      <c r="S290" s="18">
        <f>(Tabela2[[#This Row],[FRETE]]+Tabela2[[#This Row],[DESPESAS]]+Tabela2[[#This Row],[IPI]]+Tabela2[[#This Row],[Vl. Produto]])*Tabela2[[#This Row],[Aliq.%]]</f>
        <v>0</v>
      </c>
    </row>
    <row r="291" spans="13:19" x14ac:dyDescent="0.25">
      <c r="M291" s="46"/>
      <c r="N291" s="46"/>
      <c r="O291" s="46"/>
      <c r="P291" s="46"/>
      <c r="R291" s="15">
        <v>1.54E-2</v>
      </c>
      <c r="S291" s="18">
        <f>(Tabela2[[#This Row],[FRETE]]+Tabela2[[#This Row],[DESPESAS]]+Tabela2[[#This Row],[IPI]]+Tabela2[[#This Row],[Vl. Produto]])*Tabela2[[#This Row],[Aliq.%]]</f>
        <v>0</v>
      </c>
    </row>
    <row r="292" spans="13:19" x14ac:dyDescent="0.25">
      <c r="M292" s="46"/>
      <c r="N292" s="46"/>
      <c r="O292" s="46"/>
      <c r="P292" s="46"/>
      <c r="R292" s="15">
        <v>1.54E-2</v>
      </c>
      <c r="S292" s="18">
        <f>(Tabela2[[#This Row],[FRETE]]+Tabela2[[#This Row],[DESPESAS]]+Tabela2[[#This Row],[IPI]]+Tabela2[[#This Row],[Vl. Produto]])*Tabela2[[#This Row],[Aliq.%]]</f>
        <v>0</v>
      </c>
    </row>
    <row r="293" spans="13:19" x14ac:dyDescent="0.25">
      <c r="M293" s="46"/>
      <c r="N293" s="46"/>
      <c r="O293" s="46"/>
      <c r="P293" s="46"/>
      <c r="R293" s="15">
        <v>1.54E-2</v>
      </c>
      <c r="S293" s="18">
        <f>(Tabela2[[#This Row],[FRETE]]+Tabela2[[#This Row],[DESPESAS]]+Tabela2[[#This Row],[IPI]]+Tabela2[[#This Row],[Vl. Produto]])*Tabela2[[#This Row],[Aliq.%]]</f>
        <v>0</v>
      </c>
    </row>
    <row r="294" spans="13:19" x14ac:dyDescent="0.25">
      <c r="M294" s="46"/>
      <c r="N294" s="46"/>
      <c r="O294" s="46"/>
      <c r="P294" s="46"/>
      <c r="R294" s="15">
        <v>1.54E-2</v>
      </c>
      <c r="S294" s="18">
        <f>(Tabela2[[#This Row],[FRETE]]+Tabela2[[#This Row],[DESPESAS]]+Tabela2[[#This Row],[IPI]]+Tabela2[[#This Row],[Vl. Produto]])*Tabela2[[#This Row],[Aliq.%]]</f>
        <v>0</v>
      </c>
    </row>
    <row r="295" spans="13:19" x14ac:dyDescent="0.25">
      <c r="M295" s="46"/>
      <c r="N295" s="46"/>
      <c r="O295" s="46"/>
      <c r="P295" s="46"/>
      <c r="R295" s="15">
        <v>1.54E-2</v>
      </c>
      <c r="S295" s="18">
        <f>(Tabela2[[#This Row],[FRETE]]+Tabela2[[#This Row],[DESPESAS]]+Tabela2[[#This Row],[IPI]]+Tabela2[[#This Row],[Vl. Produto]])*Tabela2[[#This Row],[Aliq.%]]</f>
        <v>0</v>
      </c>
    </row>
    <row r="296" spans="13:19" x14ac:dyDescent="0.25">
      <c r="M296" s="46"/>
      <c r="N296" s="46"/>
      <c r="O296" s="46"/>
      <c r="P296" s="46"/>
      <c r="R296" s="15">
        <v>1.54E-2</v>
      </c>
      <c r="S296" s="18">
        <f>(Tabela2[[#This Row],[FRETE]]+Tabela2[[#This Row],[DESPESAS]]+Tabela2[[#This Row],[IPI]]+Tabela2[[#This Row],[Vl. Produto]])*Tabela2[[#This Row],[Aliq.%]]</f>
        <v>0</v>
      </c>
    </row>
    <row r="297" spans="13:19" x14ac:dyDescent="0.25">
      <c r="M297" s="46"/>
      <c r="N297" s="46"/>
      <c r="O297" s="46"/>
      <c r="P297" s="46"/>
      <c r="R297" s="15">
        <v>1.54E-2</v>
      </c>
      <c r="S297" s="18">
        <f>(Tabela2[[#This Row],[FRETE]]+Tabela2[[#This Row],[DESPESAS]]+Tabela2[[#This Row],[IPI]]+Tabela2[[#This Row],[Vl. Produto]])*Tabela2[[#This Row],[Aliq.%]]</f>
        <v>0</v>
      </c>
    </row>
    <row r="298" spans="13:19" x14ac:dyDescent="0.25">
      <c r="M298" s="46"/>
      <c r="N298" s="46"/>
      <c r="O298" s="46"/>
      <c r="P298" s="46"/>
      <c r="R298" s="15">
        <v>1.54E-2</v>
      </c>
      <c r="S298" s="18">
        <f>(Tabela2[[#This Row],[FRETE]]+Tabela2[[#This Row],[DESPESAS]]+Tabela2[[#This Row],[IPI]]+Tabela2[[#This Row],[Vl. Produto]])*Tabela2[[#This Row],[Aliq.%]]</f>
        <v>0</v>
      </c>
    </row>
    <row r="299" spans="13:19" x14ac:dyDescent="0.25">
      <c r="M299" s="46"/>
      <c r="N299" s="46"/>
      <c r="O299" s="46"/>
      <c r="P299" s="46"/>
      <c r="R299" s="15">
        <v>1.54E-2</v>
      </c>
      <c r="S299" s="18">
        <f>(Tabela2[[#This Row],[FRETE]]+Tabela2[[#This Row],[DESPESAS]]+Tabela2[[#This Row],[IPI]]+Tabela2[[#This Row],[Vl. Produto]])*Tabela2[[#This Row],[Aliq.%]]</f>
        <v>0</v>
      </c>
    </row>
    <row r="300" spans="13:19" x14ac:dyDescent="0.25">
      <c r="M300" s="46"/>
      <c r="N300" s="46"/>
      <c r="O300" s="46"/>
      <c r="P300" s="46"/>
      <c r="R300" s="15">
        <v>1.54E-2</v>
      </c>
      <c r="S300" s="18">
        <f>(Tabela2[[#This Row],[FRETE]]+Tabela2[[#This Row],[DESPESAS]]+Tabela2[[#This Row],[IPI]]+Tabela2[[#This Row],[Vl. Produto]])*Tabela2[[#This Row],[Aliq.%]]</f>
        <v>0</v>
      </c>
    </row>
    <row r="301" spans="13:19" x14ac:dyDescent="0.25">
      <c r="M301" s="46"/>
      <c r="N301" s="46"/>
      <c r="O301" s="46"/>
      <c r="P301" s="46"/>
      <c r="R301" s="15">
        <v>1.54E-2</v>
      </c>
      <c r="S301" s="18">
        <f>(Tabela2[[#This Row],[FRETE]]+Tabela2[[#This Row],[DESPESAS]]+Tabela2[[#This Row],[IPI]]+Tabela2[[#This Row],[Vl. Produto]])*Tabela2[[#This Row],[Aliq.%]]</f>
        <v>0</v>
      </c>
    </row>
    <row r="302" spans="13:19" x14ac:dyDescent="0.25">
      <c r="M302" s="46"/>
      <c r="N302" s="46"/>
      <c r="O302" s="46"/>
      <c r="P302" s="46"/>
      <c r="R302" s="15">
        <v>1.54E-2</v>
      </c>
      <c r="S302" s="18">
        <f>(Tabela2[[#This Row],[FRETE]]+Tabela2[[#This Row],[DESPESAS]]+Tabela2[[#This Row],[IPI]]+Tabela2[[#This Row],[Vl. Produto]])*Tabela2[[#This Row],[Aliq.%]]</f>
        <v>0</v>
      </c>
    </row>
    <row r="303" spans="13:19" x14ac:dyDescent="0.25">
      <c r="M303" s="46"/>
      <c r="N303" s="46"/>
      <c r="O303" s="46"/>
      <c r="P303" s="46"/>
      <c r="R303" s="15">
        <v>1.54E-2</v>
      </c>
      <c r="S303" s="18">
        <f>(Tabela2[[#This Row],[FRETE]]+Tabela2[[#This Row],[DESPESAS]]+Tabela2[[#This Row],[IPI]]+Tabela2[[#This Row],[Vl. Produto]])*Tabela2[[#This Row],[Aliq.%]]</f>
        <v>0</v>
      </c>
    </row>
    <row r="304" spans="13:19" x14ac:dyDescent="0.25">
      <c r="M304" s="46"/>
      <c r="N304" s="46"/>
      <c r="O304" s="46"/>
      <c r="P304" s="46"/>
      <c r="R304" s="15">
        <v>1.54E-2</v>
      </c>
      <c r="S304" s="18">
        <f>(Tabela2[[#This Row],[FRETE]]+Tabela2[[#This Row],[DESPESAS]]+Tabela2[[#This Row],[IPI]]+Tabela2[[#This Row],[Vl. Produto]])*Tabela2[[#This Row],[Aliq.%]]</f>
        <v>0</v>
      </c>
    </row>
    <row r="305" spans="13:19" x14ac:dyDescent="0.25">
      <c r="M305" s="46"/>
      <c r="N305" s="46"/>
      <c r="O305" s="46"/>
      <c r="P305" s="46"/>
      <c r="R305" s="15">
        <v>1.54E-2</v>
      </c>
      <c r="S305" s="18">
        <f>(Tabela2[[#This Row],[FRETE]]+Tabela2[[#This Row],[DESPESAS]]+Tabela2[[#This Row],[IPI]]+Tabela2[[#This Row],[Vl. Produto]])*Tabela2[[#This Row],[Aliq.%]]</f>
        <v>0</v>
      </c>
    </row>
    <row r="306" spans="13:19" x14ac:dyDescent="0.25">
      <c r="M306" s="46"/>
      <c r="N306" s="46"/>
      <c r="O306" s="46"/>
      <c r="P306" s="46"/>
      <c r="R306" s="15">
        <v>1.54E-2</v>
      </c>
      <c r="S306" s="18">
        <f>(Tabela2[[#This Row],[FRETE]]+Tabela2[[#This Row],[DESPESAS]]+Tabela2[[#This Row],[IPI]]+Tabela2[[#This Row],[Vl. Produto]])*Tabela2[[#This Row],[Aliq.%]]</f>
        <v>0</v>
      </c>
    </row>
    <row r="307" spans="13:19" x14ac:dyDescent="0.25">
      <c r="M307" s="46"/>
      <c r="N307" s="46"/>
      <c r="O307" s="46"/>
      <c r="P307" s="46"/>
      <c r="R307" s="15">
        <v>1.54E-2</v>
      </c>
      <c r="S307" s="18">
        <f>(Tabela2[[#This Row],[FRETE]]+Tabela2[[#This Row],[DESPESAS]]+Tabela2[[#This Row],[IPI]]+Tabela2[[#This Row],[Vl. Produto]])*Tabela2[[#This Row],[Aliq.%]]</f>
        <v>0</v>
      </c>
    </row>
    <row r="308" spans="13:19" x14ac:dyDescent="0.25">
      <c r="M308" s="46"/>
      <c r="N308" s="46"/>
      <c r="O308" s="46"/>
      <c r="P308" s="46"/>
      <c r="R308" s="15">
        <v>1.54E-2</v>
      </c>
      <c r="S308" s="18">
        <f>(Tabela2[[#This Row],[FRETE]]+Tabela2[[#This Row],[DESPESAS]]+Tabela2[[#This Row],[IPI]]+Tabela2[[#This Row],[Vl. Produto]])*Tabela2[[#This Row],[Aliq.%]]</f>
        <v>0</v>
      </c>
    </row>
    <row r="309" spans="13:19" x14ac:dyDescent="0.25">
      <c r="M309" s="46"/>
      <c r="N309" s="46"/>
      <c r="O309" s="46"/>
      <c r="P309" s="46"/>
      <c r="R309" s="15">
        <v>1.54E-2</v>
      </c>
      <c r="S309" s="18">
        <f>(Tabela2[[#This Row],[FRETE]]+Tabela2[[#This Row],[DESPESAS]]+Tabela2[[#This Row],[IPI]]+Tabela2[[#This Row],[Vl. Produto]])*Tabela2[[#This Row],[Aliq.%]]</f>
        <v>0</v>
      </c>
    </row>
    <row r="310" spans="13:19" x14ac:dyDescent="0.25">
      <c r="M310" s="46"/>
      <c r="N310" s="46"/>
      <c r="O310" s="46"/>
      <c r="P310" s="46"/>
      <c r="R310" s="15">
        <v>1.54E-2</v>
      </c>
      <c r="S310" s="18">
        <f>(Tabela2[[#This Row],[FRETE]]+Tabela2[[#This Row],[DESPESAS]]+Tabela2[[#This Row],[IPI]]+Tabela2[[#This Row],[Vl. Produto]])*Tabela2[[#This Row],[Aliq.%]]</f>
        <v>0</v>
      </c>
    </row>
    <row r="311" spans="13:19" x14ac:dyDescent="0.25">
      <c r="M311" s="46"/>
      <c r="N311" s="46"/>
      <c r="O311" s="46"/>
      <c r="P311" s="46"/>
      <c r="R311" s="15">
        <v>1.54E-2</v>
      </c>
      <c r="S311" s="18">
        <f>(Tabela2[[#This Row],[FRETE]]+Tabela2[[#This Row],[DESPESAS]]+Tabela2[[#This Row],[IPI]]+Tabela2[[#This Row],[Vl. Produto]])*Tabela2[[#This Row],[Aliq.%]]</f>
        <v>0</v>
      </c>
    </row>
    <row r="312" spans="13:19" x14ac:dyDescent="0.25">
      <c r="M312" s="46"/>
      <c r="N312" s="46"/>
      <c r="O312" s="46"/>
      <c r="P312" s="46"/>
      <c r="R312" s="15">
        <v>1.54E-2</v>
      </c>
      <c r="S312" s="18">
        <f>(Tabela2[[#This Row],[FRETE]]+Tabela2[[#This Row],[DESPESAS]]+Tabela2[[#This Row],[IPI]]+Tabela2[[#This Row],[Vl. Produto]])*Tabela2[[#This Row],[Aliq.%]]</f>
        <v>0</v>
      </c>
    </row>
    <row r="313" spans="13:19" x14ac:dyDescent="0.25">
      <c r="M313" s="46"/>
      <c r="N313" s="46"/>
      <c r="O313" s="46"/>
      <c r="P313" s="46"/>
      <c r="R313" s="15">
        <v>1.54E-2</v>
      </c>
      <c r="S313" s="18">
        <f>(Tabela2[[#This Row],[FRETE]]+Tabela2[[#This Row],[DESPESAS]]+Tabela2[[#This Row],[IPI]]+Tabela2[[#This Row],[Vl. Produto]])*Tabela2[[#This Row],[Aliq.%]]</f>
        <v>0</v>
      </c>
    </row>
    <row r="314" spans="13:19" x14ac:dyDescent="0.25">
      <c r="M314" s="46"/>
      <c r="N314" s="46"/>
      <c r="O314" s="46"/>
      <c r="P314" s="46"/>
      <c r="R314" s="15">
        <v>1.54E-2</v>
      </c>
      <c r="S314" s="18">
        <f>(Tabela2[[#This Row],[FRETE]]+Tabela2[[#This Row],[DESPESAS]]+Tabela2[[#This Row],[IPI]]+Tabela2[[#This Row],[Vl. Produto]])*Tabela2[[#This Row],[Aliq.%]]</f>
        <v>0</v>
      </c>
    </row>
    <row r="315" spans="13:19" x14ac:dyDescent="0.25">
      <c r="M315" s="46"/>
      <c r="N315" s="46"/>
      <c r="O315" s="46"/>
      <c r="P315" s="46"/>
      <c r="R315" s="15">
        <v>1.54E-2</v>
      </c>
      <c r="S315" s="18">
        <f>(Tabela2[[#This Row],[FRETE]]+Tabela2[[#This Row],[DESPESAS]]+Tabela2[[#This Row],[IPI]]+Tabela2[[#This Row],[Vl. Produto]])*Tabela2[[#This Row],[Aliq.%]]</f>
        <v>0</v>
      </c>
    </row>
    <row r="316" spans="13:19" x14ac:dyDescent="0.25">
      <c r="M316" s="46"/>
      <c r="N316" s="46"/>
      <c r="O316" s="46"/>
      <c r="P316" s="46"/>
      <c r="R316" s="15">
        <v>1.54E-2</v>
      </c>
      <c r="S316" s="18">
        <f>(Tabela2[[#This Row],[FRETE]]+Tabela2[[#This Row],[DESPESAS]]+Tabela2[[#This Row],[IPI]]+Tabela2[[#This Row],[Vl. Produto]])*Tabela2[[#This Row],[Aliq.%]]</f>
        <v>0</v>
      </c>
    </row>
    <row r="317" spans="13:19" x14ac:dyDescent="0.25">
      <c r="M317" s="46"/>
      <c r="N317" s="46"/>
      <c r="O317" s="46"/>
      <c r="P317" s="46"/>
      <c r="R317" s="15">
        <v>1.54E-2</v>
      </c>
      <c r="S317" s="18">
        <f>(Tabela2[[#This Row],[FRETE]]+Tabela2[[#This Row],[DESPESAS]]+Tabela2[[#This Row],[IPI]]+Tabela2[[#This Row],[Vl. Produto]])*Tabela2[[#This Row],[Aliq.%]]</f>
        <v>0</v>
      </c>
    </row>
    <row r="318" spans="13:19" x14ac:dyDescent="0.25">
      <c r="M318" s="46"/>
      <c r="N318" s="46"/>
      <c r="O318" s="46"/>
      <c r="P318" s="46"/>
      <c r="R318" s="15">
        <v>1.54E-2</v>
      </c>
      <c r="S318" s="18">
        <f>(Tabela2[[#This Row],[FRETE]]+Tabela2[[#This Row],[DESPESAS]]+Tabela2[[#This Row],[IPI]]+Tabela2[[#This Row],[Vl. Produto]])*Tabela2[[#This Row],[Aliq.%]]</f>
        <v>0</v>
      </c>
    </row>
    <row r="319" spans="13:19" x14ac:dyDescent="0.25">
      <c r="M319" s="46"/>
      <c r="N319" s="46"/>
      <c r="O319" s="46"/>
      <c r="P319" s="46"/>
      <c r="R319" s="15">
        <v>1.54E-2</v>
      </c>
      <c r="S319" s="18">
        <f>(Tabela2[[#This Row],[FRETE]]+Tabela2[[#This Row],[DESPESAS]]+Tabela2[[#This Row],[IPI]]+Tabela2[[#This Row],[Vl. Produto]])*Tabela2[[#This Row],[Aliq.%]]</f>
        <v>0</v>
      </c>
    </row>
    <row r="320" spans="13:19" x14ac:dyDescent="0.25">
      <c r="M320" s="46"/>
      <c r="N320" s="46"/>
      <c r="O320" s="46"/>
      <c r="P320" s="46"/>
      <c r="R320" s="15">
        <v>1.54E-2</v>
      </c>
      <c r="S320" s="18">
        <f>(Tabela2[[#This Row],[FRETE]]+Tabela2[[#This Row],[DESPESAS]]+Tabela2[[#This Row],[IPI]]+Tabela2[[#This Row],[Vl. Produto]])*Tabela2[[#This Row],[Aliq.%]]</f>
        <v>0</v>
      </c>
    </row>
    <row r="321" spans="13:19" x14ac:dyDescent="0.25">
      <c r="M321" s="46"/>
      <c r="N321" s="46"/>
      <c r="O321" s="46"/>
      <c r="P321" s="46"/>
      <c r="R321" s="15">
        <v>1.54E-2</v>
      </c>
      <c r="S321" s="18">
        <f>(Tabela2[[#This Row],[FRETE]]+Tabela2[[#This Row],[DESPESAS]]+Tabela2[[#This Row],[IPI]]+Tabela2[[#This Row],[Vl. Produto]])*Tabela2[[#This Row],[Aliq.%]]</f>
        <v>0</v>
      </c>
    </row>
    <row r="322" spans="13:19" x14ac:dyDescent="0.25">
      <c r="M322" s="46"/>
      <c r="N322" s="46"/>
      <c r="O322" s="46"/>
      <c r="P322" s="46"/>
      <c r="R322" s="15">
        <v>1.54E-2</v>
      </c>
      <c r="S322" s="18">
        <f>(Tabela2[[#This Row],[FRETE]]+Tabela2[[#This Row],[DESPESAS]]+Tabela2[[#This Row],[IPI]]+Tabela2[[#This Row],[Vl. Produto]])*Tabela2[[#This Row],[Aliq.%]]</f>
        <v>0</v>
      </c>
    </row>
    <row r="323" spans="13:19" x14ac:dyDescent="0.25">
      <c r="M323" s="46"/>
      <c r="N323" s="46"/>
      <c r="O323" s="46"/>
      <c r="P323" s="46"/>
      <c r="R323" s="15">
        <v>1.54E-2</v>
      </c>
      <c r="S323" s="18">
        <f>(Tabela2[[#This Row],[FRETE]]+Tabela2[[#This Row],[DESPESAS]]+Tabela2[[#This Row],[IPI]]+Tabela2[[#This Row],[Vl. Produto]])*Tabela2[[#This Row],[Aliq.%]]</f>
        <v>0</v>
      </c>
    </row>
    <row r="324" spans="13:19" x14ac:dyDescent="0.25">
      <c r="M324" s="46"/>
      <c r="N324" s="46"/>
      <c r="O324" s="46"/>
      <c r="P324" s="46"/>
      <c r="R324" s="15">
        <v>1.54E-2</v>
      </c>
      <c r="S324" s="18">
        <f>(Tabela2[[#This Row],[FRETE]]+Tabela2[[#This Row],[DESPESAS]]+Tabela2[[#This Row],[IPI]]+Tabela2[[#This Row],[Vl. Produto]])*Tabela2[[#This Row],[Aliq.%]]</f>
        <v>0</v>
      </c>
    </row>
    <row r="325" spans="13:19" x14ac:dyDescent="0.25">
      <c r="M325" s="46"/>
      <c r="N325" s="46"/>
      <c r="O325" s="46"/>
      <c r="P325" s="46"/>
      <c r="R325" s="15">
        <v>1.54E-2</v>
      </c>
      <c r="S325" s="18">
        <f>(Tabela2[[#This Row],[FRETE]]+Tabela2[[#This Row],[DESPESAS]]+Tabela2[[#This Row],[IPI]]+Tabela2[[#This Row],[Vl. Produto]])*Tabela2[[#This Row],[Aliq.%]]</f>
        <v>0</v>
      </c>
    </row>
    <row r="326" spans="13:19" x14ac:dyDescent="0.25">
      <c r="M326" s="46"/>
      <c r="N326" s="46"/>
      <c r="O326" s="46"/>
      <c r="P326" s="46"/>
      <c r="R326" s="15">
        <v>1.54E-2</v>
      </c>
      <c r="S326" s="18">
        <f>(Tabela2[[#This Row],[FRETE]]+Tabela2[[#This Row],[DESPESAS]]+Tabela2[[#This Row],[IPI]]+Tabela2[[#This Row],[Vl. Produto]])*Tabela2[[#This Row],[Aliq.%]]</f>
        <v>0</v>
      </c>
    </row>
    <row r="327" spans="13:19" x14ac:dyDescent="0.25">
      <c r="M327" s="46"/>
      <c r="N327" s="46"/>
      <c r="O327" s="46"/>
      <c r="P327" s="46"/>
      <c r="R327" s="15">
        <v>1.54E-2</v>
      </c>
      <c r="S327" s="18">
        <f>(Tabela2[[#This Row],[FRETE]]+Tabela2[[#This Row],[DESPESAS]]+Tabela2[[#This Row],[IPI]]+Tabela2[[#This Row],[Vl. Produto]])*Tabela2[[#This Row],[Aliq.%]]</f>
        <v>0</v>
      </c>
    </row>
    <row r="328" spans="13:19" x14ac:dyDescent="0.25">
      <c r="M328" s="46"/>
      <c r="N328" s="46"/>
      <c r="O328" s="46"/>
      <c r="P328" s="46"/>
      <c r="R328" s="15">
        <v>1.54E-2</v>
      </c>
      <c r="S328" s="18">
        <f>(Tabela2[[#This Row],[FRETE]]+Tabela2[[#This Row],[DESPESAS]]+Tabela2[[#This Row],[IPI]]+Tabela2[[#This Row],[Vl. Produto]])*Tabela2[[#This Row],[Aliq.%]]</f>
        <v>0</v>
      </c>
    </row>
    <row r="329" spans="13:19" x14ac:dyDescent="0.25">
      <c r="M329" s="46"/>
      <c r="N329" s="46"/>
      <c r="O329" s="46"/>
      <c r="P329" s="46"/>
      <c r="R329" s="15">
        <v>1.54E-2</v>
      </c>
      <c r="S329" s="18">
        <f>(Tabela2[[#This Row],[FRETE]]+Tabela2[[#This Row],[DESPESAS]]+Tabela2[[#This Row],[IPI]]+Tabela2[[#This Row],[Vl. Produto]])*Tabela2[[#This Row],[Aliq.%]]</f>
        <v>0</v>
      </c>
    </row>
    <row r="330" spans="13:19" x14ac:dyDescent="0.25">
      <c r="M330" s="46"/>
      <c r="N330" s="46"/>
      <c r="O330" s="46"/>
      <c r="P330" s="46"/>
      <c r="R330" s="15">
        <v>1.54E-2</v>
      </c>
      <c r="S330" s="18">
        <f>(Tabela2[[#This Row],[FRETE]]+Tabela2[[#This Row],[DESPESAS]]+Tabela2[[#This Row],[IPI]]+Tabela2[[#This Row],[Vl. Produto]])*Tabela2[[#This Row],[Aliq.%]]</f>
        <v>0</v>
      </c>
    </row>
    <row r="331" spans="13:19" x14ac:dyDescent="0.25">
      <c r="M331" s="46"/>
      <c r="N331" s="46"/>
      <c r="O331" s="46"/>
      <c r="P331" s="46"/>
      <c r="R331" s="15">
        <v>1.54E-2</v>
      </c>
      <c r="S331" s="18">
        <f>(Tabela2[[#This Row],[FRETE]]+Tabela2[[#This Row],[DESPESAS]]+Tabela2[[#This Row],[IPI]]+Tabela2[[#This Row],[Vl. Produto]])*Tabela2[[#This Row],[Aliq.%]]</f>
        <v>0</v>
      </c>
    </row>
    <row r="332" spans="13:19" x14ac:dyDescent="0.25">
      <c r="M332" s="46"/>
      <c r="N332" s="46"/>
      <c r="O332" s="46"/>
      <c r="P332" s="46"/>
      <c r="R332" s="15">
        <v>1.54E-2</v>
      </c>
      <c r="S332" s="18">
        <f>(Tabela2[[#This Row],[FRETE]]+Tabela2[[#This Row],[DESPESAS]]+Tabela2[[#This Row],[IPI]]+Tabela2[[#This Row],[Vl. Produto]])*Tabela2[[#This Row],[Aliq.%]]</f>
        <v>0</v>
      </c>
    </row>
    <row r="333" spans="13:19" x14ac:dyDescent="0.25">
      <c r="M333" s="46"/>
      <c r="N333" s="46"/>
      <c r="O333" s="46"/>
      <c r="P333" s="46"/>
      <c r="R333" s="15">
        <v>1.54E-2</v>
      </c>
      <c r="S333" s="18">
        <f>(Tabela2[[#This Row],[FRETE]]+Tabela2[[#This Row],[DESPESAS]]+Tabela2[[#This Row],[IPI]]+Tabela2[[#This Row],[Vl. Produto]])*Tabela2[[#This Row],[Aliq.%]]</f>
        <v>0</v>
      </c>
    </row>
    <row r="334" spans="13:19" x14ac:dyDescent="0.25">
      <c r="M334" s="46"/>
      <c r="N334" s="46"/>
      <c r="O334" s="46"/>
      <c r="P334" s="46"/>
      <c r="R334" s="15">
        <v>1.54E-2</v>
      </c>
      <c r="S334" s="18">
        <f>(Tabela2[[#This Row],[FRETE]]+Tabela2[[#This Row],[DESPESAS]]+Tabela2[[#This Row],[IPI]]+Tabela2[[#This Row],[Vl. Produto]])*Tabela2[[#This Row],[Aliq.%]]</f>
        <v>0</v>
      </c>
    </row>
    <row r="335" spans="13:19" x14ac:dyDescent="0.25">
      <c r="M335" s="46"/>
      <c r="N335" s="46"/>
      <c r="O335" s="46"/>
      <c r="P335" s="46"/>
      <c r="R335" s="15">
        <v>1.54E-2</v>
      </c>
      <c r="S335" s="18">
        <f>(Tabela2[[#This Row],[FRETE]]+Tabela2[[#This Row],[DESPESAS]]+Tabela2[[#This Row],[IPI]]+Tabela2[[#This Row],[Vl. Produto]])*Tabela2[[#This Row],[Aliq.%]]</f>
        <v>0</v>
      </c>
    </row>
    <row r="336" spans="13:19" x14ac:dyDescent="0.25">
      <c r="M336" s="46"/>
      <c r="N336" s="46"/>
      <c r="O336" s="46"/>
      <c r="P336" s="46"/>
      <c r="R336" s="15">
        <v>1.54E-2</v>
      </c>
      <c r="S336" s="18">
        <f>(Tabela2[[#This Row],[FRETE]]+Tabela2[[#This Row],[DESPESAS]]+Tabela2[[#This Row],[IPI]]+Tabela2[[#This Row],[Vl. Produto]])*Tabela2[[#This Row],[Aliq.%]]</f>
        <v>0</v>
      </c>
    </row>
    <row r="337" spans="13:19" x14ac:dyDescent="0.25">
      <c r="M337" s="46"/>
      <c r="N337" s="46"/>
      <c r="O337" s="46"/>
      <c r="P337" s="46"/>
      <c r="R337" s="15">
        <v>1.54E-2</v>
      </c>
      <c r="S337" s="18">
        <f>(Tabela2[[#This Row],[FRETE]]+Tabela2[[#This Row],[DESPESAS]]+Tabela2[[#This Row],[IPI]]+Tabela2[[#This Row],[Vl. Produto]])*Tabela2[[#This Row],[Aliq.%]]</f>
        <v>0</v>
      </c>
    </row>
    <row r="338" spans="13:19" x14ac:dyDescent="0.25">
      <c r="M338" s="46"/>
      <c r="N338" s="46"/>
      <c r="O338" s="46"/>
      <c r="P338" s="46"/>
      <c r="R338" s="15">
        <v>1.54E-2</v>
      </c>
      <c r="S338" s="18">
        <f>(Tabela2[[#This Row],[FRETE]]+Tabela2[[#This Row],[DESPESAS]]+Tabela2[[#This Row],[IPI]]+Tabela2[[#This Row],[Vl. Produto]])*Tabela2[[#This Row],[Aliq.%]]</f>
        <v>0</v>
      </c>
    </row>
    <row r="339" spans="13:19" x14ac:dyDescent="0.25">
      <c r="M339" s="46"/>
      <c r="N339" s="46"/>
      <c r="O339" s="46"/>
      <c r="P339" s="46"/>
      <c r="R339" s="15">
        <v>1.54E-2</v>
      </c>
      <c r="S339" s="18">
        <f>(Tabela2[[#This Row],[FRETE]]+Tabela2[[#This Row],[DESPESAS]]+Tabela2[[#This Row],[IPI]]+Tabela2[[#This Row],[Vl. Produto]])*Tabela2[[#This Row],[Aliq.%]]</f>
        <v>0</v>
      </c>
    </row>
    <row r="340" spans="13:19" x14ac:dyDescent="0.25">
      <c r="M340" s="46"/>
      <c r="N340" s="46"/>
      <c r="O340" s="46"/>
      <c r="P340" s="46"/>
      <c r="R340" s="15">
        <v>1.54E-2</v>
      </c>
      <c r="S340" s="18">
        <f>(Tabela2[[#This Row],[FRETE]]+Tabela2[[#This Row],[DESPESAS]]+Tabela2[[#This Row],[IPI]]+Tabela2[[#This Row],[Vl. Produto]])*Tabela2[[#This Row],[Aliq.%]]</f>
        <v>0</v>
      </c>
    </row>
    <row r="341" spans="13:19" x14ac:dyDescent="0.25">
      <c r="M341" s="46"/>
      <c r="N341" s="46"/>
      <c r="O341" s="46"/>
      <c r="P341" s="46"/>
      <c r="R341" s="15">
        <v>1.54E-2</v>
      </c>
      <c r="S341" s="18">
        <f>(Tabela2[[#This Row],[FRETE]]+Tabela2[[#This Row],[DESPESAS]]+Tabela2[[#This Row],[IPI]]+Tabela2[[#This Row],[Vl. Produto]])*Tabela2[[#This Row],[Aliq.%]]</f>
        <v>0</v>
      </c>
    </row>
    <row r="342" spans="13:19" x14ac:dyDescent="0.25">
      <c r="M342" s="46"/>
      <c r="N342" s="46"/>
      <c r="O342" s="46"/>
      <c r="P342" s="46"/>
      <c r="R342" s="15">
        <v>1.54E-2</v>
      </c>
      <c r="S342" s="18">
        <f>(Tabela2[[#This Row],[FRETE]]+Tabela2[[#This Row],[DESPESAS]]+Tabela2[[#This Row],[IPI]]+Tabela2[[#This Row],[Vl. Produto]])*Tabela2[[#This Row],[Aliq.%]]</f>
        <v>0</v>
      </c>
    </row>
    <row r="343" spans="13:19" x14ac:dyDescent="0.25">
      <c r="M343" s="46"/>
      <c r="N343" s="46"/>
      <c r="O343" s="46"/>
      <c r="P343" s="46"/>
      <c r="R343" s="15">
        <v>1.54E-2</v>
      </c>
      <c r="S343" s="18">
        <f>(Tabela2[[#This Row],[FRETE]]+Tabela2[[#This Row],[DESPESAS]]+Tabela2[[#This Row],[IPI]]+Tabela2[[#This Row],[Vl. Produto]])*Tabela2[[#This Row],[Aliq.%]]</f>
        <v>0</v>
      </c>
    </row>
    <row r="344" spans="13:19" x14ac:dyDescent="0.25">
      <c r="M344" s="46"/>
      <c r="N344" s="46"/>
      <c r="O344" s="46"/>
      <c r="P344" s="46"/>
      <c r="R344" s="15">
        <v>1.54E-2</v>
      </c>
      <c r="S344" s="18">
        <f>(Tabela2[[#This Row],[FRETE]]+Tabela2[[#This Row],[DESPESAS]]+Tabela2[[#This Row],[IPI]]+Tabela2[[#This Row],[Vl. Produto]])*Tabela2[[#This Row],[Aliq.%]]</f>
        <v>0</v>
      </c>
    </row>
    <row r="345" spans="13:19" x14ac:dyDescent="0.25">
      <c r="M345" s="46"/>
      <c r="N345" s="46"/>
      <c r="O345" s="46"/>
      <c r="P345" s="46"/>
      <c r="R345" s="15">
        <v>1.54E-2</v>
      </c>
      <c r="S345" s="18">
        <f>(Tabela2[[#This Row],[FRETE]]+Tabela2[[#This Row],[DESPESAS]]+Tabela2[[#This Row],[IPI]]+Tabela2[[#This Row],[Vl. Produto]])*Tabela2[[#This Row],[Aliq.%]]</f>
        <v>0</v>
      </c>
    </row>
    <row r="346" spans="13:19" x14ac:dyDescent="0.25">
      <c r="M346" s="46"/>
      <c r="N346" s="46"/>
      <c r="O346" s="46"/>
      <c r="P346" s="46"/>
      <c r="R346" s="15">
        <v>1.54E-2</v>
      </c>
      <c r="S346" s="18">
        <f>(Tabela2[[#This Row],[FRETE]]+Tabela2[[#This Row],[DESPESAS]]+Tabela2[[#This Row],[IPI]]+Tabela2[[#This Row],[Vl. Produto]])*Tabela2[[#This Row],[Aliq.%]]</f>
        <v>0</v>
      </c>
    </row>
    <row r="347" spans="13:19" x14ac:dyDescent="0.25">
      <c r="M347" s="46"/>
      <c r="N347" s="46"/>
      <c r="O347" s="46"/>
      <c r="P347" s="46"/>
      <c r="R347" s="15">
        <v>1.54E-2</v>
      </c>
      <c r="S347" s="18">
        <f>(Tabela2[[#This Row],[FRETE]]+Tabela2[[#This Row],[DESPESAS]]+Tabela2[[#This Row],[IPI]]+Tabela2[[#This Row],[Vl. Produto]])*Tabela2[[#This Row],[Aliq.%]]</f>
        <v>0</v>
      </c>
    </row>
    <row r="348" spans="13:19" x14ac:dyDescent="0.25">
      <c r="M348" s="46"/>
      <c r="N348" s="46"/>
      <c r="O348" s="46"/>
      <c r="P348" s="46"/>
      <c r="R348" s="15">
        <v>1.54E-2</v>
      </c>
      <c r="S348" s="18">
        <f>(Tabela2[[#This Row],[FRETE]]+Tabela2[[#This Row],[DESPESAS]]+Tabela2[[#This Row],[IPI]]+Tabela2[[#This Row],[Vl. Produto]])*Tabela2[[#This Row],[Aliq.%]]</f>
        <v>0</v>
      </c>
    </row>
    <row r="349" spans="13:19" x14ac:dyDescent="0.25">
      <c r="M349" s="46"/>
      <c r="N349" s="46"/>
      <c r="O349" s="46"/>
      <c r="P349" s="46"/>
      <c r="R349" s="15">
        <v>1.54E-2</v>
      </c>
      <c r="S349" s="18">
        <f>(Tabela2[[#This Row],[FRETE]]+Tabela2[[#This Row],[DESPESAS]]+Tabela2[[#This Row],[IPI]]+Tabela2[[#This Row],[Vl. Produto]])*Tabela2[[#This Row],[Aliq.%]]</f>
        <v>0</v>
      </c>
    </row>
    <row r="350" spans="13:19" x14ac:dyDescent="0.25">
      <c r="M350" s="46"/>
      <c r="N350" s="46"/>
      <c r="O350" s="46"/>
      <c r="P350" s="46"/>
      <c r="R350" s="15">
        <v>1.54E-2</v>
      </c>
      <c r="S350" s="18">
        <f>(Tabela2[[#This Row],[FRETE]]+Tabela2[[#This Row],[DESPESAS]]+Tabela2[[#This Row],[IPI]]+Tabela2[[#This Row],[Vl. Produto]])*Tabela2[[#This Row],[Aliq.%]]</f>
        <v>0</v>
      </c>
    </row>
    <row r="351" spans="13:19" x14ac:dyDescent="0.25">
      <c r="M351" s="46"/>
      <c r="N351" s="46"/>
      <c r="O351" s="46"/>
      <c r="P351" s="46"/>
      <c r="R351" s="15">
        <v>1.54E-2</v>
      </c>
      <c r="S351" s="18">
        <f>(Tabela2[[#This Row],[FRETE]]+Tabela2[[#This Row],[DESPESAS]]+Tabela2[[#This Row],[IPI]]+Tabela2[[#This Row],[Vl. Produto]])*Tabela2[[#This Row],[Aliq.%]]</f>
        <v>0</v>
      </c>
    </row>
    <row r="352" spans="13:19" x14ac:dyDescent="0.25">
      <c r="M352" s="46"/>
      <c r="N352" s="46"/>
      <c r="O352" s="46"/>
      <c r="P352" s="46"/>
      <c r="R352" s="15">
        <v>1.54E-2</v>
      </c>
      <c r="S352" s="18">
        <f>(Tabela2[[#This Row],[FRETE]]+Tabela2[[#This Row],[DESPESAS]]+Tabela2[[#This Row],[IPI]]+Tabela2[[#This Row],[Vl. Produto]])*Tabela2[[#This Row],[Aliq.%]]</f>
        <v>0</v>
      </c>
    </row>
    <row r="353" spans="13:19" x14ac:dyDescent="0.25">
      <c r="M353" s="46"/>
      <c r="N353" s="46"/>
      <c r="O353" s="46"/>
      <c r="P353" s="46"/>
      <c r="R353" s="15">
        <v>1.54E-2</v>
      </c>
      <c r="S353" s="18">
        <f>(Tabela2[[#This Row],[FRETE]]+Tabela2[[#This Row],[DESPESAS]]+Tabela2[[#This Row],[IPI]]+Tabela2[[#This Row],[Vl. Produto]])*Tabela2[[#This Row],[Aliq.%]]</f>
        <v>0</v>
      </c>
    </row>
    <row r="354" spans="13:19" x14ac:dyDescent="0.25">
      <c r="M354" s="46"/>
      <c r="N354" s="46"/>
      <c r="O354" s="46"/>
      <c r="P354" s="46"/>
      <c r="R354" s="15">
        <v>1.54E-2</v>
      </c>
      <c r="S354" s="18">
        <f>(Tabela2[[#This Row],[FRETE]]+Tabela2[[#This Row],[DESPESAS]]+Tabela2[[#This Row],[IPI]]+Tabela2[[#This Row],[Vl. Produto]])*Tabela2[[#This Row],[Aliq.%]]</f>
        <v>0</v>
      </c>
    </row>
    <row r="355" spans="13:19" x14ac:dyDescent="0.25">
      <c r="M355" s="46"/>
      <c r="N355" s="46"/>
      <c r="O355" s="46"/>
      <c r="P355" s="46"/>
      <c r="R355" s="15">
        <v>1.54E-2</v>
      </c>
      <c r="S355" s="18">
        <f>(Tabela2[[#This Row],[FRETE]]+Tabela2[[#This Row],[DESPESAS]]+Tabela2[[#This Row],[IPI]]+Tabela2[[#This Row],[Vl. Produto]])*Tabela2[[#This Row],[Aliq.%]]</f>
        <v>0</v>
      </c>
    </row>
    <row r="356" spans="13:19" x14ac:dyDescent="0.25">
      <c r="M356" s="46"/>
      <c r="N356" s="46"/>
      <c r="O356" s="46"/>
      <c r="P356" s="46"/>
      <c r="R356" s="15">
        <v>1.54E-2</v>
      </c>
      <c r="S356" s="18">
        <f>(Tabela2[[#This Row],[FRETE]]+Tabela2[[#This Row],[DESPESAS]]+Tabela2[[#This Row],[IPI]]+Tabela2[[#This Row],[Vl. Produto]])*Tabela2[[#This Row],[Aliq.%]]</f>
        <v>0</v>
      </c>
    </row>
    <row r="357" spans="13:19" x14ac:dyDescent="0.25">
      <c r="M357" s="46"/>
      <c r="N357" s="46"/>
      <c r="O357" s="46"/>
      <c r="P357" s="46"/>
      <c r="R357" s="15">
        <v>1.54E-2</v>
      </c>
      <c r="S357" s="18">
        <f>(Tabela2[[#This Row],[FRETE]]+Tabela2[[#This Row],[DESPESAS]]+Tabela2[[#This Row],[IPI]]+Tabela2[[#This Row],[Vl. Produto]])*Tabela2[[#This Row],[Aliq.%]]</f>
        <v>0</v>
      </c>
    </row>
    <row r="358" spans="13:19" x14ac:dyDescent="0.25">
      <c r="M358" s="46"/>
      <c r="N358" s="46"/>
      <c r="O358" s="46"/>
      <c r="P358" s="46"/>
      <c r="R358" s="15">
        <v>1.54E-2</v>
      </c>
      <c r="S358" s="18">
        <f>(Tabela2[[#This Row],[FRETE]]+Tabela2[[#This Row],[DESPESAS]]+Tabela2[[#This Row],[IPI]]+Tabela2[[#This Row],[Vl. Produto]])*Tabela2[[#This Row],[Aliq.%]]</f>
        <v>0</v>
      </c>
    </row>
    <row r="359" spans="13:19" x14ac:dyDescent="0.25">
      <c r="M359" s="46"/>
      <c r="N359" s="46"/>
      <c r="O359" s="46"/>
      <c r="P359" s="46"/>
      <c r="R359" s="15">
        <v>1.54E-2</v>
      </c>
      <c r="S359" s="18">
        <f>(Tabela2[[#This Row],[FRETE]]+Tabela2[[#This Row],[DESPESAS]]+Tabela2[[#This Row],[IPI]]+Tabela2[[#This Row],[Vl. Produto]])*Tabela2[[#This Row],[Aliq.%]]</f>
        <v>0</v>
      </c>
    </row>
    <row r="360" spans="13:19" x14ac:dyDescent="0.25">
      <c r="M360" s="46"/>
      <c r="N360" s="46"/>
      <c r="O360" s="46"/>
      <c r="P360" s="46"/>
      <c r="R360" s="15">
        <v>1.54E-2</v>
      </c>
      <c r="S360" s="18">
        <f>(Tabela2[[#This Row],[FRETE]]+Tabela2[[#This Row],[DESPESAS]]+Tabela2[[#This Row],[IPI]]+Tabela2[[#This Row],[Vl. Produto]])*Tabela2[[#This Row],[Aliq.%]]</f>
        <v>0</v>
      </c>
    </row>
    <row r="361" spans="13:19" x14ac:dyDescent="0.25">
      <c r="M361" s="46"/>
      <c r="N361" s="46"/>
      <c r="O361" s="46"/>
      <c r="P361" s="46"/>
      <c r="R361" s="15">
        <v>1.54E-2</v>
      </c>
      <c r="S361" s="18">
        <f>(Tabela2[[#This Row],[FRETE]]+Tabela2[[#This Row],[DESPESAS]]+Tabela2[[#This Row],[IPI]]+Tabela2[[#This Row],[Vl. Produto]])*Tabela2[[#This Row],[Aliq.%]]</f>
        <v>0</v>
      </c>
    </row>
    <row r="362" spans="13:19" x14ac:dyDescent="0.25">
      <c r="M362" s="46"/>
      <c r="N362" s="46"/>
      <c r="O362" s="46"/>
      <c r="P362" s="46"/>
      <c r="R362" s="15">
        <v>1.54E-2</v>
      </c>
      <c r="S362" s="18">
        <f>(Tabela2[[#This Row],[FRETE]]+Tabela2[[#This Row],[DESPESAS]]+Tabela2[[#This Row],[IPI]]+Tabela2[[#This Row],[Vl. Produto]])*Tabela2[[#This Row],[Aliq.%]]</f>
        <v>0</v>
      </c>
    </row>
    <row r="363" spans="13:19" x14ac:dyDescent="0.25">
      <c r="M363" s="46"/>
      <c r="N363" s="46"/>
      <c r="O363" s="46"/>
      <c r="P363" s="46"/>
      <c r="R363" s="15">
        <v>1.54E-2</v>
      </c>
      <c r="S363" s="18">
        <f>(Tabela2[[#This Row],[FRETE]]+Tabela2[[#This Row],[DESPESAS]]+Tabela2[[#This Row],[IPI]]+Tabela2[[#This Row],[Vl. Produto]])*Tabela2[[#This Row],[Aliq.%]]</f>
        <v>0</v>
      </c>
    </row>
    <row r="364" spans="13:19" x14ac:dyDescent="0.25">
      <c r="M364" s="46"/>
      <c r="N364" s="46"/>
      <c r="O364" s="46"/>
      <c r="P364" s="46"/>
      <c r="R364" s="15">
        <v>1.54E-2</v>
      </c>
      <c r="S364" s="18">
        <f>(Tabela2[[#This Row],[FRETE]]+Tabela2[[#This Row],[DESPESAS]]+Tabela2[[#This Row],[IPI]]+Tabela2[[#This Row],[Vl. Produto]])*Tabela2[[#This Row],[Aliq.%]]</f>
        <v>0</v>
      </c>
    </row>
    <row r="365" spans="13:19" x14ac:dyDescent="0.25">
      <c r="M365" s="46"/>
      <c r="N365" s="46"/>
      <c r="O365" s="46"/>
      <c r="P365" s="46"/>
      <c r="R365" s="15">
        <v>1.54E-2</v>
      </c>
      <c r="S365" s="18">
        <f>(Tabela2[[#This Row],[FRETE]]+Tabela2[[#This Row],[DESPESAS]]+Tabela2[[#This Row],[IPI]]+Tabela2[[#This Row],[Vl. Produto]])*Tabela2[[#This Row],[Aliq.%]]</f>
        <v>0</v>
      </c>
    </row>
    <row r="366" spans="13:19" x14ac:dyDescent="0.25">
      <c r="M366" s="46"/>
      <c r="N366" s="46"/>
      <c r="O366" s="46"/>
      <c r="P366" s="46"/>
      <c r="R366" s="15">
        <v>1.54E-2</v>
      </c>
      <c r="S366" s="18">
        <f>(Tabela2[[#This Row],[FRETE]]+Tabela2[[#This Row],[DESPESAS]]+Tabela2[[#This Row],[IPI]]+Tabela2[[#This Row],[Vl. Produto]])*Tabela2[[#This Row],[Aliq.%]]</f>
        <v>0</v>
      </c>
    </row>
    <row r="367" spans="13:19" x14ac:dyDescent="0.25">
      <c r="M367" s="46"/>
      <c r="N367" s="46"/>
      <c r="O367" s="46"/>
      <c r="P367" s="46"/>
      <c r="R367" s="15">
        <v>1.54E-2</v>
      </c>
      <c r="S367" s="18">
        <f>(Tabela2[[#This Row],[FRETE]]+Tabela2[[#This Row],[DESPESAS]]+Tabela2[[#This Row],[IPI]]+Tabela2[[#This Row],[Vl. Produto]])*Tabela2[[#This Row],[Aliq.%]]</f>
        <v>0</v>
      </c>
    </row>
    <row r="368" spans="13:19" x14ac:dyDescent="0.25">
      <c r="M368" s="46"/>
      <c r="N368" s="46"/>
      <c r="O368" s="46"/>
      <c r="P368" s="46"/>
      <c r="R368" s="15">
        <v>1.54E-2</v>
      </c>
      <c r="S368" s="18">
        <f>(Tabela2[[#This Row],[FRETE]]+Tabela2[[#This Row],[DESPESAS]]+Tabela2[[#This Row],[IPI]]+Tabela2[[#This Row],[Vl. Produto]])*Tabela2[[#This Row],[Aliq.%]]</f>
        <v>0</v>
      </c>
    </row>
    <row r="369" spans="13:19" x14ac:dyDescent="0.25">
      <c r="M369" s="46"/>
      <c r="N369" s="46"/>
      <c r="O369" s="46"/>
      <c r="P369" s="46"/>
      <c r="R369" s="15">
        <v>1.54E-2</v>
      </c>
      <c r="S369" s="18">
        <f>(Tabela2[[#This Row],[FRETE]]+Tabela2[[#This Row],[DESPESAS]]+Tabela2[[#This Row],[IPI]]+Tabela2[[#This Row],[Vl. Produto]])*Tabela2[[#This Row],[Aliq.%]]</f>
        <v>0</v>
      </c>
    </row>
    <row r="370" spans="13:19" x14ac:dyDescent="0.25">
      <c r="M370" s="46"/>
      <c r="N370" s="46"/>
      <c r="O370" s="46"/>
      <c r="P370" s="46"/>
      <c r="R370" s="15">
        <v>1.54E-2</v>
      </c>
      <c r="S370" s="18">
        <f>(Tabela2[[#This Row],[FRETE]]+Tabela2[[#This Row],[DESPESAS]]+Tabela2[[#This Row],[IPI]]+Tabela2[[#This Row],[Vl. Produto]])*Tabela2[[#This Row],[Aliq.%]]</f>
        <v>0</v>
      </c>
    </row>
    <row r="371" spans="13:19" x14ac:dyDescent="0.25">
      <c r="M371" s="46"/>
      <c r="N371" s="46"/>
      <c r="O371" s="46"/>
      <c r="P371" s="46"/>
      <c r="R371" s="15">
        <v>1.54E-2</v>
      </c>
      <c r="S371" s="18">
        <f>(Tabela2[[#This Row],[FRETE]]+Tabela2[[#This Row],[DESPESAS]]+Tabela2[[#This Row],[IPI]]+Tabela2[[#This Row],[Vl. Produto]])*Tabela2[[#This Row],[Aliq.%]]</f>
        <v>0</v>
      </c>
    </row>
    <row r="372" spans="13:19" x14ac:dyDescent="0.25">
      <c r="M372" s="46"/>
      <c r="N372" s="46"/>
      <c r="O372" s="46"/>
      <c r="P372" s="46"/>
      <c r="R372" s="15">
        <v>1.54E-2</v>
      </c>
      <c r="S372" s="18">
        <f>(Tabela2[[#This Row],[FRETE]]+Tabela2[[#This Row],[DESPESAS]]+Tabela2[[#This Row],[IPI]]+Tabela2[[#This Row],[Vl. Produto]])*Tabela2[[#This Row],[Aliq.%]]</f>
        <v>0</v>
      </c>
    </row>
    <row r="373" spans="13:19" x14ac:dyDescent="0.25">
      <c r="M373" s="46"/>
      <c r="N373" s="46"/>
      <c r="O373" s="46"/>
      <c r="P373" s="46"/>
      <c r="R373" s="15">
        <v>1.54E-2</v>
      </c>
      <c r="S373" s="18">
        <f>(Tabela2[[#This Row],[FRETE]]+Tabela2[[#This Row],[DESPESAS]]+Tabela2[[#This Row],[IPI]]+Tabela2[[#This Row],[Vl. Produto]])*Tabela2[[#This Row],[Aliq.%]]</f>
        <v>0</v>
      </c>
    </row>
    <row r="374" spans="13:19" x14ac:dyDescent="0.25">
      <c r="M374" s="46"/>
      <c r="N374" s="46"/>
      <c r="O374" s="46"/>
      <c r="P374" s="46"/>
      <c r="R374" s="15">
        <v>1.54E-2</v>
      </c>
      <c r="S374" s="18">
        <f>(Tabela2[[#This Row],[FRETE]]+Tabela2[[#This Row],[DESPESAS]]+Tabela2[[#This Row],[IPI]]+Tabela2[[#This Row],[Vl. Produto]])*Tabela2[[#This Row],[Aliq.%]]</f>
        <v>0</v>
      </c>
    </row>
    <row r="375" spans="13:19" x14ac:dyDescent="0.25">
      <c r="M375" s="46"/>
      <c r="N375" s="46"/>
      <c r="O375" s="46"/>
      <c r="P375" s="46"/>
      <c r="R375" s="15">
        <v>1.54E-2</v>
      </c>
      <c r="S375" s="18">
        <f>(Tabela2[[#This Row],[FRETE]]+Tabela2[[#This Row],[DESPESAS]]+Tabela2[[#This Row],[IPI]]+Tabela2[[#This Row],[Vl. Produto]])*Tabela2[[#This Row],[Aliq.%]]</f>
        <v>0</v>
      </c>
    </row>
    <row r="376" spans="13:19" x14ac:dyDescent="0.25">
      <c r="M376" s="46"/>
      <c r="N376" s="46"/>
      <c r="O376" s="46"/>
      <c r="P376" s="46"/>
      <c r="R376" s="15">
        <v>1.54E-2</v>
      </c>
      <c r="S376" s="18">
        <f>(Tabela2[[#This Row],[FRETE]]+Tabela2[[#This Row],[DESPESAS]]+Tabela2[[#This Row],[IPI]]+Tabela2[[#This Row],[Vl. Produto]])*Tabela2[[#This Row],[Aliq.%]]</f>
        <v>0</v>
      </c>
    </row>
    <row r="377" spans="13:19" x14ac:dyDescent="0.25">
      <c r="M377" s="46"/>
      <c r="N377" s="46"/>
      <c r="O377" s="46"/>
      <c r="P377" s="46"/>
      <c r="R377" s="15">
        <v>1.54E-2</v>
      </c>
      <c r="S377" s="18">
        <f>(Tabela2[[#This Row],[FRETE]]+Tabela2[[#This Row],[DESPESAS]]+Tabela2[[#This Row],[IPI]]+Tabela2[[#This Row],[Vl. Produto]])*Tabela2[[#This Row],[Aliq.%]]</f>
        <v>0</v>
      </c>
    </row>
    <row r="378" spans="13:19" x14ac:dyDescent="0.25">
      <c r="M378" s="46"/>
      <c r="N378" s="46"/>
      <c r="O378" s="46"/>
      <c r="P378" s="46"/>
      <c r="R378" s="15">
        <v>1.54E-2</v>
      </c>
      <c r="S378" s="18">
        <f>(Tabela2[[#This Row],[FRETE]]+Tabela2[[#This Row],[DESPESAS]]+Tabela2[[#This Row],[IPI]]+Tabela2[[#This Row],[Vl. Produto]])*Tabela2[[#This Row],[Aliq.%]]</f>
        <v>0</v>
      </c>
    </row>
    <row r="379" spans="13:19" x14ac:dyDescent="0.25">
      <c r="M379" s="46"/>
      <c r="N379" s="46"/>
      <c r="O379" s="46"/>
      <c r="P379" s="46"/>
      <c r="R379" s="15">
        <v>1.54E-2</v>
      </c>
      <c r="S379" s="18">
        <f>(Tabela2[[#This Row],[FRETE]]+Tabela2[[#This Row],[DESPESAS]]+Tabela2[[#This Row],[IPI]]+Tabela2[[#This Row],[Vl. Produto]])*Tabela2[[#This Row],[Aliq.%]]</f>
        <v>0</v>
      </c>
    </row>
    <row r="380" spans="13:19" x14ac:dyDescent="0.25">
      <c r="M380" s="46"/>
      <c r="N380" s="46"/>
      <c r="O380" s="46"/>
      <c r="P380" s="46"/>
      <c r="R380" s="15">
        <v>1.54E-2</v>
      </c>
      <c r="S380" s="18">
        <f>(Tabela2[[#This Row],[FRETE]]+Tabela2[[#This Row],[DESPESAS]]+Tabela2[[#This Row],[IPI]]+Tabela2[[#This Row],[Vl. Produto]])*Tabela2[[#This Row],[Aliq.%]]</f>
        <v>0</v>
      </c>
    </row>
    <row r="381" spans="13:19" x14ac:dyDescent="0.25">
      <c r="M381" s="46"/>
      <c r="N381" s="46"/>
      <c r="O381" s="46"/>
      <c r="P381" s="46"/>
      <c r="R381" s="15">
        <v>1.54E-2</v>
      </c>
      <c r="S381" s="18">
        <f>(Tabela2[[#This Row],[FRETE]]+Tabela2[[#This Row],[DESPESAS]]+Tabela2[[#This Row],[IPI]]+Tabela2[[#This Row],[Vl. Produto]])*Tabela2[[#This Row],[Aliq.%]]</f>
        <v>0</v>
      </c>
    </row>
    <row r="382" spans="13:19" x14ac:dyDescent="0.25">
      <c r="M382" s="46"/>
      <c r="N382" s="46"/>
      <c r="O382" s="46"/>
      <c r="P382" s="46"/>
      <c r="R382" s="15">
        <v>1.54E-2</v>
      </c>
      <c r="S382" s="18">
        <f>(Tabela2[[#This Row],[FRETE]]+Tabela2[[#This Row],[DESPESAS]]+Tabela2[[#This Row],[IPI]]+Tabela2[[#This Row],[Vl. Produto]])*Tabela2[[#This Row],[Aliq.%]]</f>
        <v>0</v>
      </c>
    </row>
    <row r="383" spans="13:19" x14ac:dyDescent="0.25">
      <c r="M383" s="46"/>
      <c r="N383" s="46"/>
      <c r="O383" s="46"/>
      <c r="P383" s="46"/>
      <c r="R383" s="15">
        <v>1.54E-2</v>
      </c>
      <c r="S383" s="18">
        <f>(Tabela2[[#This Row],[FRETE]]+Tabela2[[#This Row],[DESPESAS]]+Tabela2[[#This Row],[IPI]]+Tabela2[[#This Row],[Vl. Produto]])*Tabela2[[#This Row],[Aliq.%]]</f>
        <v>0</v>
      </c>
    </row>
    <row r="384" spans="13:19" x14ac:dyDescent="0.25">
      <c r="M384" s="46"/>
      <c r="N384" s="46"/>
      <c r="O384" s="46"/>
      <c r="P384" s="46"/>
      <c r="R384" s="15">
        <v>1.54E-2</v>
      </c>
      <c r="S384" s="18">
        <f>(Tabela2[[#This Row],[FRETE]]+Tabela2[[#This Row],[DESPESAS]]+Tabela2[[#This Row],[IPI]]+Tabela2[[#This Row],[Vl. Produto]])*Tabela2[[#This Row],[Aliq.%]]</f>
        <v>0</v>
      </c>
    </row>
    <row r="385" spans="13:19" x14ac:dyDescent="0.25">
      <c r="M385" s="46"/>
      <c r="N385" s="46"/>
      <c r="O385" s="46"/>
      <c r="P385" s="46"/>
      <c r="R385" s="15">
        <v>1.54E-2</v>
      </c>
      <c r="S385" s="18">
        <f>(Tabela2[[#This Row],[FRETE]]+Tabela2[[#This Row],[DESPESAS]]+Tabela2[[#This Row],[IPI]]+Tabela2[[#This Row],[Vl. Produto]])*Tabela2[[#This Row],[Aliq.%]]</f>
        <v>0</v>
      </c>
    </row>
    <row r="386" spans="13:19" x14ac:dyDescent="0.25">
      <c r="M386" s="46"/>
      <c r="N386" s="46"/>
      <c r="O386" s="46"/>
      <c r="P386" s="46"/>
      <c r="R386" s="15">
        <v>1.54E-2</v>
      </c>
      <c r="S386" s="18">
        <f>(Tabela2[[#This Row],[FRETE]]+Tabela2[[#This Row],[DESPESAS]]+Tabela2[[#This Row],[IPI]]+Tabela2[[#This Row],[Vl. Produto]])*Tabela2[[#This Row],[Aliq.%]]</f>
        <v>0</v>
      </c>
    </row>
    <row r="387" spans="13:19" x14ac:dyDescent="0.25">
      <c r="M387" s="46"/>
      <c r="N387" s="46"/>
      <c r="O387" s="46"/>
      <c r="P387" s="46"/>
      <c r="R387" s="15">
        <v>1.54E-2</v>
      </c>
      <c r="S387" s="18">
        <f>(Tabela2[[#This Row],[FRETE]]+Tabela2[[#This Row],[DESPESAS]]+Tabela2[[#This Row],[IPI]]+Tabela2[[#This Row],[Vl. Produto]])*Tabela2[[#This Row],[Aliq.%]]</f>
        <v>0</v>
      </c>
    </row>
    <row r="388" spans="13:19" x14ac:dyDescent="0.25">
      <c r="M388" s="46"/>
      <c r="N388" s="46"/>
      <c r="O388" s="46"/>
      <c r="P388" s="46"/>
      <c r="R388" s="15">
        <v>1.54E-2</v>
      </c>
      <c r="S388" s="18">
        <f>(Tabela2[[#This Row],[FRETE]]+Tabela2[[#This Row],[DESPESAS]]+Tabela2[[#This Row],[IPI]]+Tabela2[[#This Row],[Vl. Produto]])*Tabela2[[#This Row],[Aliq.%]]</f>
        <v>0</v>
      </c>
    </row>
    <row r="389" spans="13:19" x14ac:dyDescent="0.25">
      <c r="M389" s="46"/>
      <c r="N389" s="46"/>
      <c r="O389" s="46"/>
      <c r="P389" s="46"/>
      <c r="R389" s="15">
        <v>1.54E-2</v>
      </c>
      <c r="S389" s="18">
        <f>(Tabela2[[#This Row],[FRETE]]+Tabela2[[#This Row],[DESPESAS]]+Tabela2[[#This Row],[IPI]]+Tabela2[[#This Row],[Vl. Produto]])*Tabela2[[#This Row],[Aliq.%]]</f>
        <v>0</v>
      </c>
    </row>
    <row r="390" spans="13:19" x14ac:dyDescent="0.25">
      <c r="M390" s="46"/>
      <c r="N390" s="46"/>
      <c r="O390" s="46"/>
      <c r="P390" s="46"/>
      <c r="R390" s="15">
        <v>1.54E-2</v>
      </c>
      <c r="S390" s="18">
        <f>(Tabela2[[#This Row],[FRETE]]+Tabela2[[#This Row],[DESPESAS]]+Tabela2[[#This Row],[IPI]]+Tabela2[[#This Row],[Vl. Produto]])*Tabela2[[#This Row],[Aliq.%]]</f>
        <v>0</v>
      </c>
    </row>
    <row r="391" spans="13:19" x14ac:dyDescent="0.25">
      <c r="M391" s="46"/>
      <c r="N391" s="46"/>
      <c r="O391" s="46"/>
      <c r="P391" s="46"/>
      <c r="R391" s="15">
        <v>1.54E-2</v>
      </c>
      <c r="S391" s="18">
        <f>(Tabela2[[#This Row],[FRETE]]+Tabela2[[#This Row],[DESPESAS]]+Tabela2[[#This Row],[IPI]]+Tabela2[[#This Row],[Vl. Produto]])*Tabela2[[#This Row],[Aliq.%]]</f>
        <v>0</v>
      </c>
    </row>
    <row r="392" spans="13:19" x14ac:dyDescent="0.25">
      <c r="M392" s="46"/>
      <c r="N392" s="46"/>
      <c r="O392" s="46"/>
      <c r="P392" s="46"/>
      <c r="R392" s="15">
        <v>1.54E-2</v>
      </c>
      <c r="S392" s="18">
        <f>(Tabela2[[#This Row],[FRETE]]+Tabela2[[#This Row],[DESPESAS]]+Tabela2[[#This Row],[IPI]]+Tabela2[[#This Row],[Vl. Produto]])*Tabela2[[#This Row],[Aliq.%]]</f>
        <v>0</v>
      </c>
    </row>
    <row r="393" spans="13:19" x14ac:dyDescent="0.25">
      <c r="M393" s="46"/>
      <c r="N393" s="46"/>
      <c r="O393" s="46"/>
      <c r="P393" s="46"/>
      <c r="R393" s="15">
        <v>1.54E-2</v>
      </c>
      <c r="S393" s="18">
        <f>(Tabela2[[#This Row],[FRETE]]+Tabela2[[#This Row],[DESPESAS]]+Tabela2[[#This Row],[IPI]]+Tabela2[[#This Row],[Vl. Produto]])*Tabela2[[#This Row],[Aliq.%]]</f>
        <v>0</v>
      </c>
    </row>
    <row r="394" spans="13:19" x14ac:dyDescent="0.25">
      <c r="M394" s="46"/>
      <c r="N394" s="46"/>
      <c r="O394" s="46"/>
      <c r="P394" s="46"/>
      <c r="R394" s="15">
        <v>1.54E-2</v>
      </c>
      <c r="S394" s="18">
        <f>(Tabela2[[#This Row],[FRETE]]+Tabela2[[#This Row],[DESPESAS]]+Tabela2[[#This Row],[IPI]]+Tabela2[[#This Row],[Vl. Produto]])*Tabela2[[#This Row],[Aliq.%]]</f>
        <v>0</v>
      </c>
    </row>
    <row r="395" spans="13:19" x14ac:dyDescent="0.25">
      <c r="M395" s="46"/>
      <c r="N395" s="46"/>
      <c r="O395" s="46"/>
      <c r="P395" s="46"/>
      <c r="R395" s="15">
        <v>1.54E-2</v>
      </c>
      <c r="S395" s="18">
        <f>(Tabela2[[#This Row],[FRETE]]+Tabela2[[#This Row],[DESPESAS]]+Tabela2[[#This Row],[IPI]]+Tabela2[[#This Row],[Vl. Produto]])*Tabela2[[#This Row],[Aliq.%]]</f>
        <v>0</v>
      </c>
    </row>
    <row r="396" spans="13:19" x14ac:dyDescent="0.25">
      <c r="M396" s="46"/>
      <c r="N396" s="46"/>
      <c r="O396" s="46"/>
      <c r="P396" s="46"/>
      <c r="R396" s="15">
        <v>1.54E-2</v>
      </c>
      <c r="S396" s="18">
        <f>(Tabela2[[#This Row],[FRETE]]+Tabela2[[#This Row],[DESPESAS]]+Tabela2[[#This Row],[IPI]]+Tabela2[[#This Row],[Vl. Produto]])*Tabela2[[#This Row],[Aliq.%]]</f>
        <v>0</v>
      </c>
    </row>
    <row r="397" spans="13:19" x14ac:dyDescent="0.25">
      <c r="M397" s="46"/>
      <c r="N397" s="46"/>
      <c r="O397" s="46"/>
      <c r="P397" s="46"/>
      <c r="R397" s="15">
        <v>1.54E-2</v>
      </c>
      <c r="S397" s="18">
        <f>(Tabela2[[#This Row],[FRETE]]+Tabela2[[#This Row],[DESPESAS]]+Tabela2[[#This Row],[IPI]]+Tabela2[[#This Row],[Vl. Produto]])*Tabela2[[#This Row],[Aliq.%]]</f>
        <v>0</v>
      </c>
    </row>
    <row r="398" spans="13:19" x14ac:dyDescent="0.25">
      <c r="M398" s="46"/>
      <c r="N398" s="46"/>
      <c r="O398" s="46"/>
      <c r="P398" s="46"/>
      <c r="R398" s="15">
        <v>1.54E-2</v>
      </c>
      <c r="S398" s="18">
        <f>(Tabela2[[#This Row],[FRETE]]+Tabela2[[#This Row],[DESPESAS]]+Tabela2[[#This Row],[IPI]]+Tabela2[[#This Row],[Vl. Produto]])*Tabela2[[#This Row],[Aliq.%]]</f>
        <v>0</v>
      </c>
    </row>
    <row r="399" spans="13:19" x14ac:dyDescent="0.25">
      <c r="M399" s="46"/>
      <c r="N399" s="46"/>
      <c r="O399" s="46"/>
      <c r="P399" s="46"/>
      <c r="R399" s="15">
        <v>1.54E-2</v>
      </c>
      <c r="S399" s="18">
        <f>(Tabela2[[#This Row],[FRETE]]+Tabela2[[#This Row],[DESPESAS]]+Tabela2[[#This Row],[IPI]]+Tabela2[[#This Row],[Vl. Produto]])*Tabela2[[#This Row],[Aliq.%]]</f>
        <v>0</v>
      </c>
    </row>
    <row r="400" spans="13:19" x14ac:dyDescent="0.25">
      <c r="M400" s="46"/>
      <c r="N400" s="46"/>
      <c r="O400" s="46"/>
      <c r="P400" s="46"/>
      <c r="R400" s="15">
        <v>1.54E-2</v>
      </c>
      <c r="S400" s="18">
        <f>(Tabela2[[#This Row],[FRETE]]+Tabela2[[#This Row],[DESPESAS]]+Tabela2[[#This Row],[IPI]]+Tabela2[[#This Row],[Vl. Produto]])*Tabela2[[#This Row],[Aliq.%]]</f>
        <v>0</v>
      </c>
    </row>
    <row r="401" spans="13:19" x14ac:dyDescent="0.25">
      <c r="M401" s="46"/>
      <c r="N401" s="46"/>
      <c r="O401" s="46"/>
      <c r="P401" s="46"/>
      <c r="R401" s="15">
        <v>1.54E-2</v>
      </c>
      <c r="S401" s="18">
        <f>(Tabela2[[#This Row],[FRETE]]+Tabela2[[#This Row],[DESPESAS]]+Tabela2[[#This Row],[IPI]]+Tabela2[[#This Row],[Vl. Produto]])*Tabela2[[#This Row],[Aliq.%]]</f>
        <v>0</v>
      </c>
    </row>
    <row r="402" spans="13:19" x14ac:dyDescent="0.25">
      <c r="M402" s="46"/>
      <c r="N402" s="46"/>
      <c r="O402" s="46"/>
      <c r="P402" s="46"/>
      <c r="R402" s="15">
        <v>1.54E-2</v>
      </c>
      <c r="S402" s="18">
        <f>(Tabela2[[#This Row],[FRETE]]+Tabela2[[#This Row],[DESPESAS]]+Tabela2[[#This Row],[IPI]]+Tabela2[[#This Row],[Vl. Produto]])*Tabela2[[#This Row],[Aliq.%]]</f>
        <v>0</v>
      </c>
    </row>
    <row r="403" spans="13:19" x14ac:dyDescent="0.25">
      <c r="M403" s="46"/>
      <c r="N403" s="46"/>
      <c r="O403" s="46"/>
      <c r="P403" s="46"/>
      <c r="R403" s="15">
        <v>1.54E-2</v>
      </c>
      <c r="S403" s="18">
        <f>(Tabela2[[#This Row],[FRETE]]+Tabela2[[#This Row],[DESPESAS]]+Tabela2[[#This Row],[IPI]]+Tabela2[[#This Row],[Vl. Produto]])*Tabela2[[#This Row],[Aliq.%]]</f>
        <v>0</v>
      </c>
    </row>
    <row r="404" spans="13:19" x14ac:dyDescent="0.25">
      <c r="M404" s="46"/>
      <c r="N404" s="46"/>
      <c r="O404" s="46"/>
      <c r="P404" s="46"/>
      <c r="R404" s="15">
        <v>1.54E-2</v>
      </c>
      <c r="S404" s="18">
        <f>(Tabela2[[#This Row],[FRETE]]+Tabela2[[#This Row],[DESPESAS]]+Tabela2[[#This Row],[IPI]]+Tabela2[[#This Row],[Vl. Produto]])*Tabela2[[#This Row],[Aliq.%]]</f>
        <v>0</v>
      </c>
    </row>
    <row r="405" spans="13:19" x14ac:dyDescent="0.25">
      <c r="M405" s="46"/>
      <c r="N405" s="46"/>
      <c r="O405" s="46"/>
      <c r="P405" s="46"/>
      <c r="R405" s="15">
        <v>1.54E-2</v>
      </c>
      <c r="S405" s="18">
        <f>(Tabela2[[#This Row],[FRETE]]+Tabela2[[#This Row],[DESPESAS]]+Tabela2[[#This Row],[IPI]]+Tabela2[[#This Row],[Vl. Produto]])*Tabela2[[#This Row],[Aliq.%]]</f>
        <v>0</v>
      </c>
    </row>
    <row r="406" spans="13:19" x14ac:dyDescent="0.25">
      <c r="M406" s="46"/>
      <c r="N406" s="46"/>
      <c r="O406" s="46"/>
      <c r="P406" s="46"/>
      <c r="R406" s="15">
        <v>1.54E-2</v>
      </c>
      <c r="S406" s="18">
        <f>(Tabela2[[#This Row],[FRETE]]+Tabela2[[#This Row],[DESPESAS]]+Tabela2[[#This Row],[IPI]]+Tabela2[[#This Row],[Vl. Produto]])*Tabela2[[#This Row],[Aliq.%]]</f>
        <v>0</v>
      </c>
    </row>
    <row r="407" spans="13:19" x14ac:dyDescent="0.25">
      <c r="M407" s="46"/>
      <c r="N407" s="46"/>
      <c r="O407" s="46"/>
      <c r="P407" s="46"/>
      <c r="R407" s="15">
        <v>1.54E-2</v>
      </c>
      <c r="S407" s="18">
        <f>(Tabela2[[#This Row],[FRETE]]+Tabela2[[#This Row],[DESPESAS]]+Tabela2[[#This Row],[IPI]]+Tabela2[[#This Row],[Vl. Produto]])*Tabela2[[#This Row],[Aliq.%]]</f>
        <v>0</v>
      </c>
    </row>
    <row r="408" spans="13:19" x14ac:dyDescent="0.25">
      <c r="M408" s="46"/>
      <c r="N408" s="46"/>
      <c r="O408" s="46"/>
      <c r="P408" s="46"/>
      <c r="R408" s="15">
        <v>1.54E-2</v>
      </c>
      <c r="S408" s="18">
        <f>(Tabela2[[#This Row],[FRETE]]+Tabela2[[#This Row],[DESPESAS]]+Tabela2[[#This Row],[IPI]]+Tabela2[[#This Row],[Vl. Produto]])*Tabela2[[#This Row],[Aliq.%]]</f>
        <v>0</v>
      </c>
    </row>
    <row r="409" spans="13:19" x14ac:dyDescent="0.25">
      <c r="M409" s="46"/>
      <c r="N409" s="46"/>
      <c r="O409" s="46"/>
      <c r="P409" s="46"/>
      <c r="R409" s="15">
        <v>1.54E-2</v>
      </c>
      <c r="S409" s="18">
        <f>(Tabela2[[#This Row],[FRETE]]+Tabela2[[#This Row],[DESPESAS]]+Tabela2[[#This Row],[IPI]]+Tabela2[[#This Row],[Vl. Produto]])*Tabela2[[#This Row],[Aliq.%]]</f>
        <v>0</v>
      </c>
    </row>
    <row r="410" spans="13:19" x14ac:dyDescent="0.25">
      <c r="M410" s="46"/>
      <c r="N410" s="46"/>
      <c r="O410" s="46"/>
      <c r="P410" s="46"/>
      <c r="R410" s="15">
        <v>1.54E-2</v>
      </c>
      <c r="S410" s="18">
        <f>(Tabela2[[#This Row],[FRETE]]+Tabela2[[#This Row],[DESPESAS]]+Tabela2[[#This Row],[IPI]]+Tabela2[[#This Row],[Vl. Produto]])*Tabela2[[#This Row],[Aliq.%]]</f>
        <v>0</v>
      </c>
    </row>
    <row r="411" spans="13:19" x14ac:dyDescent="0.25">
      <c r="M411" s="46"/>
      <c r="N411" s="46"/>
      <c r="O411" s="46"/>
      <c r="P411" s="46"/>
      <c r="R411" s="15">
        <v>1.54E-2</v>
      </c>
      <c r="S411" s="18">
        <f>(Tabela2[[#This Row],[FRETE]]+Tabela2[[#This Row],[DESPESAS]]+Tabela2[[#This Row],[IPI]]+Tabela2[[#This Row],[Vl. Produto]])*Tabela2[[#This Row],[Aliq.%]]</f>
        <v>0</v>
      </c>
    </row>
    <row r="412" spans="13:19" x14ac:dyDescent="0.25">
      <c r="M412" s="46"/>
      <c r="N412" s="46"/>
      <c r="O412" s="46"/>
      <c r="P412" s="46"/>
      <c r="R412" s="15">
        <v>1.54E-2</v>
      </c>
      <c r="S412" s="18">
        <f>(Tabela2[[#This Row],[FRETE]]+Tabela2[[#This Row],[DESPESAS]]+Tabela2[[#This Row],[IPI]]+Tabela2[[#This Row],[Vl. Produto]])*Tabela2[[#This Row],[Aliq.%]]</f>
        <v>0</v>
      </c>
    </row>
    <row r="413" spans="13:19" x14ac:dyDescent="0.25">
      <c r="M413" s="46"/>
      <c r="N413" s="46"/>
      <c r="O413" s="46"/>
      <c r="P413" s="46"/>
      <c r="R413" s="15">
        <v>1.54E-2</v>
      </c>
      <c r="S413" s="18">
        <f>(Tabela2[[#This Row],[FRETE]]+Tabela2[[#This Row],[DESPESAS]]+Tabela2[[#This Row],[IPI]]+Tabela2[[#This Row],[Vl. Produto]])*Tabela2[[#This Row],[Aliq.%]]</f>
        <v>0</v>
      </c>
    </row>
    <row r="414" spans="13:19" x14ac:dyDescent="0.25">
      <c r="M414" s="46"/>
      <c r="N414" s="46"/>
      <c r="O414" s="46"/>
      <c r="P414" s="46"/>
      <c r="R414" s="15">
        <v>1.54E-2</v>
      </c>
      <c r="S414" s="18">
        <f>(Tabela2[[#This Row],[FRETE]]+Tabela2[[#This Row],[DESPESAS]]+Tabela2[[#This Row],[IPI]]+Tabela2[[#This Row],[Vl. Produto]])*Tabela2[[#This Row],[Aliq.%]]</f>
        <v>0</v>
      </c>
    </row>
    <row r="415" spans="13:19" x14ac:dyDescent="0.25">
      <c r="M415" s="46"/>
      <c r="N415" s="46"/>
      <c r="O415" s="46"/>
      <c r="P415" s="46"/>
      <c r="R415" s="15">
        <v>1.54E-2</v>
      </c>
      <c r="S415" s="18">
        <f>(Tabela2[[#This Row],[FRETE]]+Tabela2[[#This Row],[DESPESAS]]+Tabela2[[#This Row],[IPI]]+Tabela2[[#This Row],[Vl. Produto]])*Tabela2[[#This Row],[Aliq.%]]</f>
        <v>0</v>
      </c>
    </row>
    <row r="416" spans="13:19" x14ac:dyDescent="0.25">
      <c r="M416" s="46"/>
      <c r="N416" s="46"/>
      <c r="O416" s="46"/>
      <c r="P416" s="46"/>
      <c r="R416" s="15">
        <v>1.54E-2</v>
      </c>
      <c r="S416" s="18">
        <f>(Tabela2[[#This Row],[FRETE]]+Tabela2[[#This Row],[DESPESAS]]+Tabela2[[#This Row],[IPI]]+Tabela2[[#This Row],[Vl. Produto]])*Tabela2[[#This Row],[Aliq.%]]</f>
        <v>0</v>
      </c>
    </row>
    <row r="417" spans="13:19" x14ac:dyDescent="0.25">
      <c r="M417" s="46"/>
      <c r="N417" s="46"/>
      <c r="O417" s="46"/>
      <c r="P417" s="46"/>
      <c r="R417" s="15">
        <v>1.54E-2</v>
      </c>
      <c r="S417" s="18">
        <f>(Tabela2[[#This Row],[FRETE]]+Tabela2[[#This Row],[DESPESAS]]+Tabela2[[#This Row],[IPI]]+Tabela2[[#This Row],[Vl. Produto]])*Tabela2[[#This Row],[Aliq.%]]</f>
        <v>0</v>
      </c>
    </row>
    <row r="418" spans="13:19" x14ac:dyDescent="0.25">
      <c r="M418" s="46"/>
      <c r="N418" s="46"/>
      <c r="O418" s="46"/>
      <c r="P418" s="46"/>
      <c r="R418" s="15">
        <v>1.54E-2</v>
      </c>
      <c r="S418" s="18">
        <f>(Tabela2[[#This Row],[FRETE]]+Tabela2[[#This Row],[DESPESAS]]+Tabela2[[#This Row],[IPI]]+Tabela2[[#This Row],[Vl. Produto]])*Tabela2[[#This Row],[Aliq.%]]</f>
        <v>0</v>
      </c>
    </row>
    <row r="419" spans="13:19" x14ac:dyDescent="0.25">
      <c r="M419" s="46"/>
      <c r="N419" s="46"/>
      <c r="O419" s="46"/>
      <c r="P419" s="46"/>
      <c r="R419" s="15">
        <v>1.54E-2</v>
      </c>
      <c r="S419" s="18">
        <f>(Tabela2[[#This Row],[FRETE]]+Tabela2[[#This Row],[DESPESAS]]+Tabela2[[#This Row],[IPI]]+Tabela2[[#This Row],[Vl. Produto]])*Tabela2[[#This Row],[Aliq.%]]</f>
        <v>0</v>
      </c>
    </row>
    <row r="420" spans="13:19" x14ac:dyDescent="0.25">
      <c r="M420" s="46"/>
      <c r="N420" s="46"/>
      <c r="O420" s="46"/>
      <c r="P420" s="46"/>
      <c r="R420" s="15">
        <v>1.54E-2</v>
      </c>
      <c r="S420" s="18">
        <f>(Tabela2[[#This Row],[FRETE]]+Tabela2[[#This Row],[DESPESAS]]+Tabela2[[#This Row],[IPI]]+Tabela2[[#This Row],[Vl. Produto]])*Tabela2[[#This Row],[Aliq.%]]</f>
        <v>0</v>
      </c>
    </row>
    <row r="421" spans="13:19" x14ac:dyDescent="0.25">
      <c r="M421" s="46"/>
      <c r="N421" s="46"/>
      <c r="O421" s="46"/>
      <c r="P421" s="46"/>
      <c r="R421" s="15">
        <v>1.54E-2</v>
      </c>
      <c r="S421" s="18">
        <f>(Tabela2[[#This Row],[FRETE]]+Tabela2[[#This Row],[DESPESAS]]+Tabela2[[#This Row],[IPI]]+Tabela2[[#This Row],[Vl. Produto]])*Tabela2[[#This Row],[Aliq.%]]</f>
        <v>0</v>
      </c>
    </row>
    <row r="422" spans="13:19" x14ac:dyDescent="0.25">
      <c r="M422" s="46"/>
      <c r="N422" s="46"/>
      <c r="O422" s="46"/>
      <c r="P422" s="46"/>
      <c r="R422" s="15">
        <v>1.54E-2</v>
      </c>
      <c r="S422" s="18">
        <f>(Tabela2[[#This Row],[FRETE]]+Tabela2[[#This Row],[DESPESAS]]+Tabela2[[#This Row],[IPI]]+Tabela2[[#This Row],[Vl. Produto]])*Tabela2[[#This Row],[Aliq.%]]</f>
        <v>0</v>
      </c>
    </row>
    <row r="423" spans="13:19" x14ac:dyDescent="0.25">
      <c r="M423" s="46"/>
      <c r="N423" s="46"/>
      <c r="O423" s="46"/>
      <c r="P423" s="46"/>
      <c r="R423" s="15">
        <v>1.54E-2</v>
      </c>
      <c r="S423" s="18">
        <f>(Tabela2[[#This Row],[FRETE]]+Tabela2[[#This Row],[DESPESAS]]+Tabela2[[#This Row],[IPI]]+Tabela2[[#This Row],[Vl. Produto]])*Tabela2[[#This Row],[Aliq.%]]</f>
        <v>0</v>
      </c>
    </row>
    <row r="424" spans="13:19" x14ac:dyDescent="0.25">
      <c r="M424" s="46"/>
      <c r="N424" s="46"/>
      <c r="O424" s="46"/>
      <c r="P424" s="46"/>
      <c r="R424" s="15">
        <v>1.54E-2</v>
      </c>
      <c r="S424" s="18">
        <f>(Tabela2[[#This Row],[FRETE]]+Tabela2[[#This Row],[DESPESAS]]+Tabela2[[#This Row],[IPI]]+Tabela2[[#This Row],[Vl. Produto]])*Tabela2[[#This Row],[Aliq.%]]</f>
        <v>0</v>
      </c>
    </row>
    <row r="425" spans="13:19" x14ac:dyDescent="0.25">
      <c r="M425" s="46"/>
      <c r="N425" s="46"/>
      <c r="O425" s="46"/>
      <c r="P425" s="46"/>
      <c r="R425" s="15">
        <v>1.54E-2</v>
      </c>
      <c r="S425" s="18">
        <f>(Tabela2[[#This Row],[FRETE]]+Tabela2[[#This Row],[DESPESAS]]+Tabela2[[#This Row],[IPI]]+Tabela2[[#This Row],[Vl. Produto]])*Tabela2[[#This Row],[Aliq.%]]</f>
        <v>0</v>
      </c>
    </row>
    <row r="426" spans="13:19" x14ac:dyDescent="0.25">
      <c r="M426" s="46"/>
      <c r="N426" s="46"/>
      <c r="O426" s="46"/>
      <c r="P426" s="46"/>
      <c r="R426" s="15">
        <v>1.54E-2</v>
      </c>
      <c r="S426" s="18">
        <f>(Tabela2[[#This Row],[FRETE]]+Tabela2[[#This Row],[DESPESAS]]+Tabela2[[#This Row],[IPI]]+Tabela2[[#This Row],[Vl. Produto]])*Tabela2[[#This Row],[Aliq.%]]</f>
        <v>0</v>
      </c>
    </row>
    <row r="427" spans="13:19" x14ac:dyDescent="0.25">
      <c r="M427" s="46"/>
      <c r="N427" s="46"/>
      <c r="O427" s="46"/>
      <c r="P427" s="46"/>
      <c r="R427" s="15">
        <v>1.54E-2</v>
      </c>
      <c r="S427" s="18">
        <f>(Tabela2[[#This Row],[FRETE]]+Tabela2[[#This Row],[DESPESAS]]+Tabela2[[#This Row],[IPI]]+Tabela2[[#This Row],[Vl. Produto]])*Tabela2[[#This Row],[Aliq.%]]</f>
        <v>0</v>
      </c>
    </row>
    <row r="428" spans="13:19" x14ac:dyDescent="0.25">
      <c r="M428" s="46"/>
      <c r="N428" s="46"/>
      <c r="O428" s="46"/>
      <c r="P428" s="46"/>
      <c r="R428" s="15">
        <v>1.54E-2</v>
      </c>
      <c r="S428" s="18">
        <f>(Tabela2[[#This Row],[FRETE]]+Tabela2[[#This Row],[DESPESAS]]+Tabela2[[#This Row],[IPI]]+Tabela2[[#This Row],[Vl. Produto]])*Tabela2[[#This Row],[Aliq.%]]</f>
        <v>0</v>
      </c>
    </row>
    <row r="429" spans="13:19" x14ac:dyDescent="0.25">
      <c r="M429" s="46"/>
      <c r="N429" s="46"/>
      <c r="O429" s="46"/>
      <c r="P429" s="46"/>
      <c r="R429" s="15">
        <v>1.54E-2</v>
      </c>
      <c r="S429" s="18">
        <f>(Tabela2[[#This Row],[FRETE]]+Tabela2[[#This Row],[DESPESAS]]+Tabela2[[#This Row],[IPI]]+Tabela2[[#This Row],[Vl. Produto]])*Tabela2[[#This Row],[Aliq.%]]</f>
        <v>0</v>
      </c>
    </row>
    <row r="430" spans="13:19" x14ac:dyDescent="0.25">
      <c r="M430" s="46"/>
      <c r="N430" s="46"/>
      <c r="O430" s="46"/>
      <c r="P430" s="46"/>
      <c r="R430" s="15">
        <v>1.54E-2</v>
      </c>
      <c r="S430" s="18">
        <f>(Tabela2[[#This Row],[FRETE]]+Tabela2[[#This Row],[DESPESAS]]+Tabela2[[#This Row],[IPI]]+Tabela2[[#This Row],[Vl. Produto]])*Tabela2[[#This Row],[Aliq.%]]</f>
        <v>0</v>
      </c>
    </row>
    <row r="431" spans="13:19" x14ac:dyDescent="0.25">
      <c r="M431" s="46"/>
      <c r="N431" s="46"/>
      <c r="O431" s="46"/>
      <c r="P431" s="46"/>
      <c r="R431" s="15">
        <v>1.54E-2</v>
      </c>
      <c r="S431" s="18">
        <f>(Tabela2[[#This Row],[FRETE]]+Tabela2[[#This Row],[DESPESAS]]+Tabela2[[#This Row],[IPI]]+Tabela2[[#This Row],[Vl. Produto]])*Tabela2[[#This Row],[Aliq.%]]</f>
        <v>0</v>
      </c>
    </row>
    <row r="432" spans="13:19" x14ac:dyDescent="0.25">
      <c r="M432" s="46"/>
      <c r="N432" s="46"/>
      <c r="O432" s="46"/>
      <c r="P432" s="46"/>
      <c r="R432" s="15">
        <v>1.54E-2</v>
      </c>
      <c r="S432" s="18">
        <f>(Tabela2[[#This Row],[FRETE]]+Tabela2[[#This Row],[DESPESAS]]+Tabela2[[#This Row],[IPI]]+Tabela2[[#This Row],[Vl. Produto]])*Tabela2[[#This Row],[Aliq.%]]</f>
        <v>0</v>
      </c>
    </row>
    <row r="433" spans="13:19" x14ac:dyDescent="0.25">
      <c r="M433" s="46"/>
      <c r="N433" s="46"/>
      <c r="O433" s="46"/>
      <c r="P433" s="46"/>
      <c r="R433" s="15">
        <v>1.54E-2</v>
      </c>
      <c r="S433" s="18">
        <f>(Tabela2[[#This Row],[FRETE]]+Tabela2[[#This Row],[DESPESAS]]+Tabela2[[#This Row],[IPI]]+Tabela2[[#This Row],[Vl. Produto]])*Tabela2[[#This Row],[Aliq.%]]</f>
        <v>0</v>
      </c>
    </row>
    <row r="434" spans="13:19" x14ac:dyDescent="0.25">
      <c r="M434" s="46"/>
      <c r="N434" s="46"/>
      <c r="O434" s="46"/>
      <c r="P434" s="46"/>
      <c r="R434" s="15">
        <v>1.54E-2</v>
      </c>
      <c r="S434" s="18">
        <f>(Tabela2[[#This Row],[FRETE]]+Tabela2[[#This Row],[DESPESAS]]+Tabela2[[#This Row],[IPI]]+Tabela2[[#This Row],[Vl. Produto]])*Tabela2[[#This Row],[Aliq.%]]</f>
        <v>0</v>
      </c>
    </row>
    <row r="435" spans="13:19" x14ac:dyDescent="0.25">
      <c r="M435" s="46"/>
      <c r="N435" s="46"/>
      <c r="O435" s="46"/>
      <c r="P435" s="46"/>
      <c r="R435" s="15">
        <v>1.54E-2</v>
      </c>
      <c r="S435" s="18">
        <f>(Tabela2[[#This Row],[FRETE]]+Tabela2[[#This Row],[DESPESAS]]+Tabela2[[#This Row],[IPI]]+Tabela2[[#This Row],[Vl. Produto]])*Tabela2[[#This Row],[Aliq.%]]</f>
        <v>0</v>
      </c>
    </row>
    <row r="436" spans="13:19" x14ac:dyDescent="0.25">
      <c r="M436" s="46"/>
      <c r="N436" s="46"/>
      <c r="O436" s="46"/>
      <c r="P436" s="46"/>
      <c r="R436" s="15">
        <v>1.54E-2</v>
      </c>
      <c r="S436" s="18">
        <f>(Tabela2[[#This Row],[FRETE]]+Tabela2[[#This Row],[DESPESAS]]+Tabela2[[#This Row],[IPI]]+Tabela2[[#This Row],[Vl. Produto]])*Tabela2[[#This Row],[Aliq.%]]</f>
        <v>0</v>
      </c>
    </row>
    <row r="437" spans="13:19" x14ac:dyDescent="0.25">
      <c r="M437" s="46"/>
      <c r="N437" s="46"/>
      <c r="O437" s="46"/>
      <c r="P437" s="46"/>
      <c r="R437" s="15">
        <v>1.54E-2</v>
      </c>
      <c r="S437" s="18">
        <f>(Tabela2[[#This Row],[FRETE]]+Tabela2[[#This Row],[DESPESAS]]+Tabela2[[#This Row],[IPI]]+Tabela2[[#This Row],[Vl. Produto]])*Tabela2[[#This Row],[Aliq.%]]</f>
        <v>0</v>
      </c>
    </row>
    <row r="438" spans="13:19" x14ac:dyDescent="0.25">
      <c r="M438" s="46"/>
      <c r="N438" s="46"/>
      <c r="O438" s="46"/>
      <c r="P438" s="46"/>
      <c r="R438" s="15">
        <v>1.54E-2</v>
      </c>
      <c r="S438" s="18">
        <f>(Tabela2[[#This Row],[FRETE]]+Tabela2[[#This Row],[DESPESAS]]+Tabela2[[#This Row],[IPI]]+Tabela2[[#This Row],[Vl. Produto]])*Tabela2[[#This Row],[Aliq.%]]</f>
        <v>0</v>
      </c>
    </row>
    <row r="439" spans="13:19" x14ac:dyDescent="0.25">
      <c r="M439" s="46"/>
      <c r="N439" s="46"/>
      <c r="O439" s="46"/>
      <c r="P439" s="46"/>
      <c r="R439" s="15">
        <v>1.54E-2</v>
      </c>
      <c r="S439" s="18">
        <f>(Tabela2[[#This Row],[FRETE]]+Tabela2[[#This Row],[DESPESAS]]+Tabela2[[#This Row],[IPI]]+Tabela2[[#This Row],[Vl. Produto]])*Tabela2[[#This Row],[Aliq.%]]</f>
        <v>0</v>
      </c>
    </row>
    <row r="440" spans="13:19" x14ac:dyDescent="0.25">
      <c r="M440" s="46"/>
      <c r="N440" s="46"/>
      <c r="O440" s="46"/>
      <c r="P440" s="46"/>
      <c r="R440" s="15">
        <v>1.54E-2</v>
      </c>
      <c r="S440" s="18">
        <f>(Tabela2[[#This Row],[FRETE]]+Tabela2[[#This Row],[DESPESAS]]+Tabela2[[#This Row],[IPI]]+Tabela2[[#This Row],[Vl. Produto]])*Tabela2[[#This Row],[Aliq.%]]</f>
        <v>0</v>
      </c>
    </row>
    <row r="441" spans="13:19" x14ac:dyDescent="0.25">
      <c r="M441" s="46"/>
      <c r="N441" s="46"/>
      <c r="O441" s="46"/>
      <c r="P441" s="46"/>
      <c r="R441" s="15">
        <v>1.54E-2</v>
      </c>
      <c r="S441" s="18">
        <f>(Tabela2[[#This Row],[FRETE]]+Tabela2[[#This Row],[DESPESAS]]+Tabela2[[#This Row],[IPI]]+Tabela2[[#This Row],[Vl. Produto]])*Tabela2[[#This Row],[Aliq.%]]</f>
        <v>0</v>
      </c>
    </row>
    <row r="442" spans="13:19" x14ac:dyDescent="0.25">
      <c r="M442" s="46"/>
      <c r="N442" s="46"/>
      <c r="O442" s="46"/>
      <c r="P442" s="46"/>
      <c r="R442" s="15">
        <v>1.54E-2</v>
      </c>
      <c r="S442" s="18">
        <f>(Tabela2[[#This Row],[FRETE]]+Tabela2[[#This Row],[DESPESAS]]+Tabela2[[#This Row],[IPI]]+Tabela2[[#This Row],[Vl. Produto]])*Tabela2[[#This Row],[Aliq.%]]</f>
        <v>0</v>
      </c>
    </row>
    <row r="443" spans="13:19" x14ac:dyDescent="0.25">
      <c r="M443" s="46"/>
      <c r="N443" s="46"/>
      <c r="O443" s="46"/>
      <c r="P443" s="46"/>
      <c r="R443" s="15">
        <v>1.54E-2</v>
      </c>
      <c r="S443" s="18">
        <f>(Tabela2[[#This Row],[FRETE]]+Tabela2[[#This Row],[DESPESAS]]+Tabela2[[#This Row],[IPI]]+Tabela2[[#This Row],[Vl. Produto]])*Tabela2[[#This Row],[Aliq.%]]</f>
        <v>0</v>
      </c>
    </row>
    <row r="444" spans="13:19" x14ac:dyDescent="0.25">
      <c r="M444" s="46"/>
      <c r="N444" s="46"/>
      <c r="O444" s="46"/>
      <c r="P444" s="46"/>
      <c r="R444" s="15">
        <v>1.54E-2</v>
      </c>
      <c r="S444" s="18">
        <f>(Tabela2[[#This Row],[FRETE]]+Tabela2[[#This Row],[DESPESAS]]+Tabela2[[#This Row],[IPI]]+Tabela2[[#This Row],[Vl. Produto]])*Tabela2[[#This Row],[Aliq.%]]</f>
        <v>0</v>
      </c>
    </row>
    <row r="445" spans="13:19" x14ac:dyDescent="0.25">
      <c r="M445" s="46"/>
      <c r="N445" s="46"/>
      <c r="O445" s="46"/>
      <c r="P445" s="46"/>
      <c r="R445" s="15">
        <v>1.54E-2</v>
      </c>
      <c r="S445" s="18">
        <f>(Tabela2[[#This Row],[FRETE]]+Tabela2[[#This Row],[DESPESAS]]+Tabela2[[#This Row],[IPI]]+Tabela2[[#This Row],[Vl. Produto]])*Tabela2[[#This Row],[Aliq.%]]</f>
        <v>0</v>
      </c>
    </row>
    <row r="446" spans="13:19" x14ac:dyDescent="0.25">
      <c r="M446" s="46"/>
      <c r="N446" s="46"/>
      <c r="O446" s="46"/>
      <c r="P446" s="46"/>
      <c r="R446" s="15">
        <v>1.54E-2</v>
      </c>
      <c r="S446" s="18">
        <f>(Tabela2[[#This Row],[FRETE]]+Tabela2[[#This Row],[DESPESAS]]+Tabela2[[#This Row],[IPI]]+Tabela2[[#This Row],[Vl. Produto]])*Tabela2[[#This Row],[Aliq.%]]</f>
        <v>0</v>
      </c>
    </row>
    <row r="447" spans="13:19" x14ac:dyDescent="0.25">
      <c r="M447" s="46"/>
      <c r="N447" s="46"/>
      <c r="O447" s="46"/>
      <c r="P447" s="46"/>
      <c r="R447" s="15">
        <v>1.54E-2</v>
      </c>
      <c r="S447" s="18">
        <f>(Tabela2[[#This Row],[FRETE]]+Tabela2[[#This Row],[DESPESAS]]+Tabela2[[#This Row],[IPI]]+Tabela2[[#This Row],[Vl. Produto]])*Tabela2[[#This Row],[Aliq.%]]</f>
        <v>0</v>
      </c>
    </row>
    <row r="448" spans="13:19" x14ac:dyDescent="0.25">
      <c r="M448" s="46"/>
      <c r="N448" s="46"/>
      <c r="O448" s="46"/>
      <c r="P448" s="46"/>
      <c r="R448" s="15">
        <v>1.54E-2</v>
      </c>
      <c r="S448" s="18">
        <f>(Tabela2[[#This Row],[FRETE]]+Tabela2[[#This Row],[DESPESAS]]+Tabela2[[#This Row],[IPI]]+Tabela2[[#This Row],[Vl. Produto]])*Tabela2[[#This Row],[Aliq.%]]</f>
        <v>0</v>
      </c>
    </row>
    <row r="449" spans="13:19" x14ac:dyDescent="0.25">
      <c r="M449" s="46"/>
      <c r="N449" s="46"/>
      <c r="O449" s="46"/>
      <c r="P449" s="46"/>
      <c r="R449" s="15">
        <v>1.54E-2</v>
      </c>
      <c r="S449" s="18">
        <f>(Tabela2[[#This Row],[FRETE]]+Tabela2[[#This Row],[DESPESAS]]+Tabela2[[#This Row],[IPI]]+Tabela2[[#This Row],[Vl. Produto]])*Tabela2[[#This Row],[Aliq.%]]</f>
        <v>0</v>
      </c>
    </row>
    <row r="450" spans="13:19" x14ac:dyDescent="0.25">
      <c r="M450" s="46"/>
      <c r="N450" s="46"/>
      <c r="O450" s="46"/>
      <c r="P450" s="46"/>
      <c r="R450" s="15">
        <v>1.54E-2</v>
      </c>
      <c r="S450" s="18">
        <f>(Tabela2[[#This Row],[FRETE]]+Tabela2[[#This Row],[DESPESAS]]+Tabela2[[#This Row],[IPI]]+Tabela2[[#This Row],[Vl. Produto]])*Tabela2[[#This Row],[Aliq.%]]</f>
        <v>0</v>
      </c>
    </row>
    <row r="451" spans="13:19" x14ac:dyDescent="0.25">
      <c r="M451" s="46"/>
      <c r="N451" s="46"/>
      <c r="O451" s="46"/>
      <c r="P451" s="46"/>
      <c r="R451" s="15">
        <v>1.54E-2</v>
      </c>
      <c r="S451" s="18">
        <f>(Tabela2[[#This Row],[FRETE]]+Tabela2[[#This Row],[DESPESAS]]+Tabela2[[#This Row],[IPI]]+Tabela2[[#This Row],[Vl. Produto]])*Tabela2[[#This Row],[Aliq.%]]</f>
        <v>0</v>
      </c>
    </row>
    <row r="452" spans="13:19" x14ac:dyDescent="0.25">
      <c r="M452" s="46"/>
      <c r="N452" s="46"/>
      <c r="O452" s="46"/>
      <c r="P452" s="46"/>
      <c r="R452" s="15">
        <v>1.54E-2</v>
      </c>
      <c r="S452" s="18">
        <f>(Tabela2[[#This Row],[FRETE]]+Tabela2[[#This Row],[DESPESAS]]+Tabela2[[#This Row],[IPI]]+Tabela2[[#This Row],[Vl. Produto]])*Tabela2[[#This Row],[Aliq.%]]</f>
        <v>0</v>
      </c>
    </row>
    <row r="453" spans="13:19" x14ac:dyDescent="0.25">
      <c r="M453" s="46"/>
      <c r="N453" s="46"/>
      <c r="O453" s="46"/>
      <c r="P453" s="46"/>
      <c r="R453" s="15">
        <v>1.54E-2</v>
      </c>
      <c r="S453" s="18">
        <f>(Tabela2[[#This Row],[FRETE]]+Tabela2[[#This Row],[DESPESAS]]+Tabela2[[#This Row],[IPI]]+Tabela2[[#This Row],[Vl. Produto]])*Tabela2[[#This Row],[Aliq.%]]</f>
        <v>0</v>
      </c>
    </row>
    <row r="454" spans="13:19" x14ac:dyDescent="0.25">
      <c r="M454" s="46"/>
      <c r="N454" s="46"/>
      <c r="O454" s="46"/>
      <c r="P454" s="46"/>
      <c r="R454" s="15">
        <v>1.54E-2</v>
      </c>
      <c r="S454" s="18">
        <f>(Tabela2[[#This Row],[FRETE]]+Tabela2[[#This Row],[DESPESAS]]+Tabela2[[#This Row],[IPI]]+Tabela2[[#This Row],[Vl. Produto]])*Tabela2[[#This Row],[Aliq.%]]</f>
        <v>0</v>
      </c>
    </row>
    <row r="455" spans="13:19" x14ac:dyDescent="0.25">
      <c r="M455" s="46"/>
      <c r="N455" s="46"/>
      <c r="O455" s="46"/>
      <c r="P455" s="46"/>
      <c r="R455" s="15">
        <v>1.54E-2</v>
      </c>
      <c r="S455" s="18">
        <f>(Tabela2[[#This Row],[FRETE]]+Tabela2[[#This Row],[DESPESAS]]+Tabela2[[#This Row],[IPI]]+Tabela2[[#This Row],[Vl. Produto]])*Tabela2[[#This Row],[Aliq.%]]</f>
        <v>0</v>
      </c>
    </row>
    <row r="456" spans="13:19" x14ac:dyDescent="0.25">
      <c r="M456" s="46"/>
      <c r="N456" s="46"/>
      <c r="O456" s="46"/>
      <c r="P456" s="46"/>
      <c r="R456" s="15">
        <v>1.54E-2</v>
      </c>
      <c r="S456" s="18">
        <f>(Tabela2[[#This Row],[FRETE]]+Tabela2[[#This Row],[DESPESAS]]+Tabela2[[#This Row],[IPI]]+Tabela2[[#This Row],[Vl. Produto]])*Tabela2[[#This Row],[Aliq.%]]</f>
        <v>0</v>
      </c>
    </row>
    <row r="457" spans="13:19" x14ac:dyDescent="0.25">
      <c r="M457" s="46"/>
      <c r="N457" s="46"/>
      <c r="O457" s="46"/>
      <c r="P457" s="46"/>
      <c r="R457" s="15">
        <v>1.54E-2</v>
      </c>
      <c r="S457" s="18">
        <f>(Tabela2[[#This Row],[FRETE]]+Tabela2[[#This Row],[DESPESAS]]+Tabela2[[#This Row],[IPI]]+Tabela2[[#This Row],[Vl. Produto]])*Tabela2[[#This Row],[Aliq.%]]</f>
        <v>0</v>
      </c>
    </row>
    <row r="458" spans="13:19" x14ac:dyDescent="0.25">
      <c r="M458" s="46"/>
      <c r="N458" s="46"/>
      <c r="O458" s="46"/>
      <c r="P458" s="46"/>
      <c r="R458" s="15">
        <v>1.54E-2</v>
      </c>
      <c r="S458" s="18">
        <f>(Tabela2[[#This Row],[FRETE]]+Tabela2[[#This Row],[DESPESAS]]+Tabela2[[#This Row],[IPI]]+Tabela2[[#This Row],[Vl. Produto]])*Tabela2[[#This Row],[Aliq.%]]</f>
        <v>0</v>
      </c>
    </row>
    <row r="459" spans="13:19" x14ac:dyDescent="0.25">
      <c r="M459" s="46"/>
      <c r="N459" s="46"/>
      <c r="O459" s="46"/>
      <c r="P459" s="46"/>
      <c r="R459" s="15">
        <v>1.54E-2</v>
      </c>
      <c r="S459" s="18">
        <f>(Tabela2[[#This Row],[FRETE]]+Tabela2[[#This Row],[DESPESAS]]+Tabela2[[#This Row],[IPI]]+Tabela2[[#This Row],[Vl. Produto]])*Tabela2[[#This Row],[Aliq.%]]</f>
        <v>0</v>
      </c>
    </row>
    <row r="460" spans="13:19" x14ac:dyDescent="0.25">
      <c r="M460" s="46"/>
      <c r="N460" s="46"/>
      <c r="O460" s="46"/>
      <c r="P460" s="46"/>
      <c r="R460" s="15">
        <v>1.54E-2</v>
      </c>
      <c r="S460" s="18">
        <f>(Tabela2[[#This Row],[FRETE]]+Tabela2[[#This Row],[DESPESAS]]+Tabela2[[#This Row],[IPI]]+Tabela2[[#This Row],[Vl. Produto]])*Tabela2[[#This Row],[Aliq.%]]</f>
        <v>0</v>
      </c>
    </row>
    <row r="461" spans="13:19" x14ac:dyDescent="0.25">
      <c r="M461" s="46"/>
      <c r="N461" s="46"/>
      <c r="O461" s="46"/>
      <c r="P461" s="46"/>
      <c r="R461" s="15">
        <v>1.54E-2</v>
      </c>
      <c r="S461" s="18">
        <f>(Tabela2[[#This Row],[FRETE]]+Tabela2[[#This Row],[DESPESAS]]+Tabela2[[#This Row],[IPI]]+Tabela2[[#This Row],[Vl. Produto]])*Tabela2[[#This Row],[Aliq.%]]</f>
        <v>0</v>
      </c>
    </row>
    <row r="462" spans="13:19" x14ac:dyDescent="0.25">
      <c r="M462" s="46"/>
      <c r="N462" s="46"/>
      <c r="O462" s="46"/>
      <c r="P462" s="46"/>
      <c r="R462" s="15">
        <v>1.54E-2</v>
      </c>
      <c r="S462" s="18">
        <f>(Tabela2[[#This Row],[FRETE]]+Tabela2[[#This Row],[DESPESAS]]+Tabela2[[#This Row],[IPI]]+Tabela2[[#This Row],[Vl. Produto]])*Tabela2[[#This Row],[Aliq.%]]</f>
        <v>0</v>
      </c>
    </row>
    <row r="463" spans="13:19" x14ac:dyDescent="0.25">
      <c r="M463" s="46"/>
      <c r="N463" s="46"/>
      <c r="O463" s="46"/>
      <c r="P463" s="46"/>
      <c r="R463" s="15">
        <v>1.54E-2</v>
      </c>
      <c r="S463" s="18">
        <f>(Tabela2[[#This Row],[FRETE]]+Tabela2[[#This Row],[DESPESAS]]+Tabela2[[#This Row],[IPI]]+Tabela2[[#This Row],[Vl. Produto]])*Tabela2[[#This Row],[Aliq.%]]</f>
        <v>0</v>
      </c>
    </row>
    <row r="464" spans="13:19" x14ac:dyDescent="0.25">
      <c r="M464" s="46"/>
      <c r="N464" s="46"/>
      <c r="O464" s="46"/>
      <c r="P464" s="46"/>
      <c r="R464" s="15">
        <v>1.54E-2</v>
      </c>
      <c r="S464" s="18">
        <f>(Tabela2[[#This Row],[FRETE]]+Tabela2[[#This Row],[DESPESAS]]+Tabela2[[#This Row],[IPI]]+Tabela2[[#This Row],[Vl. Produto]])*Tabela2[[#This Row],[Aliq.%]]</f>
        <v>0</v>
      </c>
    </row>
    <row r="465" spans="13:19" x14ac:dyDescent="0.25">
      <c r="M465" s="46"/>
      <c r="N465" s="46"/>
      <c r="O465" s="46"/>
      <c r="P465" s="46"/>
      <c r="R465" s="15">
        <v>1.54E-2</v>
      </c>
      <c r="S465" s="18">
        <f>(Tabela2[[#This Row],[FRETE]]+Tabela2[[#This Row],[DESPESAS]]+Tabela2[[#This Row],[IPI]]+Tabela2[[#This Row],[Vl. Produto]])*Tabela2[[#This Row],[Aliq.%]]</f>
        <v>0</v>
      </c>
    </row>
    <row r="466" spans="13:19" x14ac:dyDescent="0.25">
      <c r="M466" s="46"/>
      <c r="N466" s="46"/>
      <c r="O466" s="46"/>
      <c r="P466" s="46"/>
      <c r="R466" s="15">
        <v>1.54E-2</v>
      </c>
      <c r="S466" s="18">
        <f>(Tabela2[[#This Row],[FRETE]]+Tabela2[[#This Row],[DESPESAS]]+Tabela2[[#This Row],[IPI]]+Tabela2[[#This Row],[Vl. Produto]])*Tabela2[[#This Row],[Aliq.%]]</f>
        <v>0</v>
      </c>
    </row>
    <row r="467" spans="13:19" x14ac:dyDescent="0.25">
      <c r="M467" s="46"/>
      <c r="N467" s="46"/>
      <c r="O467" s="46"/>
      <c r="P467" s="46"/>
      <c r="R467" s="15">
        <v>1.54E-2</v>
      </c>
      <c r="S467" s="18">
        <f>(Tabela2[[#This Row],[FRETE]]+Tabela2[[#This Row],[DESPESAS]]+Tabela2[[#This Row],[IPI]]+Tabela2[[#This Row],[Vl. Produto]])*Tabela2[[#This Row],[Aliq.%]]</f>
        <v>0</v>
      </c>
    </row>
    <row r="468" spans="13:19" x14ac:dyDescent="0.25">
      <c r="M468" s="46"/>
      <c r="N468" s="46"/>
      <c r="O468" s="46"/>
      <c r="P468" s="46"/>
      <c r="R468" s="15">
        <v>1.54E-2</v>
      </c>
      <c r="S468" s="18">
        <f>(Tabela2[[#This Row],[FRETE]]+Tabela2[[#This Row],[DESPESAS]]+Tabela2[[#This Row],[IPI]]+Tabela2[[#This Row],[Vl. Produto]])*Tabela2[[#This Row],[Aliq.%]]</f>
        <v>0</v>
      </c>
    </row>
    <row r="469" spans="13:19" x14ac:dyDescent="0.25">
      <c r="M469" s="46"/>
      <c r="N469" s="46"/>
      <c r="O469" s="46"/>
      <c r="P469" s="46"/>
      <c r="R469" s="15">
        <v>1.54E-2</v>
      </c>
      <c r="S469" s="18">
        <f>(Tabela2[[#This Row],[FRETE]]+Tabela2[[#This Row],[DESPESAS]]+Tabela2[[#This Row],[IPI]]+Tabela2[[#This Row],[Vl. Produto]])*Tabela2[[#This Row],[Aliq.%]]</f>
        <v>0</v>
      </c>
    </row>
    <row r="470" spans="13:19" x14ac:dyDescent="0.25">
      <c r="M470" s="46"/>
      <c r="N470" s="46"/>
      <c r="O470" s="46"/>
      <c r="P470" s="46"/>
      <c r="R470" s="15">
        <v>1.54E-2</v>
      </c>
      <c r="S470" s="18">
        <f>(Tabela2[[#This Row],[FRETE]]+Tabela2[[#This Row],[DESPESAS]]+Tabela2[[#This Row],[IPI]]+Tabela2[[#This Row],[Vl. Produto]])*Tabela2[[#This Row],[Aliq.%]]</f>
        <v>0</v>
      </c>
    </row>
    <row r="471" spans="13:19" x14ac:dyDescent="0.25">
      <c r="M471" s="46"/>
      <c r="N471" s="46"/>
      <c r="O471" s="46"/>
      <c r="P471" s="46"/>
      <c r="R471" s="15">
        <v>1.54E-2</v>
      </c>
      <c r="S471" s="18">
        <f>(Tabela2[[#This Row],[FRETE]]+Tabela2[[#This Row],[DESPESAS]]+Tabela2[[#This Row],[IPI]]+Tabela2[[#This Row],[Vl. Produto]])*Tabela2[[#This Row],[Aliq.%]]</f>
        <v>0</v>
      </c>
    </row>
    <row r="472" spans="13:19" x14ac:dyDescent="0.25">
      <c r="M472" s="46"/>
      <c r="N472" s="46"/>
      <c r="O472" s="46"/>
      <c r="P472" s="46"/>
      <c r="R472" s="15">
        <v>1.54E-2</v>
      </c>
      <c r="S472" s="18">
        <f>(Tabela2[[#This Row],[FRETE]]+Tabela2[[#This Row],[DESPESAS]]+Tabela2[[#This Row],[IPI]]+Tabela2[[#This Row],[Vl. Produto]])*Tabela2[[#This Row],[Aliq.%]]</f>
        <v>0</v>
      </c>
    </row>
    <row r="473" spans="13:19" x14ac:dyDescent="0.25">
      <c r="M473" s="46"/>
      <c r="N473" s="46"/>
      <c r="O473" s="46"/>
      <c r="P473" s="46"/>
      <c r="R473" s="15">
        <v>1.54E-2</v>
      </c>
      <c r="S473" s="18">
        <f>(Tabela2[[#This Row],[FRETE]]+Tabela2[[#This Row],[DESPESAS]]+Tabela2[[#This Row],[IPI]]+Tabela2[[#This Row],[Vl. Produto]])*Tabela2[[#This Row],[Aliq.%]]</f>
        <v>0</v>
      </c>
    </row>
    <row r="474" spans="13:19" x14ac:dyDescent="0.25">
      <c r="M474" s="46"/>
      <c r="N474" s="46"/>
      <c r="O474" s="46"/>
      <c r="P474" s="46"/>
      <c r="R474" s="15">
        <v>1.54E-2</v>
      </c>
      <c r="S474" s="18">
        <f>(Tabela2[[#This Row],[FRETE]]+Tabela2[[#This Row],[DESPESAS]]+Tabela2[[#This Row],[IPI]]+Tabela2[[#This Row],[Vl. Produto]])*Tabela2[[#This Row],[Aliq.%]]</f>
        <v>0</v>
      </c>
    </row>
    <row r="475" spans="13:19" x14ac:dyDescent="0.25">
      <c r="M475" s="46"/>
      <c r="N475" s="46"/>
      <c r="O475" s="46"/>
      <c r="P475" s="46"/>
      <c r="R475" s="15">
        <v>1.54E-2</v>
      </c>
      <c r="S475" s="18">
        <f>(Tabela2[[#This Row],[FRETE]]+Tabela2[[#This Row],[DESPESAS]]+Tabela2[[#This Row],[IPI]]+Tabela2[[#This Row],[Vl. Produto]])*Tabela2[[#This Row],[Aliq.%]]</f>
        <v>0</v>
      </c>
    </row>
    <row r="476" spans="13:19" x14ac:dyDescent="0.25">
      <c r="M476" s="46"/>
      <c r="N476" s="46"/>
      <c r="O476" s="46"/>
      <c r="P476" s="46"/>
      <c r="R476" s="15">
        <v>1.54E-2</v>
      </c>
      <c r="S476" s="18">
        <f>(Tabela2[[#This Row],[FRETE]]+Tabela2[[#This Row],[DESPESAS]]+Tabela2[[#This Row],[IPI]]+Tabela2[[#This Row],[Vl. Produto]])*Tabela2[[#This Row],[Aliq.%]]</f>
        <v>0</v>
      </c>
    </row>
    <row r="477" spans="13:19" x14ac:dyDescent="0.25">
      <c r="M477" s="46"/>
      <c r="N477" s="46"/>
      <c r="O477" s="46"/>
      <c r="P477" s="46"/>
      <c r="R477" s="15">
        <v>1.54E-2</v>
      </c>
      <c r="S477" s="18">
        <f>(Tabela2[[#This Row],[FRETE]]+Tabela2[[#This Row],[DESPESAS]]+Tabela2[[#This Row],[IPI]]+Tabela2[[#This Row],[Vl. Produto]])*Tabela2[[#This Row],[Aliq.%]]</f>
        <v>0</v>
      </c>
    </row>
    <row r="478" spans="13:19" x14ac:dyDescent="0.25">
      <c r="M478" s="46"/>
      <c r="N478" s="46"/>
      <c r="O478" s="46"/>
      <c r="P478" s="46"/>
      <c r="R478" s="15">
        <v>1.54E-2</v>
      </c>
      <c r="S478" s="18">
        <f>(Tabela2[[#This Row],[FRETE]]+Tabela2[[#This Row],[DESPESAS]]+Tabela2[[#This Row],[IPI]]+Tabela2[[#This Row],[Vl. Produto]])*Tabela2[[#This Row],[Aliq.%]]</f>
        <v>0</v>
      </c>
    </row>
    <row r="479" spans="13:19" x14ac:dyDescent="0.25">
      <c r="M479" s="46"/>
      <c r="N479" s="46"/>
      <c r="O479" s="46"/>
      <c r="P479" s="46"/>
      <c r="R479" s="15">
        <v>1.54E-2</v>
      </c>
      <c r="S479" s="18">
        <f>(Tabela2[[#This Row],[FRETE]]+Tabela2[[#This Row],[DESPESAS]]+Tabela2[[#This Row],[IPI]]+Tabela2[[#This Row],[Vl. Produto]])*Tabela2[[#This Row],[Aliq.%]]</f>
        <v>0</v>
      </c>
    </row>
    <row r="480" spans="13:19" x14ac:dyDescent="0.25">
      <c r="M480" s="46"/>
      <c r="N480" s="46"/>
      <c r="O480" s="46"/>
      <c r="P480" s="46"/>
      <c r="R480" s="15">
        <v>1.54E-2</v>
      </c>
      <c r="S480" s="18">
        <f>(Tabela2[[#This Row],[FRETE]]+Tabela2[[#This Row],[DESPESAS]]+Tabela2[[#This Row],[IPI]]+Tabela2[[#This Row],[Vl. Produto]])*Tabela2[[#This Row],[Aliq.%]]</f>
        <v>0</v>
      </c>
    </row>
    <row r="481" spans="13:19" x14ac:dyDescent="0.25">
      <c r="M481" s="46"/>
      <c r="N481" s="46"/>
      <c r="O481" s="46"/>
      <c r="P481" s="46"/>
      <c r="R481" s="15">
        <v>1.54E-2</v>
      </c>
      <c r="S481" s="18">
        <f>(Tabela2[[#This Row],[FRETE]]+Tabela2[[#This Row],[DESPESAS]]+Tabela2[[#This Row],[IPI]]+Tabela2[[#This Row],[Vl. Produto]])*Tabela2[[#This Row],[Aliq.%]]</f>
        <v>0</v>
      </c>
    </row>
    <row r="482" spans="13:19" x14ac:dyDescent="0.25">
      <c r="M482" s="46"/>
      <c r="N482" s="46"/>
      <c r="O482" s="46"/>
      <c r="P482" s="46"/>
      <c r="R482" s="15">
        <v>1.54E-2</v>
      </c>
      <c r="S482" s="18">
        <f>(Tabela2[[#This Row],[FRETE]]+Tabela2[[#This Row],[DESPESAS]]+Tabela2[[#This Row],[IPI]]+Tabela2[[#This Row],[Vl. Produto]])*Tabela2[[#This Row],[Aliq.%]]</f>
        <v>0</v>
      </c>
    </row>
    <row r="483" spans="13:19" x14ac:dyDescent="0.25">
      <c r="M483" s="46"/>
      <c r="N483" s="46"/>
      <c r="O483" s="46"/>
      <c r="P483" s="46"/>
      <c r="R483" s="15">
        <v>1.54E-2</v>
      </c>
      <c r="S483" s="18">
        <f>(Tabela2[[#This Row],[FRETE]]+Tabela2[[#This Row],[DESPESAS]]+Tabela2[[#This Row],[IPI]]+Tabela2[[#This Row],[Vl. Produto]])*Tabela2[[#This Row],[Aliq.%]]</f>
        <v>0</v>
      </c>
    </row>
    <row r="484" spans="13:19" x14ac:dyDescent="0.25">
      <c r="M484" s="46"/>
      <c r="N484" s="46"/>
      <c r="O484" s="46"/>
      <c r="P484" s="46"/>
      <c r="R484" s="15">
        <v>1.54E-2</v>
      </c>
      <c r="S484" s="18">
        <f>(Tabela2[[#This Row],[FRETE]]+Tabela2[[#This Row],[DESPESAS]]+Tabela2[[#This Row],[IPI]]+Tabela2[[#This Row],[Vl. Produto]])*Tabela2[[#This Row],[Aliq.%]]</f>
        <v>0</v>
      </c>
    </row>
    <row r="485" spans="13:19" x14ac:dyDescent="0.25">
      <c r="M485" s="46"/>
      <c r="N485" s="46"/>
      <c r="O485" s="46"/>
      <c r="P485" s="46"/>
      <c r="R485" s="15">
        <v>1.54E-2</v>
      </c>
      <c r="S485" s="18">
        <f>(Tabela2[[#This Row],[FRETE]]+Tabela2[[#This Row],[DESPESAS]]+Tabela2[[#This Row],[IPI]]+Tabela2[[#This Row],[Vl. Produto]])*Tabela2[[#This Row],[Aliq.%]]</f>
        <v>0</v>
      </c>
    </row>
    <row r="486" spans="13:19" x14ac:dyDescent="0.25">
      <c r="M486" s="46"/>
      <c r="N486" s="46"/>
      <c r="O486" s="46"/>
      <c r="P486" s="46"/>
      <c r="R486" s="15">
        <v>1.54E-2</v>
      </c>
      <c r="S486" s="18">
        <f>(Tabela2[[#This Row],[FRETE]]+Tabela2[[#This Row],[DESPESAS]]+Tabela2[[#This Row],[IPI]]+Tabela2[[#This Row],[Vl. Produto]])*Tabela2[[#This Row],[Aliq.%]]</f>
        <v>0</v>
      </c>
    </row>
    <row r="487" spans="13:19" x14ac:dyDescent="0.25">
      <c r="M487" s="46"/>
      <c r="N487" s="46"/>
      <c r="O487" s="46"/>
      <c r="P487" s="46"/>
      <c r="R487" s="15">
        <v>1.54E-2</v>
      </c>
      <c r="S487" s="18">
        <f>(Tabela2[[#This Row],[FRETE]]+Tabela2[[#This Row],[DESPESAS]]+Tabela2[[#This Row],[IPI]]+Tabela2[[#This Row],[Vl. Produto]])*Tabela2[[#This Row],[Aliq.%]]</f>
        <v>0</v>
      </c>
    </row>
    <row r="488" spans="13:19" x14ac:dyDescent="0.25">
      <c r="M488" s="46"/>
      <c r="N488" s="46"/>
      <c r="O488" s="46"/>
      <c r="P488" s="46"/>
      <c r="R488" s="15">
        <v>1.54E-2</v>
      </c>
      <c r="S488" s="18">
        <f>(Tabela2[[#This Row],[FRETE]]+Tabela2[[#This Row],[DESPESAS]]+Tabela2[[#This Row],[IPI]]+Tabela2[[#This Row],[Vl. Produto]])*Tabela2[[#This Row],[Aliq.%]]</f>
        <v>0</v>
      </c>
    </row>
    <row r="489" spans="13:19" x14ac:dyDescent="0.25">
      <c r="M489" s="46"/>
      <c r="N489" s="46"/>
      <c r="O489" s="46"/>
      <c r="P489" s="46"/>
      <c r="R489" s="15">
        <v>1.54E-2</v>
      </c>
      <c r="S489" s="18">
        <f>(Tabela2[[#This Row],[FRETE]]+Tabela2[[#This Row],[DESPESAS]]+Tabela2[[#This Row],[IPI]]+Tabela2[[#This Row],[Vl. Produto]])*Tabela2[[#This Row],[Aliq.%]]</f>
        <v>0</v>
      </c>
    </row>
    <row r="490" spans="13:19" x14ac:dyDescent="0.25">
      <c r="M490" s="46"/>
      <c r="N490" s="46"/>
      <c r="O490" s="46"/>
      <c r="P490" s="46"/>
      <c r="R490" s="15">
        <v>1.54E-2</v>
      </c>
      <c r="S490" s="18">
        <f>(Tabela2[[#This Row],[FRETE]]+Tabela2[[#This Row],[DESPESAS]]+Tabela2[[#This Row],[IPI]]+Tabela2[[#This Row],[Vl. Produto]])*Tabela2[[#This Row],[Aliq.%]]</f>
        <v>0</v>
      </c>
    </row>
    <row r="491" spans="13:19" x14ac:dyDescent="0.25">
      <c r="M491" s="46"/>
      <c r="N491" s="46"/>
      <c r="O491" s="46"/>
      <c r="P491" s="46"/>
      <c r="R491" s="15">
        <v>1.54E-2</v>
      </c>
      <c r="S491" s="18">
        <f>(Tabela2[[#This Row],[FRETE]]+Tabela2[[#This Row],[DESPESAS]]+Tabela2[[#This Row],[IPI]]+Tabela2[[#This Row],[Vl. Produto]])*Tabela2[[#This Row],[Aliq.%]]</f>
        <v>0</v>
      </c>
    </row>
    <row r="492" spans="13:19" x14ac:dyDescent="0.25">
      <c r="M492" s="46"/>
      <c r="N492" s="46"/>
      <c r="O492" s="46"/>
      <c r="P492" s="46"/>
      <c r="R492" s="15">
        <v>1.54E-2</v>
      </c>
      <c r="S492" s="18">
        <f>(Tabela2[[#This Row],[FRETE]]+Tabela2[[#This Row],[DESPESAS]]+Tabela2[[#This Row],[IPI]]+Tabela2[[#This Row],[Vl. Produto]])*Tabela2[[#This Row],[Aliq.%]]</f>
        <v>0</v>
      </c>
    </row>
    <row r="493" spans="13:19" x14ac:dyDescent="0.25">
      <c r="M493" s="46"/>
      <c r="N493" s="46"/>
      <c r="O493" s="46"/>
      <c r="P493" s="46"/>
      <c r="R493" s="15">
        <v>1.54E-2</v>
      </c>
      <c r="S493" s="18">
        <f>(Tabela2[[#This Row],[FRETE]]+Tabela2[[#This Row],[DESPESAS]]+Tabela2[[#This Row],[IPI]]+Tabela2[[#This Row],[Vl. Produto]])*Tabela2[[#This Row],[Aliq.%]]</f>
        <v>0</v>
      </c>
    </row>
    <row r="494" spans="13:19" x14ac:dyDescent="0.25">
      <c r="M494" s="46"/>
      <c r="N494" s="46"/>
      <c r="O494" s="46"/>
      <c r="P494" s="46"/>
      <c r="R494" s="15">
        <v>1.54E-2</v>
      </c>
      <c r="S494" s="18">
        <f>(Tabela2[[#This Row],[FRETE]]+Tabela2[[#This Row],[DESPESAS]]+Tabela2[[#This Row],[IPI]]+Tabela2[[#This Row],[Vl. Produto]])*Tabela2[[#This Row],[Aliq.%]]</f>
        <v>0</v>
      </c>
    </row>
    <row r="495" spans="13:19" x14ac:dyDescent="0.25">
      <c r="M495" s="46"/>
      <c r="N495" s="46"/>
      <c r="O495" s="46"/>
      <c r="P495" s="46"/>
      <c r="R495" s="15">
        <v>1.54E-2</v>
      </c>
      <c r="S495" s="18">
        <f>(Tabela2[[#This Row],[FRETE]]+Tabela2[[#This Row],[DESPESAS]]+Tabela2[[#This Row],[IPI]]+Tabela2[[#This Row],[Vl. Produto]])*Tabela2[[#This Row],[Aliq.%]]</f>
        <v>0</v>
      </c>
    </row>
    <row r="496" spans="13:19" x14ac:dyDescent="0.25">
      <c r="M496" s="46"/>
      <c r="N496" s="46"/>
      <c r="O496" s="46"/>
      <c r="P496" s="46"/>
      <c r="R496" s="15">
        <v>1.54E-2</v>
      </c>
      <c r="S496" s="18">
        <f>(Tabela2[[#This Row],[FRETE]]+Tabela2[[#This Row],[DESPESAS]]+Tabela2[[#This Row],[IPI]]+Tabela2[[#This Row],[Vl. Produto]])*Tabela2[[#This Row],[Aliq.%]]</f>
        <v>0</v>
      </c>
    </row>
    <row r="497" spans="13:19" x14ac:dyDescent="0.25">
      <c r="M497" s="46"/>
      <c r="N497" s="46"/>
      <c r="O497" s="46"/>
      <c r="P497" s="46"/>
      <c r="R497" s="15">
        <v>1.54E-2</v>
      </c>
      <c r="S497" s="18">
        <f>(Tabela2[[#This Row],[FRETE]]+Tabela2[[#This Row],[DESPESAS]]+Tabela2[[#This Row],[IPI]]+Tabela2[[#This Row],[Vl. Produto]])*Tabela2[[#This Row],[Aliq.%]]</f>
        <v>0</v>
      </c>
    </row>
    <row r="498" spans="13:19" x14ac:dyDescent="0.25">
      <c r="M498" s="46"/>
      <c r="N498" s="46"/>
      <c r="O498" s="46"/>
      <c r="P498" s="46"/>
      <c r="R498" s="15">
        <v>1.54E-2</v>
      </c>
      <c r="S498" s="18">
        <f>(Tabela2[[#This Row],[FRETE]]+Tabela2[[#This Row],[DESPESAS]]+Tabela2[[#This Row],[IPI]]+Tabela2[[#This Row],[Vl. Produto]])*Tabela2[[#This Row],[Aliq.%]]</f>
        <v>0</v>
      </c>
    </row>
    <row r="499" spans="13:19" x14ac:dyDescent="0.25">
      <c r="M499" s="46"/>
      <c r="N499" s="46"/>
      <c r="O499" s="46"/>
      <c r="P499" s="46"/>
      <c r="R499" s="15">
        <v>1.54E-2</v>
      </c>
      <c r="S499" s="18">
        <f>(Tabela2[[#This Row],[FRETE]]+Tabela2[[#This Row],[DESPESAS]]+Tabela2[[#This Row],[IPI]]+Tabela2[[#This Row],[Vl. Produto]])*Tabela2[[#This Row],[Aliq.%]]</f>
        <v>0</v>
      </c>
    </row>
    <row r="500" spans="13:19" x14ac:dyDescent="0.25">
      <c r="M500" s="46"/>
      <c r="N500" s="46"/>
      <c r="O500" s="46"/>
      <c r="P500" s="46"/>
      <c r="R500" s="15">
        <v>1.54E-2</v>
      </c>
      <c r="S500" s="18">
        <f>(Tabela2[[#This Row],[FRETE]]+Tabela2[[#This Row],[DESPESAS]]+Tabela2[[#This Row],[IPI]]+Tabela2[[#This Row],[Vl. Produto]])*Tabela2[[#This Row],[Aliq.%]]</f>
        <v>0</v>
      </c>
    </row>
    <row r="501" spans="13:19" x14ac:dyDescent="0.25">
      <c r="M501" s="46"/>
      <c r="N501" s="46"/>
      <c r="O501" s="46"/>
      <c r="P501" s="46"/>
      <c r="R501" s="15">
        <v>1.54E-2</v>
      </c>
      <c r="S501" s="18">
        <f>(Tabela2[[#This Row],[FRETE]]+Tabela2[[#This Row],[DESPESAS]]+Tabela2[[#This Row],[IPI]]+Tabela2[[#This Row],[Vl. Produto]])*Tabela2[[#This Row],[Aliq.%]]</f>
        <v>0</v>
      </c>
    </row>
    <row r="502" spans="13:19" x14ac:dyDescent="0.25">
      <c r="M502" s="46"/>
      <c r="N502" s="46"/>
      <c r="O502" s="46"/>
      <c r="P502" s="46"/>
      <c r="R502" s="15">
        <v>1.54E-2</v>
      </c>
      <c r="S502" s="18">
        <f>(Tabela2[[#This Row],[FRETE]]+Tabela2[[#This Row],[DESPESAS]]+Tabela2[[#This Row],[IPI]]+Tabela2[[#This Row],[Vl. Produto]])*Tabela2[[#This Row],[Aliq.%]]</f>
        <v>0</v>
      </c>
    </row>
    <row r="503" spans="13:19" x14ac:dyDescent="0.25">
      <c r="M503" s="46"/>
      <c r="N503" s="46"/>
      <c r="O503" s="46"/>
      <c r="P503" s="46"/>
      <c r="R503" s="15">
        <v>1.54E-2</v>
      </c>
      <c r="S503" s="18">
        <f>(Tabela2[[#This Row],[FRETE]]+Tabela2[[#This Row],[DESPESAS]]+Tabela2[[#This Row],[IPI]]+Tabela2[[#This Row],[Vl. Produto]])*Tabela2[[#This Row],[Aliq.%]]</f>
        <v>0</v>
      </c>
    </row>
    <row r="504" spans="13:19" x14ac:dyDescent="0.25">
      <c r="M504" s="46"/>
      <c r="N504" s="46"/>
      <c r="O504" s="46"/>
      <c r="P504" s="46"/>
      <c r="R504" s="15">
        <v>1.54E-2</v>
      </c>
      <c r="S504" s="18">
        <f>(Tabela2[[#This Row],[FRETE]]+Tabela2[[#This Row],[DESPESAS]]+Tabela2[[#This Row],[IPI]]+Tabela2[[#This Row],[Vl. Produto]])*Tabela2[[#This Row],[Aliq.%]]</f>
        <v>0</v>
      </c>
    </row>
    <row r="505" spans="13:19" x14ac:dyDescent="0.25">
      <c r="M505" s="46"/>
      <c r="N505" s="46"/>
      <c r="O505" s="46"/>
      <c r="P505" s="46"/>
      <c r="R505" s="15">
        <v>1.54E-2</v>
      </c>
      <c r="S505" s="18">
        <f>(Tabela2[[#This Row],[FRETE]]+Tabela2[[#This Row],[DESPESAS]]+Tabela2[[#This Row],[IPI]]+Tabela2[[#This Row],[Vl. Produto]])*Tabela2[[#This Row],[Aliq.%]]</f>
        <v>0</v>
      </c>
    </row>
    <row r="506" spans="13:19" x14ac:dyDescent="0.25">
      <c r="M506" s="46"/>
      <c r="N506" s="46"/>
      <c r="O506" s="46"/>
      <c r="P506" s="46"/>
      <c r="R506" s="15">
        <v>1.54E-2</v>
      </c>
      <c r="S506" s="18">
        <f>(Tabela2[[#This Row],[FRETE]]+Tabela2[[#This Row],[DESPESAS]]+Tabela2[[#This Row],[IPI]]+Tabela2[[#This Row],[Vl. Produto]])*Tabela2[[#This Row],[Aliq.%]]</f>
        <v>0</v>
      </c>
    </row>
    <row r="507" spans="13:19" x14ac:dyDescent="0.25">
      <c r="M507" s="46"/>
      <c r="N507" s="46"/>
      <c r="O507" s="46"/>
      <c r="P507" s="46"/>
      <c r="R507" s="15">
        <v>1.54E-2</v>
      </c>
      <c r="S507" s="18">
        <f>(Tabela2[[#This Row],[FRETE]]+Tabela2[[#This Row],[DESPESAS]]+Tabela2[[#This Row],[IPI]]+Tabela2[[#This Row],[Vl. Produto]])*Tabela2[[#This Row],[Aliq.%]]</f>
        <v>0</v>
      </c>
    </row>
    <row r="508" spans="13:19" x14ac:dyDescent="0.25">
      <c r="M508" s="46"/>
      <c r="N508" s="46"/>
      <c r="O508" s="46"/>
      <c r="P508" s="46"/>
      <c r="R508" s="15">
        <v>1.54E-2</v>
      </c>
      <c r="S508" s="18">
        <f>(Tabela2[[#This Row],[FRETE]]+Tabela2[[#This Row],[DESPESAS]]+Tabela2[[#This Row],[IPI]]+Tabela2[[#This Row],[Vl. Produto]])*Tabela2[[#This Row],[Aliq.%]]</f>
        <v>0</v>
      </c>
    </row>
    <row r="509" spans="13:19" x14ac:dyDescent="0.25">
      <c r="M509" s="46"/>
      <c r="N509" s="46"/>
      <c r="O509" s="46"/>
      <c r="P509" s="46"/>
      <c r="R509" s="15">
        <v>1.54E-2</v>
      </c>
      <c r="S509" s="18">
        <f>(Tabela2[[#This Row],[FRETE]]+Tabela2[[#This Row],[DESPESAS]]+Tabela2[[#This Row],[IPI]]+Tabela2[[#This Row],[Vl. Produto]])*Tabela2[[#This Row],[Aliq.%]]</f>
        <v>0</v>
      </c>
    </row>
    <row r="510" spans="13:19" x14ac:dyDescent="0.25">
      <c r="M510" s="46"/>
      <c r="N510" s="46"/>
      <c r="O510" s="46"/>
      <c r="P510" s="46"/>
      <c r="R510" s="15">
        <v>1.54E-2</v>
      </c>
      <c r="S510" s="18">
        <f>(Tabela2[[#This Row],[FRETE]]+Tabela2[[#This Row],[DESPESAS]]+Tabela2[[#This Row],[IPI]]+Tabela2[[#This Row],[Vl. Produto]])*Tabela2[[#This Row],[Aliq.%]]</f>
        <v>0</v>
      </c>
    </row>
    <row r="511" spans="13:19" x14ac:dyDescent="0.25">
      <c r="M511" s="46"/>
      <c r="N511" s="46"/>
      <c r="O511" s="46"/>
      <c r="P511" s="46"/>
      <c r="R511" s="15">
        <v>1.54E-2</v>
      </c>
      <c r="S511" s="18">
        <f>(Tabela2[[#This Row],[FRETE]]+Tabela2[[#This Row],[DESPESAS]]+Tabela2[[#This Row],[IPI]]+Tabela2[[#This Row],[Vl. Produto]])*Tabela2[[#This Row],[Aliq.%]]</f>
        <v>0</v>
      </c>
    </row>
    <row r="512" spans="13:19" x14ac:dyDescent="0.25">
      <c r="M512" s="46"/>
      <c r="N512" s="46"/>
      <c r="O512" s="46"/>
      <c r="P512" s="46"/>
      <c r="R512" s="15">
        <v>1.54E-2</v>
      </c>
      <c r="S512" s="18">
        <f>(Tabela2[[#This Row],[FRETE]]+Tabela2[[#This Row],[DESPESAS]]+Tabela2[[#This Row],[IPI]]+Tabela2[[#This Row],[Vl. Produto]])*Tabela2[[#This Row],[Aliq.%]]</f>
        <v>0</v>
      </c>
    </row>
    <row r="513" spans="13:19" x14ac:dyDescent="0.25">
      <c r="M513" s="46"/>
      <c r="N513" s="46"/>
      <c r="O513" s="46"/>
      <c r="P513" s="46"/>
      <c r="R513" s="15">
        <v>1.54E-2</v>
      </c>
      <c r="S513" s="18">
        <f>(Tabela2[[#This Row],[FRETE]]+Tabela2[[#This Row],[DESPESAS]]+Tabela2[[#This Row],[IPI]]+Tabela2[[#This Row],[Vl. Produto]])*Tabela2[[#This Row],[Aliq.%]]</f>
        <v>0</v>
      </c>
    </row>
    <row r="514" spans="13:19" x14ac:dyDescent="0.25">
      <c r="M514" s="46"/>
      <c r="N514" s="46"/>
      <c r="O514" s="46"/>
      <c r="P514" s="46"/>
      <c r="R514" s="15">
        <v>1.54E-2</v>
      </c>
      <c r="S514" s="18">
        <f>(Tabela2[[#This Row],[FRETE]]+Tabela2[[#This Row],[DESPESAS]]+Tabela2[[#This Row],[IPI]]+Tabela2[[#This Row],[Vl. Produto]])*Tabela2[[#This Row],[Aliq.%]]</f>
        <v>0</v>
      </c>
    </row>
    <row r="515" spans="13:19" x14ac:dyDescent="0.25">
      <c r="M515" s="46"/>
      <c r="N515" s="46"/>
      <c r="O515" s="46"/>
      <c r="P515" s="46"/>
      <c r="R515" s="15">
        <v>1.54E-2</v>
      </c>
      <c r="S515" s="18">
        <f>(Tabela2[[#This Row],[FRETE]]+Tabela2[[#This Row],[DESPESAS]]+Tabela2[[#This Row],[IPI]]+Tabela2[[#This Row],[Vl. Produto]])*Tabela2[[#This Row],[Aliq.%]]</f>
        <v>0</v>
      </c>
    </row>
    <row r="516" spans="13:19" x14ac:dyDescent="0.25">
      <c r="M516" s="46"/>
      <c r="N516" s="46"/>
      <c r="O516" s="46"/>
      <c r="P516" s="46"/>
      <c r="R516" s="15">
        <v>1.54E-2</v>
      </c>
      <c r="S516" s="18">
        <f>(Tabela2[[#This Row],[FRETE]]+Tabela2[[#This Row],[DESPESAS]]+Tabela2[[#This Row],[IPI]]+Tabela2[[#This Row],[Vl. Produto]])*Tabela2[[#This Row],[Aliq.%]]</f>
        <v>0</v>
      </c>
    </row>
    <row r="517" spans="13:19" x14ac:dyDescent="0.25">
      <c r="M517" s="46"/>
      <c r="N517" s="46"/>
      <c r="O517" s="46"/>
      <c r="P517" s="46"/>
      <c r="R517" s="15">
        <v>1.54E-2</v>
      </c>
      <c r="S517" s="18">
        <f>(Tabela2[[#This Row],[FRETE]]+Tabela2[[#This Row],[DESPESAS]]+Tabela2[[#This Row],[IPI]]+Tabela2[[#This Row],[Vl. Produto]])*Tabela2[[#This Row],[Aliq.%]]</f>
        <v>0</v>
      </c>
    </row>
    <row r="518" spans="13:19" x14ac:dyDescent="0.25">
      <c r="M518" s="46"/>
      <c r="N518" s="46"/>
      <c r="O518" s="46"/>
      <c r="P518" s="46"/>
      <c r="R518" s="15">
        <v>1.54E-2</v>
      </c>
      <c r="S518" s="18">
        <f>(Tabela2[[#This Row],[FRETE]]+Tabela2[[#This Row],[DESPESAS]]+Tabela2[[#This Row],[IPI]]+Tabela2[[#This Row],[Vl. Produto]])*Tabela2[[#This Row],[Aliq.%]]</f>
        <v>0</v>
      </c>
    </row>
    <row r="519" spans="13:19" x14ac:dyDescent="0.25">
      <c r="M519" s="46"/>
      <c r="N519" s="46"/>
      <c r="O519" s="46"/>
      <c r="P519" s="46"/>
      <c r="R519" s="15">
        <v>1.54E-2</v>
      </c>
      <c r="S519" s="18">
        <f>(Tabela2[[#This Row],[FRETE]]+Tabela2[[#This Row],[DESPESAS]]+Tabela2[[#This Row],[IPI]]+Tabela2[[#This Row],[Vl. Produto]])*Tabela2[[#This Row],[Aliq.%]]</f>
        <v>0</v>
      </c>
    </row>
    <row r="520" spans="13:19" x14ac:dyDescent="0.25">
      <c r="M520" s="46"/>
      <c r="N520" s="46"/>
      <c r="O520" s="46"/>
      <c r="P520" s="46"/>
      <c r="R520" s="15">
        <v>1.54E-2</v>
      </c>
      <c r="S520" s="18">
        <f>(Tabela2[[#This Row],[FRETE]]+Tabela2[[#This Row],[DESPESAS]]+Tabela2[[#This Row],[IPI]]+Tabela2[[#This Row],[Vl. Produto]])*Tabela2[[#This Row],[Aliq.%]]</f>
        <v>0</v>
      </c>
    </row>
    <row r="521" spans="13:19" x14ac:dyDescent="0.25">
      <c r="M521" s="46"/>
      <c r="N521" s="46"/>
      <c r="O521" s="46"/>
      <c r="P521" s="46"/>
      <c r="R521" s="15">
        <v>1.54E-2</v>
      </c>
      <c r="S521" s="18">
        <f>(Tabela2[[#This Row],[FRETE]]+Tabela2[[#This Row],[DESPESAS]]+Tabela2[[#This Row],[IPI]]+Tabela2[[#This Row],[Vl. Produto]])*Tabela2[[#This Row],[Aliq.%]]</f>
        <v>0</v>
      </c>
    </row>
    <row r="522" spans="13:19" x14ac:dyDescent="0.25">
      <c r="M522" s="46"/>
      <c r="N522" s="46"/>
      <c r="O522" s="46"/>
      <c r="P522" s="46"/>
      <c r="R522" s="15">
        <v>1.54E-2</v>
      </c>
      <c r="S522" s="18">
        <f>(Tabela2[[#This Row],[FRETE]]+Tabela2[[#This Row],[DESPESAS]]+Tabela2[[#This Row],[IPI]]+Tabela2[[#This Row],[Vl. Produto]])*Tabela2[[#This Row],[Aliq.%]]</f>
        <v>0</v>
      </c>
    </row>
    <row r="523" spans="13:19" x14ac:dyDescent="0.25">
      <c r="M523" s="46"/>
      <c r="N523" s="46"/>
      <c r="O523" s="46"/>
      <c r="P523" s="46"/>
      <c r="R523" s="15">
        <v>1.54E-2</v>
      </c>
      <c r="S523" s="18">
        <f>(Tabela2[[#This Row],[FRETE]]+Tabela2[[#This Row],[DESPESAS]]+Tabela2[[#This Row],[IPI]]+Tabela2[[#This Row],[Vl. Produto]])*Tabela2[[#This Row],[Aliq.%]]</f>
        <v>0</v>
      </c>
    </row>
    <row r="524" spans="13:19" x14ac:dyDescent="0.25">
      <c r="M524" s="46"/>
      <c r="N524" s="46"/>
      <c r="O524" s="46"/>
      <c r="P524" s="46"/>
      <c r="R524" s="15">
        <v>1.54E-2</v>
      </c>
      <c r="S524" s="18">
        <f>(Tabela2[[#This Row],[FRETE]]+Tabela2[[#This Row],[DESPESAS]]+Tabela2[[#This Row],[IPI]]+Tabela2[[#This Row],[Vl. Produto]])*Tabela2[[#This Row],[Aliq.%]]</f>
        <v>0</v>
      </c>
    </row>
    <row r="525" spans="13:19" x14ac:dyDescent="0.25">
      <c r="M525" s="46"/>
      <c r="N525" s="46"/>
      <c r="O525" s="46"/>
      <c r="P525" s="46"/>
      <c r="R525" s="15">
        <v>1.54E-2</v>
      </c>
      <c r="S525" s="18">
        <f>(Tabela2[[#This Row],[FRETE]]+Tabela2[[#This Row],[DESPESAS]]+Tabela2[[#This Row],[IPI]]+Tabela2[[#This Row],[Vl. Produto]])*Tabela2[[#This Row],[Aliq.%]]</f>
        <v>0</v>
      </c>
    </row>
    <row r="526" spans="13:19" x14ac:dyDescent="0.25">
      <c r="M526" s="46"/>
      <c r="N526" s="46"/>
      <c r="O526" s="46"/>
      <c r="P526" s="46"/>
      <c r="R526" s="15">
        <v>1.54E-2</v>
      </c>
      <c r="S526" s="18">
        <f>(Tabela2[[#This Row],[FRETE]]+Tabela2[[#This Row],[DESPESAS]]+Tabela2[[#This Row],[IPI]]+Tabela2[[#This Row],[Vl. Produto]])*Tabela2[[#This Row],[Aliq.%]]</f>
        <v>0</v>
      </c>
    </row>
    <row r="527" spans="13:19" x14ac:dyDescent="0.25">
      <c r="M527" s="46"/>
      <c r="N527" s="46"/>
      <c r="O527" s="46"/>
      <c r="P527" s="46"/>
      <c r="R527" s="15">
        <v>1.54E-2</v>
      </c>
      <c r="S527" s="18">
        <f>(Tabela2[[#This Row],[FRETE]]+Tabela2[[#This Row],[DESPESAS]]+Tabela2[[#This Row],[IPI]]+Tabela2[[#This Row],[Vl. Produto]])*Tabela2[[#This Row],[Aliq.%]]</f>
        <v>0</v>
      </c>
    </row>
    <row r="528" spans="13:19" x14ac:dyDescent="0.25">
      <c r="M528" s="46"/>
      <c r="N528" s="46"/>
      <c r="O528" s="46"/>
      <c r="P528" s="46"/>
      <c r="R528" s="15">
        <v>1.54E-2</v>
      </c>
      <c r="S528" s="18">
        <f>(Tabela2[[#This Row],[FRETE]]+Tabela2[[#This Row],[DESPESAS]]+Tabela2[[#This Row],[IPI]]+Tabela2[[#This Row],[Vl. Produto]])*Tabela2[[#This Row],[Aliq.%]]</f>
        <v>0</v>
      </c>
    </row>
    <row r="529" spans="13:19" x14ac:dyDescent="0.25">
      <c r="M529" s="46"/>
      <c r="N529" s="46"/>
      <c r="O529" s="46"/>
      <c r="P529" s="46"/>
      <c r="R529" s="15">
        <v>1.54E-2</v>
      </c>
      <c r="S529" s="18">
        <f>(Tabela2[[#This Row],[FRETE]]+Tabela2[[#This Row],[DESPESAS]]+Tabela2[[#This Row],[IPI]]+Tabela2[[#This Row],[Vl. Produto]])*Tabela2[[#This Row],[Aliq.%]]</f>
        <v>0</v>
      </c>
    </row>
    <row r="530" spans="13:19" x14ac:dyDescent="0.25">
      <c r="M530" s="46"/>
      <c r="N530" s="46"/>
      <c r="O530" s="46"/>
      <c r="P530" s="46"/>
      <c r="R530" s="15">
        <v>1.54E-2</v>
      </c>
      <c r="S530" s="18">
        <f>(Tabela2[[#This Row],[FRETE]]+Tabela2[[#This Row],[DESPESAS]]+Tabela2[[#This Row],[IPI]]+Tabela2[[#This Row],[Vl. Produto]])*Tabela2[[#This Row],[Aliq.%]]</f>
        <v>0</v>
      </c>
    </row>
    <row r="531" spans="13:19" x14ac:dyDescent="0.25">
      <c r="M531" s="46"/>
      <c r="N531" s="46"/>
      <c r="O531" s="46"/>
      <c r="P531" s="46"/>
      <c r="R531" s="15">
        <v>1.54E-2</v>
      </c>
      <c r="S531" s="18">
        <f>(Tabela2[[#This Row],[FRETE]]+Tabela2[[#This Row],[DESPESAS]]+Tabela2[[#This Row],[IPI]]+Tabela2[[#This Row],[Vl. Produto]])*Tabela2[[#This Row],[Aliq.%]]</f>
        <v>0</v>
      </c>
    </row>
    <row r="532" spans="13:19" x14ac:dyDescent="0.25">
      <c r="M532" s="46"/>
      <c r="N532" s="46"/>
      <c r="O532" s="46"/>
      <c r="P532" s="46"/>
      <c r="R532" s="15">
        <v>1.54E-2</v>
      </c>
      <c r="S532" s="18">
        <f>(Tabela2[[#This Row],[FRETE]]+Tabela2[[#This Row],[DESPESAS]]+Tabela2[[#This Row],[IPI]]+Tabela2[[#This Row],[Vl. Produto]])*Tabela2[[#This Row],[Aliq.%]]</f>
        <v>0</v>
      </c>
    </row>
    <row r="533" spans="13:19" x14ac:dyDescent="0.25">
      <c r="M533" s="46"/>
      <c r="N533" s="46"/>
      <c r="O533" s="46"/>
      <c r="P533" s="46"/>
      <c r="R533" s="15">
        <v>1.54E-2</v>
      </c>
      <c r="S533" s="18">
        <f>(Tabela2[[#This Row],[FRETE]]+Tabela2[[#This Row],[DESPESAS]]+Tabela2[[#This Row],[IPI]]+Tabela2[[#This Row],[Vl. Produto]])*Tabela2[[#This Row],[Aliq.%]]</f>
        <v>0</v>
      </c>
    </row>
    <row r="534" spans="13:19" x14ac:dyDescent="0.25">
      <c r="M534" s="46"/>
      <c r="N534" s="46"/>
      <c r="O534" s="46"/>
      <c r="P534" s="46"/>
      <c r="R534" s="15">
        <v>1.54E-2</v>
      </c>
      <c r="S534" s="18">
        <f>(Tabela2[[#This Row],[FRETE]]+Tabela2[[#This Row],[DESPESAS]]+Tabela2[[#This Row],[IPI]]+Tabela2[[#This Row],[Vl. Produto]])*Tabela2[[#This Row],[Aliq.%]]</f>
        <v>0</v>
      </c>
    </row>
    <row r="535" spans="13:19" x14ac:dyDescent="0.25">
      <c r="M535" s="46"/>
      <c r="N535" s="46"/>
      <c r="O535" s="46"/>
      <c r="P535" s="46"/>
      <c r="R535" s="15">
        <v>1.54E-2</v>
      </c>
      <c r="S535" s="18">
        <f>(Tabela2[[#This Row],[FRETE]]+Tabela2[[#This Row],[DESPESAS]]+Tabela2[[#This Row],[IPI]]+Tabela2[[#This Row],[Vl. Produto]])*Tabela2[[#This Row],[Aliq.%]]</f>
        <v>0</v>
      </c>
    </row>
    <row r="536" spans="13:19" x14ac:dyDescent="0.25">
      <c r="M536" s="46"/>
      <c r="N536" s="46"/>
      <c r="O536" s="46"/>
      <c r="P536" s="46"/>
      <c r="R536" s="15">
        <v>1.54E-2</v>
      </c>
      <c r="S536" s="18">
        <f>(Tabela2[[#This Row],[FRETE]]+Tabela2[[#This Row],[DESPESAS]]+Tabela2[[#This Row],[IPI]]+Tabela2[[#This Row],[Vl. Produto]])*Tabela2[[#This Row],[Aliq.%]]</f>
        <v>0</v>
      </c>
    </row>
    <row r="537" spans="13:19" x14ac:dyDescent="0.25">
      <c r="M537" s="46"/>
      <c r="N537" s="46"/>
      <c r="O537" s="46"/>
      <c r="P537" s="46"/>
      <c r="R537" s="15">
        <v>1.54E-2</v>
      </c>
      <c r="S537" s="18">
        <f>(Tabela2[[#This Row],[FRETE]]+Tabela2[[#This Row],[DESPESAS]]+Tabela2[[#This Row],[IPI]]+Tabela2[[#This Row],[Vl. Produto]])*Tabela2[[#This Row],[Aliq.%]]</f>
        <v>0</v>
      </c>
    </row>
    <row r="538" spans="13:19" x14ac:dyDescent="0.25">
      <c r="M538" s="46"/>
      <c r="N538" s="46"/>
      <c r="O538" s="46"/>
      <c r="P538" s="46"/>
      <c r="R538" s="15">
        <v>1.54E-2</v>
      </c>
      <c r="S538" s="18">
        <f>(Tabela2[[#This Row],[FRETE]]+Tabela2[[#This Row],[DESPESAS]]+Tabela2[[#This Row],[IPI]]+Tabela2[[#This Row],[Vl. Produto]])*Tabela2[[#This Row],[Aliq.%]]</f>
        <v>0</v>
      </c>
    </row>
    <row r="539" spans="13:19" x14ac:dyDescent="0.25">
      <c r="M539" s="46"/>
      <c r="N539" s="46"/>
      <c r="O539" s="46"/>
      <c r="P539" s="46"/>
      <c r="R539" s="15">
        <v>1.54E-2</v>
      </c>
      <c r="S539" s="18">
        <f>(Tabela2[[#This Row],[FRETE]]+Tabela2[[#This Row],[DESPESAS]]+Tabela2[[#This Row],[IPI]]+Tabela2[[#This Row],[Vl. Produto]])*Tabela2[[#This Row],[Aliq.%]]</f>
        <v>0</v>
      </c>
    </row>
    <row r="540" spans="13:19" x14ac:dyDescent="0.25">
      <c r="M540" s="46"/>
      <c r="N540" s="46"/>
      <c r="O540" s="46"/>
      <c r="P540" s="46"/>
      <c r="R540" s="15">
        <v>1.54E-2</v>
      </c>
      <c r="S540" s="18">
        <f>(Tabela2[[#This Row],[FRETE]]+Tabela2[[#This Row],[DESPESAS]]+Tabela2[[#This Row],[IPI]]+Tabela2[[#This Row],[Vl. Produto]])*Tabela2[[#This Row],[Aliq.%]]</f>
        <v>0</v>
      </c>
    </row>
    <row r="541" spans="13:19" x14ac:dyDescent="0.25">
      <c r="M541" s="46"/>
      <c r="N541" s="46"/>
      <c r="O541" s="46"/>
      <c r="P541" s="46"/>
      <c r="R541" s="15">
        <v>1.54E-2</v>
      </c>
      <c r="S541" s="18">
        <f>(Tabela2[[#This Row],[FRETE]]+Tabela2[[#This Row],[DESPESAS]]+Tabela2[[#This Row],[IPI]]+Tabela2[[#This Row],[Vl. Produto]])*Tabela2[[#This Row],[Aliq.%]]</f>
        <v>0</v>
      </c>
    </row>
    <row r="542" spans="13:19" x14ac:dyDescent="0.25">
      <c r="M542" s="46"/>
      <c r="N542" s="46"/>
      <c r="O542" s="46"/>
      <c r="P542" s="46"/>
      <c r="R542" s="15">
        <v>1.54E-2</v>
      </c>
      <c r="S542" s="18">
        <f>(Tabela2[[#This Row],[FRETE]]+Tabela2[[#This Row],[DESPESAS]]+Tabela2[[#This Row],[IPI]]+Tabela2[[#This Row],[Vl. Produto]])*Tabela2[[#This Row],[Aliq.%]]</f>
        <v>0</v>
      </c>
    </row>
    <row r="543" spans="13:19" x14ac:dyDescent="0.25">
      <c r="M543" s="46"/>
      <c r="N543" s="46"/>
      <c r="O543" s="46"/>
      <c r="P543" s="46"/>
      <c r="R543" s="15">
        <v>1.54E-2</v>
      </c>
      <c r="S543" s="18">
        <f>(Tabela2[[#This Row],[FRETE]]+Tabela2[[#This Row],[DESPESAS]]+Tabela2[[#This Row],[IPI]]+Tabela2[[#This Row],[Vl. Produto]])*Tabela2[[#This Row],[Aliq.%]]</f>
        <v>0</v>
      </c>
    </row>
    <row r="544" spans="13:19" x14ac:dyDescent="0.25">
      <c r="M544" s="46"/>
      <c r="N544" s="46"/>
      <c r="O544" s="46"/>
      <c r="P544" s="46"/>
      <c r="R544" s="15">
        <v>1.54E-2</v>
      </c>
      <c r="S544" s="18">
        <f>(Tabela2[[#This Row],[FRETE]]+Tabela2[[#This Row],[DESPESAS]]+Tabela2[[#This Row],[IPI]]+Tabela2[[#This Row],[Vl. Produto]])*Tabela2[[#This Row],[Aliq.%]]</f>
        <v>0</v>
      </c>
    </row>
    <row r="545" spans="13:19" x14ac:dyDescent="0.25">
      <c r="M545" s="46"/>
      <c r="N545" s="46"/>
      <c r="O545" s="46"/>
      <c r="P545" s="46"/>
      <c r="R545" s="15">
        <v>1.54E-2</v>
      </c>
      <c r="S545" s="18">
        <f>(Tabela2[[#This Row],[FRETE]]+Tabela2[[#This Row],[DESPESAS]]+Tabela2[[#This Row],[IPI]]+Tabela2[[#This Row],[Vl. Produto]])*Tabela2[[#This Row],[Aliq.%]]</f>
        <v>0</v>
      </c>
    </row>
    <row r="546" spans="13:19" x14ac:dyDescent="0.25">
      <c r="M546" s="46"/>
      <c r="N546" s="46"/>
      <c r="O546" s="46"/>
      <c r="P546" s="46"/>
      <c r="R546" s="15">
        <v>1.54E-2</v>
      </c>
      <c r="S546" s="18">
        <f>(Tabela2[[#This Row],[FRETE]]+Tabela2[[#This Row],[DESPESAS]]+Tabela2[[#This Row],[IPI]]+Tabela2[[#This Row],[Vl. Produto]])*Tabela2[[#This Row],[Aliq.%]]</f>
        <v>0</v>
      </c>
    </row>
    <row r="547" spans="13:19" x14ac:dyDescent="0.25">
      <c r="M547" s="46"/>
      <c r="N547" s="46"/>
      <c r="O547" s="46"/>
      <c r="P547" s="46"/>
      <c r="R547" s="15">
        <v>1.54E-2</v>
      </c>
      <c r="S547" s="18">
        <f>(Tabela2[[#This Row],[FRETE]]+Tabela2[[#This Row],[DESPESAS]]+Tabela2[[#This Row],[IPI]]+Tabela2[[#This Row],[Vl. Produto]])*Tabela2[[#This Row],[Aliq.%]]</f>
        <v>0</v>
      </c>
    </row>
    <row r="548" spans="13:19" x14ac:dyDescent="0.25">
      <c r="M548" s="46"/>
      <c r="N548" s="46"/>
      <c r="O548" s="46"/>
      <c r="P548" s="46"/>
      <c r="R548" s="15">
        <v>1.54E-2</v>
      </c>
      <c r="S548" s="18">
        <f>(Tabela2[[#This Row],[FRETE]]+Tabela2[[#This Row],[DESPESAS]]+Tabela2[[#This Row],[IPI]]+Tabela2[[#This Row],[Vl. Produto]])*Tabela2[[#This Row],[Aliq.%]]</f>
        <v>0</v>
      </c>
    </row>
    <row r="549" spans="13:19" x14ac:dyDescent="0.25">
      <c r="M549" s="46"/>
      <c r="N549" s="46"/>
      <c r="O549" s="46"/>
      <c r="P549" s="46"/>
      <c r="R549" s="15">
        <v>1.54E-2</v>
      </c>
      <c r="S549" s="18">
        <f>(Tabela2[[#This Row],[FRETE]]+Tabela2[[#This Row],[DESPESAS]]+Tabela2[[#This Row],[IPI]]+Tabela2[[#This Row],[Vl. Produto]])*Tabela2[[#This Row],[Aliq.%]]</f>
        <v>0</v>
      </c>
    </row>
    <row r="550" spans="13:19" x14ac:dyDescent="0.25">
      <c r="M550" s="46"/>
      <c r="N550" s="46"/>
      <c r="O550" s="46"/>
      <c r="P550" s="46"/>
      <c r="R550" s="15">
        <v>1.54E-2</v>
      </c>
      <c r="S550" s="18">
        <f>(Tabela2[[#This Row],[FRETE]]+Tabela2[[#This Row],[DESPESAS]]+Tabela2[[#This Row],[IPI]]+Tabela2[[#This Row],[Vl. Produto]])*Tabela2[[#This Row],[Aliq.%]]</f>
        <v>0</v>
      </c>
    </row>
    <row r="551" spans="13:19" x14ac:dyDescent="0.25">
      <c r="M551" s="46"/>
      <c r="N551" s="46"/>
      <c r="O551" s="46"/>
      <c r="P551" s="46"/>
      <c r="R551" s="15">
        <v>1.54E-2</v>
      </c>
      <c r="S551" s="18">
        <f>(Tabela2[[#This Row],[FRETE]]+Tabela2[[#This Row],[DESPESAS]]+Tabela2[[#This Row],[IPI]]+Tabela2[[#This Row],[Vl. Produto]])*Tabela2[[#This Row],[Aliq.%]]</f>
        <v>0</v>
      </c>
    </row>
    <row r="552" spans="13:19" x14ac:dyDescent="0.25">
      <c r="M552" s="46"/>
      <c r="N552" s="46"/>
      <c r="O552" s="46"/>
      <c r="P552" s="46"/>
      <c r="R552" s="15">
        <v>1.54E-2</v>
      </c>
      <c r="S552" s="18">
        <f>(Tabela2[[#This Row],[FRETE]]+Tabela2[[#This Row],[DESPESAS]]+Tabela2[[#This Row],[IPI]]+Tabela2[[#This Row],[Vl. Produto]])*Tabela2[[#This Row],[Aliq.%]]</f>
        <v>0</v>
      </c>
    </row>
    <row r="553" spans="13:19" x14ac:dyDescent="0.25">
      <c r="M553" s="46"/>
      <c r="N553" s="46"/>
      <c r="O553" s="46"/>
      <c r="P553" s="46"/>
      <c r="R553" s="15">
        <v>1.54E-2</v>
      </c>
      <c r="S553" s="18">
        <f>(Tabela2[[#This Row],[FRETE]]+Tabela2[[#This Row],[DESPESAS]]+Tabela2[[#This Row],[IPI]]+Tabela2[[#This Row],[Vl. Produto]])*Tabela2[[#This Row],[Aliq.%]]</f>
        <v>0</v>
      </c>
    </row>
    <row r="554" spans="13:19" x14ac:dyDescent="0.25">
      <c r="M554" s="46"/>
      <c r="N554" s="46"/>
      <c r="O554" s="46"/>
      <c r="P554" s="46"/>
      <c r="R554" s="15">
        <v>1.54E-2</v>
      </c>
      <c r="S554" s="18">
        <f>(Tabela2[[#This Row],[FRETE]]+Tabela2[[#This Row],[DESPESAS]]+Tabela2[[#This Row],[IPI]]+Tabela2[[#This Row],[Vl. Produto]])*Tabela2[[#This Row],[Aliq.%]]</f>
        <v>0</v>
      </c>
    </row>
    <row r="555" spans="13:19" x14ac:dyDescent="0.25">
      <c r="M555" s="46"/>
      <c r="N555" s="46"/>
      <c r="O555" s="46"/>
      <c r="P555" s="46"/>
      <c r="R555" s="15">
        <v>1.54E-2</v>
      </c>
      <c r="S555" s="18">
        <f>(Tabela2[[#This Row],[FRETE]]+Tabela2[[#This Row],[DESPESAS]]+Tabela2[[#This Row],[IPI]]+Tabela2[[#This Row],[Vl. Produto]])*Tabela2[[#This Row],[Aliq.%]]</f>
        <v>0</v>
      </c>
    </row>
    <row r="556" spans="13:19" x14ac:dyDescent="0.25">
      <c r="M556" s="46"/>
      <c r="N556" s="46"/>
      <c r="O556" s="46"/>
      <c r="P556" s="46"/>
      <c r="R556" s="15">
        <v>1.54E-2</v>
      </c>
      <c r="S556" s="18">
        <f>(Tabela2[[#This Row],[FRETE]]+Tabela2[[#This Row],[DESPESAS]]+Tabela2[[#This Row],[IPI]]+Tabela2[[#This Row],[Vl. Produto]])*Tabela2[[#This Row],[Aliq.%]]</f>
        <v>0</v>
      </c>
    </row>
    <row r="557" spans="13:19" x14ac:dyDescent="0.25">
      <c r="M557" s="46"/>
      <c r="N557" s="46"/>
      <c r="O557" s="46"/>
      <c r="P557" s="46"/>
      <c r="R557" s="15">
        <v>1.54E-2</v>
      </c>
      <c r="S557" s="18">
        <f>(Tabela2[[#This Row],[FRETE]]+Tabela2[[#This Row],[DESPESAS]]+Tabela2[[#This Row],[IPI]]+Tabela2[[#This Row],[Vl. Produto]])*Tabela2[[#This Row],[Aliq.%]]</f>
        <v>0</v>
      </c>
    </row>
    <row r="558" spans="13:19" x14ac:dyDescent="0.25">
      <c r="M558" s="46"/>
      <c r="N558" s="46"/>
      <c r="O558" s="46"/>
      <c r="P558" s="46"/>
      <c r="R558" s="15">
        <v>1.54E-2</v>
      </c>
      <c r="S558" s="18">
        <f>(Tabela2[[#This Row],[FRETE]]+Tabela2[[#This Row],[DESPESAS]]+Tabela2[[#This Row],[IPI]]+Tabela2[[#This Row],[Vl. Produto]])*Tabela2[[#This Row],[Aliq.%]]</f>
        <v>0</v>
      </c>
    </row>
    <row r="559" spans="13:19" x14ac:dyDescent="0.25">
      <c r="M559" s="46"/>
      <c r="N559" s="46"/>
      <c r="O559" s="46"/>
      <c r="P559" s="46"/>
      <c r="R559" s="15">
        <v>1.54E-2</v>
      </c>
      <c r="S559" s="18">
        <f>(Tabela2[[#This Row],[FRETE]]+Tabela2[[#This Row],[DESPESAS]]+Tabela2[[#This Row],[IPI]]+Tabela2[[#This Row],[Vl. Produto]])*Tabela2[[#This Row],[Aliq.%]]</f>
        <v>0</v>
      </c>
    </row>
    <row r="560" spans="13:19" x14ac:dyDescent="0.25">
      <c r="M560" s="46"/>
      <c r="N560" s="46"/>
      <c r="O560" s="46"/>
      <c r="P560" s="46"/>
      <c r="R560" s="15">
        <v>1.54E-2</v>
      </c>
      <c r="S560" s="18">
        <f>(Tabela2[[#This Row],[FRETE]]+Tabela2[[#This Row],[DESPESAS]]+Tabela2[[#This Row],[IPI]]+Tabela2[[#This Row],[Vl. Produto]])*Tabela2[[#This Row],[Aliq.%]]</f>
        <v>0</v>
      </c>
    </row>
    <row r="561" spans="13:19" x14ac:dyDescent="0.25">
      <c r="M561" s="46"/>
      <c r="N561" s="46"/>
      <c r="O561" s="46"/>
      <c r="P561" s="46"/>
      <c r="R561" s="15">
        <v>1.54E-2</v>
      </c>
      <c r="S561" s="18">
        <f>(Tabela2[[#This Row],[FRETE]]+Tabela2[[#This Row],[DESPESAS]]+Tabela2[[#This Row],[IPI]]+Tabela2[[#This Row],[Vl. Produto]])*Tabela2[[#This Row],[Aliq.%]]</f>
        <v>0</v>
      </c>
    </row>
    <row r="562" spans="13:19" x14ac:dyDescent="0.25">
      <c r="M562" s="46"/>
      <c r="N562" s="46"/>
      <c r="O562" s="46"/>
      <c r="P562" s="46"/>
      <c r="R562" s="15">
        <v>1.54E-2</v>
      </c>
      <c r="S562" s="18">
        <f>(Tabela2[[#This Row],[FRETE]]+Tabela2[[#This Row],[DESPESAS]]+Tabela2[[#This Row],[IPI]]+Tabela2[[#This Row],[Vl. Produto]])*Tabela2[[#This Row],[Aliq.%]]</f>
        <v>0</v>
      </c>
    </row>
    <row r="563" spans="13:19" x14ac:dyDescent="0.25">
      <c r="M563" s="46"/>
      <c r="N563" s="46"/>
      <c r="O563" s="46"/>
      <c r="P563" s="46"/>
      <c r="R563" s="15">
        <v>1.54E-2</v>
      </c>
      <c r="S563" s="18">
        <f>(Tabela2[[#This Row],[FRETE]]+Tabela2[[#This Row],[DESPESAS]]+Tabela2[[#This Row],[IPI]]+Tabela2[[#This Row],[Vl. Produto]])*Tabela2[[#This Row],[Aliq.%]]</f>
        <v>0</v>
      </c>
    </row>
    <row r="564" spans="13:19" x14ac:dyDescent="0.25">
      <c r="M564" s="46"/>
      <c r="N564" s="46"/>
      <c r="O564" s="46"/>
      <c r="P564" s="46"/>
      <c r="R564" s="15">
        <v>1.54E-2</v>
      </c>
      <c r="S564" s="18">
        <f>(Tabela2[[#This Row],[FRETE]]+Tabela2[[#This Row],[DESPESAS]]+Tabela2[[#This Row],[IPI]]+Tabela2[[#This Row],[Vl. Produto]])*Tabela2[[#This Row],[Aliq.%]]</f>
        <v>0</v>
      </c>
    </row>
    <row r="565" spans="13:19" x14ac:dyDescent="0.25">
      <c r="M565" s="46"/>
      <c r="N565" s="46"/>
      <c r="O565" s="46"/>
      <c r="P565" s="46"/>
      <c r="R565" s="15">
        <v>1.54E-2</v>
      </c>
      <c r="S565" s="18">
        <f>(Tabela2[[#This Row],[FRETE]]+Tabela2[[#This Row],[DESPESAS]]+Tabela2[[#This Row],[IPI]]+Tabela2[[#This Row],[Vl. Produto]])*Tabela2[[#This Row],[Aliq.%]]</f>
        <v>0</v>
      </c>
    </row>
    <row r="566" spans="13:19" x14ac:dyDescent="0.25">
      <c r="M566" s="46"/>
      <c r="N566" s="46"/>
      <c r="O566" s="46"/>
      <c r="P566" s="46"/>
      <c r="R566" s="15">
        <v>1.54E-2</v>
      </c>
      <c r="S566" s="18">
        <f>(Tabela2[[#This Row],[FRETE]]+Tabela2[[#This Row],[DESPESAS]]+Tabela2[[#This Row],[IPI]]+Tabela2[[#This Row],[Vl. Produto]])*Tabela2[[#This Row],[Aliq.%]]</f>
        <v>0</v>
      </c>
    </row>
    <row r="567" spans="13:19" x14ac:dyDescent="0.25">
      <c r="M567" s="46"/>
      <c r="N567" s="46"/>
      <c r="O567" s="46"/>
      <c r="P567" s="46"/>
      <c r="R567" s="15">
        <v>1.54E-2</v>
      </c>
      <c r="S567" s="18">
        <f>(Tabela2[[#This Row],[FRETE]]+Tabela2[[#This Row],[DESPESAS]]+Tabela2[[#This Row],[IPI]]+Tabela2[[#This Row],[Vl. Produto]])*Tabela2[[#This Row],[Aliq.%]]</f>
        <v>0</v>
      </c>
    </row>
    <row r="568" spans="13:19" x14ac:dyDescent="0.25">
      <c r="M568" s="46"/>
      <c r="N568" s="46"/>
      <c r="O568" s="46"/>
      <c r="P568" s="46"/>
      <c r="R568" s="15">
        <v>1.54E-2</v>
      </c>
      <c r="S568" s="18">
        <f>(Tabela2[[#This Row],[FRETE]]+Tabela2[[#This Row],[DESPESAS]]+Tabela2[[#This Row],[IPI]]+Tabela2[[#This Row],[Vl. Produto]])*Tabela2[[#This Row],[Aliq.%]]</f>
        <v>0</v>
      </c>
    </row>
    <row r="569" spans="13:19" x14ac:dyDescent="0.25">
      <c r="M569" s="46"/>
      <c r="N569" s="46"/>
      <c r="O569" s="46"/>
      <c r="P569" s="46"/>
      <c r="R569" s="15">
        <v>1.54E-2</v>
      </c>
      <c r="S569" s="18">
        <f>(Tabela2[[#This Row],[FRETE]]+Tabela2[[#This Row],[DESPESAS]]+Tabela2[[#This Row],[IPI]]+Tabela2[[#This Row],[Vl. Produto]])*Tabela2[[#This Row],[Aliq.%]]</f>
        <v>0</v>
      </c>
    </row>
    <row r="570" spans="13:19" x14ac:dyDescent="0.25">
      <c r="M570" s="46"/>
      <c r="N570" s="46"/>
      <c r="O570" s="46"/>
      <c r="P570" s="46"/>
      <c r="R570" s="15">
        <v>1.54E-2</v>
      </c>
      <c r="S570" s="18">
        <f>(Tabela2[[#This Row],[FRETE]]+Tabela2[[#This Row],[DESPESAS]]+Tabela2[[#This Row],[IPI]]+Tabela2[[#This Row],[Vl. Produto]])*Tabela2[[#This Row],[Aliq.%]]</f>
        <v>0</v>
      </c>
    </row>
    <row r="571" spans="13:19" x14ac:dyDescent="0.25">
      <c r="M571" s="46"/>
      <c r="N571" s="46"/>
      <c r="O571" s="46"/>
      <c r="P571" s="46"/>
      <c r="R571" s="15">
        <v>1.54E-2</v>
      </c>
      <c r="S571" s="18">
        <f>(Tabela2[[#This Row],[FRETE]]+Tabela2[[#This Row],[DESPESAS]]+Tabela2[[#This Row],[IPI]]+Tabela2[[#This Row],[Vl. Produto]])*Tabela2[[#This Row],[Aliq.%]]</f>
        <v>0</v>
      </c>
    </row>
    <row r="572" spans="13:19" x14ac:dyDescent="0.25">
      <c r="M572" s="46"/>
      <c r="N572" s="46"/>
      <c r="O572" s="46"/>
      <c r="P572" s="46"/>
      <c r="R572" s="15">
        <v>1.54E-2</v>
      </c>
      <c r="S572" s="18">
        <f>(Tabela2[[#This Row],[FRETE]]+Tabela2[[#This Row],[DESPESAS]]+Tabela2[[#This Row],[IPI]]+Tabela2[[#This Row],[Vl. Produto]])*Tabela2[[#This Row],[Aliq.%]]</f>
        <v>0</v>
      </c>
    </row>
    <row r="573" spans="13:19" x14ac:dyDescent="0.25">
      <c r="M573" s="46"/>
      <c r="N573" s="46"/>
      <c r="O573" s="46"/>
      <c r="P573" s="46"/>
      <c r="R573" s="15">
        <v>1.54E-2</v>
      </c>
      <c r="S573" s="18">
        <f>(Tabela2[[#This Row],[FRETE]]+Tabela2[[#This Row],[DESPESAS]]+Tabela2[[#This Row],[IPI]]+Tabela2[[#This Row],[Vl. Produto]])*Tabela2[[#This Row],[Aliq.%]]</f>
        <v>0</v>
      </c>
    </row>
    <row r="574" spans="13:19" x14ac:dyDescent="0.25">
      <c r="M574" s="46"/>
      <c r="N574" s="46"/>
      <c r="O574" s="46"/>
      <c r="P574" s="46"/>
      <c r="R574" s="15">
        <v>1.54E-2</v>
      </c>
      <c r="S574" s="18">
        <f>(Tabela2[[#This Row],[FRETE]]+Tabela2[[#This Row],[DESPESAS]]+Tabela2[[#This Row],[IPI]]+Tabela2[[#This Row],[Vl. Produto]])*Tabela2[[#This Row],[Aliq.%]]</f>
        <v>0</v>
      </c>
    </row>
    <row r="575" spans="13:19" x14ac:dyDescent="0.25">
      <c r="M575" s="46"/>
      <c r="N575" s="46"/>
      <c r="O575" s="46"/>
      <c r="P575" s="46"/>
      <c r="R575" s="15">
        <v>1.54E-2</v>
      </c>
      <c r="S575" s="18">
        <f>(Tabela2[[#This Row],[FRETE]]+Tabela2[[#This Row],[DESPESAS]]+Tabela2[[#This Row],[IPI]]+Tabela2[[#This Row],[Vl. Produto]])*Tabela2[[#This Row],[Aliq.%]]</f>
        <v>0</v>
      </c>
    </row>
    <row r="576" spans="13:19" x14ac:dyDescent="0.25">
      <c r="M576" s="46"/>
      <c r="N576" s="46"/>
      <c r="O576" s="46"/>
      <c r="P576" s="46"/>
      <c r="R576" s="15">
        <v>1.54E-2</v>
      </c>
      <c r="S576" s="18">
        <f>(Tabela2[[#This Row],[FRETE]]+Tabela2[[#This Row],[DESPESAS]]+Tabela2[[#This Row],[IPI]]+Tabela2[[#This Row],[Vl. Produto]])*Tabela2[[#This Row],[Aliq.%]]</f>
        <v>0</v>
      </c>
    </row>
    <row r="577" spans="13:19" x14ac:dyDescent="0.25">
      <c r="M577" s="46"/>
      <c r="N577" s="46"/>
      <c r="O577" s="46"/>
      <c r="P577" s="46"/>
      <c r="R577" s="15">
        <v>1.54E-2</v>
      </c>
      <c r="S577" s="18">
        <f>(Tabela2[[#This Row],[FRETE]]+Tabela2[[#This Row],[DESPESAS]]+Tabela2[[#This Row],[IPI]]+Tabela2[[#This Row],[Vl. Produto]])*Tabela2[[#This Row],[Aliq.%]]</f>
        <v>0</v>
      </c>
    </row>
    <row r="578" spans="13:19" x14ac:dyDescent="0.25">
      <c r="M578" s="46"/>
      <c r="N578" s="46"/>
      <c r="O578" s="46"/>
      <c r="P578" s="46"/>
      <c r="R578" s="15">
        <v>1.54E-2</v>
      </c>
      <c r="S578" s="18">
        <f>(Tabela2[[#This Row],[FRETE]]+Tabela2[[#This Row],[DESPESAS]]+Tabela2[[#This Row],[IPI]]+Tabela2[[#This Row],[Vl. Produto]])*Tabela2[[#This Row],[Aliq.%]]</f>
        <v>0</v>
      </c>
    </row>
    <row r="579" spans="13:19" x14ac:dyDescent="0.25">
      <c r="M579" s="46"/>
      <c r="N579" s="46"/>
      <c r="O579" s="46"/>
      <c r="P579" s="46"/>
      <c r="R579" s="15">
        <v>1.54E-2</v>
      </c>
      <c r="S579" s="18">
        <f>(Tabela2[[#This Row],[FRETE]]+Tabela2[[#This Row],[DESPESAS]]+Tabela2[[#This Row],[IPI]]+Tabela2[[#This Row],[Vl. Produto]])*Tabela2[[#This Row],[Aliq.%]]</f>
        <v>0</v>
      </c>
    </row>
    <row r="580" spans="13:19" x14ac:dyDescent="0.25">
      <c r="M580" s="46"/>
      <c r="N580" s="46"/>
      <c r="O580" s="46"/>
      <c r="P580" s="46"/>
      <c r="R580" s="15">
        <v>1.54E-2</v>
      </c>
      <c r="S580" s="18">
        <f>(Tabela2[[#This Row],[FRETE]]+Tabela2[[#This Row],[DESPESAS]]+Tabela2[[#This Row],[IPI]]+Tabela2[[#This Row],[Vl. Produto]])*Tabela2[[#This Row],[Aliq.%]]</f>
        <v>0</v>
      </c>
    </row>
    <row r="581" spans="13:19" x14ac:dyDescent="0.25">
      <c r="M581" s="46"/>
      <c r="N581" s="46"/>
      <c r="O581" s="46"/>
      <c r="P581" s="46"/>
      <c r="R581" s="15">
        <v>1.54E-2</v>
      </c>
      <c r="S581" s="18">
        <f>(Tabela2[[#This Row],[FRETE]]+Tabela2[[#This Row],[DESPESAS]]+Tabela2[[#This Row],[IPI]]+Tabela2[[#This Row],[Vl. Produto]])*Tabela2[[#This Row],[Aliq.%]]</f>
        <v>0</v>
      </c>
    </row>
    <row r="582" spans="13:19" x14ac:dyDescent="0.25">
      <c r="M582" s="46"/>
      <c r="N582" s="46"/>
      <c r="O582" s="46"/>
      <c r="P582" s="46"/>
      <c r="R582" s="15">
        <v>1.54E-2</v>
      </c>
      <c r="S582" s="18">
        <f>(Tabela2[[#This Row],[FRETE]]+Tabela2[[#This Row],[DESPESAS]]+Tabela2[[#This Row],[IPI]]+Tabela2[[#This Row],[Vl. Produto]])*Tabela2[[#This Row],[Aliq.%]]</f>
        <v>0</v>
      </c>
    </row>
    <row r="583" spans="13:19" x14ac:dyDescent="0.25">
      <c r="M583" s="46"/>
      <c r="N583" s="46"/>
      <c r="O583" s="46"/>
      <c r="P583" s="46"/>
      <c r="R583" s="15">
        <v>1.54E-2</v>
      </c>
      <c r="S583" s="18">
        <f>(Tabela2[[#This Row],[FRETE]]+Tabela2[[#This Row],[DESPESAS]]+Tabela2[[#This Row],[IPI]]+Tabela2[[#This Row],[Vl. Produto]])*Tabela2[[#This Row],[Aliq.%]]</f>
        <v>0</v>
      </c>
    </row>
    <row r="584" spans="13:19" x14ac:dyDescent="0.25">
      <c r="M584" s="46"/>
      <c r="N584" s="46"/>
      <c r="O584" s="46"/>
      <c r="P584" s="46"/>
      <c r="R584" s="15">
        <v>1.54E-2</v>
      </c>
      <c r="S584" s="18">
        <f>(Tabela2[[#This Row],[FRETE]]+Tabela2[[#This Row],[DESPESAS]]+Tabela2[[#This Row],[IPI]]+Tabela2[[#This Row],[Vl. Produto]])*Tabela2[[#This Row],[Aliq.%]]</f>
        <v>0</v>
      </c>
    </row>
    <row r="585" spans="13:19" x14ac:dyDescent="0.25">
      <c r="M585" s="46"/>
      <c r="N585" s="46"/>
      <c r="O585" s="46"/>
      <c r="P585" s="46"/>
      <c r="R585" s="15">
        <v>1.54E-2</v>
      </c>
      <c r="S585" s="18">
        <f>(Tabela2[[#This Row],[FRETE]]+Tabela2[[#This Row],[DESPESAS]]+Tabela2[[#This Row],[IPI]]+Tabela2[[#This Row],[Vl. Produto]])*Tabela2[[#This Row],[Aliq.%]]</f>
        <v>0</v>
      </c>
    </row>
    <row r="586" spans="13:19" x14ac:dyDescent="0.25">
      <c r="M586" s="46"/>
      <c r="N586" s="46"/>
      <c r="O586" s="46"/>
      <c r="P586" s="46"/>
      <c r="R586" s="15">
        <v>1.54E-2</v>
      </c>
      <c r="S586" s="18">
        <f>(Tabela2[[#This Row],[FRETE]]+Tabela2[[#This Row],[DESPESAS]]+Tabela2[[#This Row],[IPI]]+Tabela2[[#This Row],[Vl. Produto]])*Tabela2[[#This Row],[Aliq.%]]</f>
        <v>0</v>
      </c>
    </row>
    <row r="587" spans="13:19" x14ac:dyDescent="0.25">
      <c r="M587" s="46"/>
      <c r="N587" s="46"/>
      <c r="O587" s="46"/>
      <c r="P587" s="46"/>
      <c r="R587" s="15">
        <v>1.54E-2</v>
      </c>
      <c r="S587" s="18">
        <f>(Tabela2[[#This Row],[FRETE]]+Tabela2[[#This Row],[DESPESAS]]+Tabela2[[#This Row],[IPI]]+Tabela2[[#This Row],[Vl. Produto]])*Tabela2[[#This Row],[Aliq.%]]</f>
        <v>0</v>
      </c>
    </row>
    <row r="588" spans="13:19" x14ac:dyDescent="0.25">
      <c r="M588" s="46"/>
      <c r="N588" s="46"/>
      <c r="O588" s="46"/>
      <c r="P588" s="46"/>
      <c r="R588" s="15">
        <v>1.54E-2</v>
      </c>
      <c r="S588" s="18">
        <f>(Tabela2[[#This Row],[FRETE]]+Tabela2[[#This Row],[DESPESAS]]+Tabela2[[#This Row],[IPI]]+Tabela2[[#This Row],[Vl. Produto]])*Tabela2[[#This Row],[Aliq.%]]</f>
        <v>0</v>
      </c>
    </row>
    <row r="589" spans="13:19" x14ac:dyDescent="0.25">
      <c r="M589" s="46"/>
      <c r="N589" s="46"/>
      <c r="O589" s="46"/>
      <c r="P589" s="46"/>
      <c r="R589" s="15">
        <v>1.54E-2</v>
      </c>
      <c r="S589" s="18">
        <f>(Tabela2[[#This Row],[FRETE]]+Tabela2[[#This Row],[DESPESAS]]+Tabela2[[#This Row],[IPI]]+Tabela2[[#This Row],[Vl. Produto]])*Tabela2[[#This Row],[Aliq.%]]</f>
        <v>0</v>
      </c>
    </row>
    <row r="590" spans="13:19" x14ac:dyDescent="0.25">
      <c r="M590" s="46"/>
      <c r="N590" s="46"/>
      <c r="O590" s="46"/>
      <c r="P590" s="46"/>
      <c r="R590" s="15">
        <v>1.54E-2</v>
      </c>
      <c r="S590" s="18">
        <f>(Tabela2[[#This Row],[FRETE]]+Tabela2[[#This Row],[DESPESAS]]+Tabela2[[#This Row],[IPI]]+Tabela2[[#This Row],[Vl. Produto]])*Tabela2[[#This Row],[Aliq.%]]</f>
        <v>0</v>
      </c>
    </row>
    <row r="591" spans="13:19" x14ac:dyDescent="0.25">
      <c r="M591" s="46"/>
      <c r="N591" s="46"/>
      <c r="O591" s="46"/>
      <c r="P591" s="46"/>
      <c r="R591" s="15">
        <v>1.54E-2</v>
      </c>
      <c r="S591" s="18">
        <f>(Tabela2[[#This Row],[FRETE]]+Tabela2[[#This Row],[DESPESAS]]+Tabela2[[#This Row],[IPI]]+Tabela2[[#This Row],[Vl. Produto]])*Tabela2[[#This Row],[Aliq.%]]</f>
        <v>0</v>
      </c>
    </row>
    <row r="592" spans="13:19" x14ac:dyDescent="0.25">
      <c r="M592" s="46"/>
      <c r="N592" s="46"/>
      <c r="O592" s="46"/>
      <c r="P592" s="46"/>
      <c r="R592" s="15">
        <v>1.54E-2</v>
      </c>
      <c r="S592" s="18">
        <f>(Tabela2[[#This Row],[FRETE]]+Tabela2[[#This Row],[DESPESAS]]+Tabela2[[#This Row],[IPI]]+Tabela2[[#This Row],[Vl. Produto]])*Tabela2[[#This Row],[Aliq.%]]</f>
        <v>0</v>
      </c>
    </row>
    <row r="593" spans="13:19" x14ac:dyDescent="0.25">
      <c r="M593" s="46"/>
      <c r="N593" s="46"/>
      <c r="O593" s="46"/>
      <c r="P593" s="46"/>
      <c r="R593" s="15">
        <v>1.54E-2</v>
      </c>
      <c r="S593" s="18">
        <f>(Tabela2[[#This Row],[FRETE]]+Tabela2[[#This Row],[DESPESAS]]+Tabela2[[#This Row],[IPI]]+Tabela2[[#This Row],[Vl. Produto]])*Tabela2[[#This Row],[Aliq.%]]</f>
        <v>0</v>
      </c>
    </row>
    <row r="594" spans="13:19" x14ac:dyDescent="0.25">
      <c r="M594" s="46"/>
      <c r="N594" s="46"/>
      <c r="O594" s="46"/>
      <c r="P594" s="46"/>
      <c r="R594" s="15">
        <v>1.54E-2</v>
      </c>
      <c r="S594" s="18">
        <f>(Tabela2[[#This Row],[FRETE]]+Tabela2[[#This Row],[DESPESAS]]+Tabela2[[#This Row],[IPI]]+Tabela2[[#This Row],[Vl. Produto]])*Tabela2[[#This Row],[Aliq.%]]</f>
        <v>0</v>
      </c>
    </row>
    <row r="595" spans="13:19" x14ac:dyDescent="0.25">
      <c r="M595" s="46"/>
      <c r="N595" s="46"/>
      <c r="O595" s="46"/>
      <c r="P595" s="46"/>
      <c r="R595" s="15">
        <v>1.54E-2</v>
      </c>
      <c r="S595" s="18">
        <f>(Tabela2[[#This Row],[FRETE]]+Tabela2[[#This Row],[DESPESAS]]+Tabela2[[#This Row],[IPI]]+Tabela2[[#This Row],[Vl. Produto]])*Tabela2[[#This Row],[Aliq.%]]</f>
        <v>0</v>
      </c>
    </row>
    <row r="596" spans="13:19" x14ac:dyDescent="0.25">
      <c r="M596" s="46"/>
      <c r="N596" s="46"/>
      <c r="O596" s="46"/>
      <c r="P596" s="46"/>
      <c r="R596" s="15">
        <v>1.54E-2</v>
      </c>
      <c r="S596" s="18">
        <f>(Tabela2[[#This Row],[FRETE]]+Tabela2[[#This Row],[DESPESAS]]+Tabela2[[#This Row],[IPI]]+Tabela2[[#This Row],[Vl. Produto]])*Tabela2[[#This Row],[Aliq.%]]</f>
        <v>0</v>
      </c>
    </row>
    <row r="597" spans="13:19" x14ac:dyDescent="0.25">
      <c r="M597" s="46"/>
      <c r="N597" s="46"/>
      <c r="O597" s="46"/>
      <c r="P597" s="46"/>
      <c r="R597" s="15">
        <v>1.54E-2</v>
      </c>
      <c r="S597" s="18">
        <f>(Tabela2[[#This Row],[FRETE]]+Tabela2[[#This Row],[DESPESAS]]+Tabela2[[#This Row],[IPI]]+Tabela2[[#This Row],[Vl. Produto]])*Tabela2[[#This Row],[Aliq.%]]</f>
        <v>0</v>
      </c>
    </row>
    <row r="598" spans="13:19" x14ac:dyDescent="0.25">
      <c r="M598" s="46"/>
      <c r="N598" s="46"/>
      <c r="O598" s="46"/>
      <c r="P598" s="46"/>
      <c r="R598" s="15">
        <v>1.54E-2</v>
      </c>
      <c r="S598" s="18">
        <f>(Tabela2[[#This Row],[FRETE]]+Tabela2[[#This Row],[DESPESAS]]+Tabela2[[#This Row],[IPI]]+Tabela2[[#This Row],[Vl. Produto]])*Tabela2[[#This Row],[Aliq.%]]</f>
        <v>0</v>
      </c>
    </row>
    <row r="599" spans="13:19" x14ac:dyDescent="0.25">
      <c r="M599" s="46"/>
      <c r="N599" s="46"/>
      <c r="O599" s="46"/>
      <c r="P599" s="46"/>
      <c r="R599" s="15">
        <v>1.54E-2</v>
      </c>
      <c r="S599" s="18">
        <f>(Tabela2[[#This Row],[FRETE]]+Tabela2[[#This Row],[DESPESAS]]+Tabela2[[#This Row],[IPI]]+Tabela2[[#This Row],[Vl. Produto]])*Tabela2[[#This Row],[Aliq.%]]</f>
        <v>0</v>
      </c>
    </row>
    <row r="600" spans="13:19" x14ac:dyDescent="0.25">
      <c r="M600" s="46"/>
      <c r="N600" s="46"/>
      <c r="O600" s="46"/>
      <c r="P600" s="46"/>
      <c r="R600" s="15">
        <v>1.54E-2</v>
      </c>
      <c r="S600" s="18">
        <f>(Tabela2[[#This Row],[FRETE]]+Tabela2[[#This Row],[DESPESAS]]+Tabela2[[#This Row],[IPI]]+Tabela2[[#This Row],[Vl. Produto]])*Tabela2[[#This Row],[Aliq.%]]</f>
        <v>0</v>
      </c>
    </row>
    <row r="601" spans="13:19" x14ac:dyDescent="0.25">
      <c r="M601" s="46"/>
      <c r="N601" s="46"/>
      <c r="O601" s="46"/>
      <c r="P601" s="46"/>
      <c r="R601" s="15">
        <v>1.54E-2</v>
      </c>
      <c r="S601" s="18">
        <f>(Tabela2[[#This Row],[FRETE]]+Tabela2[[#This Row],[DESPESAS]]+Tabela2[[#This Row],[IPI]]+Tabela2[[#This Row],[Vl. Produto]])*Tabela2[[#This Row],[Aliq.%]]</f>
        <v>0</v>
      </c>
    </row>
    <row r="602" spans="13:19" x14ac:dyDescent="0.25">
      <c r="M602" s="46"/>
      <c r="N602" s="46"/>
      <c r="O602" s="46"/>
      <c r="P602" s="46"/>
      <c r="R602" s="15">
        <v>1.54E-2</v>
      </c>
      <c r="S602" s="18">
        <f>(Tabela2[[#This Row],[FRETE]]+Tabela2[[#This Row],[DESPESAS]]+Tabela2[[#This Row],[IPI]]+Tabela2[[#This Row],[Vl. Produto]])*Tabela2[[#This Row],[Aliq.%]]</f>
        <v>0</v>
      </c>
    </row>
    <row r="603" spans="13:19" x14ac:dyDescent="0.25">
      <c r="M603" s="46"/>
      <c r="N603" s="46"/>
      <c r="O603" s="46"/>
      <c r="P603" s="46"/>
      <c r="R603" s="15">
        <v>1.54E-2</v>
      </c>
      <c r="S603" s="18">
        <f>(Tabela2[[#This Row],[FRETE]]+Tabela2[[#This Row],[DESPESAS]]+Tabela2[[#This Row],[IPI]]+Tabela2[[#This Row],[Vl. Produto]])*Tabela2[[#This Row],[Aliq.%]]</f>
        <v>0</v>
      </c>
    </row>
    <row r="604" spans="13:19" x14ac:dyDescent="0.25">
      <c r="M604" s="46"/>
      <c r="N604" s="46"/>
      <c r="O604" s="46"/>
      <c r="P604" s="46"/>
      <c r="R604" s="15">
        <v>1.54E-2</v>
      </c>
      <c r="S604" s="18">
        <f>(Tabela2[[#This Row],[FRETE]]+Tabela2[[#This Row],[DESPESAS]]+Tabela2[[#This Row],[IPI]]+Tabela2[[#This Row],[Vl. Produto]])*Tabela2[[#This Row],[Aliq.%]]</f>
        <v>0</v>
      </c>
    </row>
    <row r="605" spans="13:19" x14ac:dyDescent="0.25">
      <c r="M605" s="46"/>
      <c r="N605" s="46"/>
      <c r="O605" s="46"/>
      <c r="P605" s="46"/>
      <c r="R605" s="15">
        <v>1.54E-2</v>
      </c>
      <c r="S605" s="18">
        <f>(Tabela2[[#This Row],[FRETE]]+Tabela2[[#This Row],[DESPESAS]]+Tabela2[[#This Row],[IPI]]+Tabela2[[#This Row],[Vl. Produto]])*Tabela2[[#This Row],[Aliq.%]]</f>
        <v>0</v>
      </c>
    </row>
    <row r="606" spans="13:19" x14ac:dyDescent="0.25">
      <c r="M606" s="46"/>
      <c r="N606" s="46"/>
      <c r="O606" s="46"/>
      <c r="P606" s="46"/>
      <c r="R606" s="15">
        <v>1.54E-2</v>
      </c>
      <c r="S606" s="18">
        <f>(Tabela2[[#This Row],[FRETE]]+Tabela2[[#This Row],[DESPESAS]]+Tabela2[[#This Row],[IPI]]+Tabela2[[#This Row],[Vl. Produto]])*Tabela2[[#This Row],[Aliq.%]]</f>
        <v>0</v>
      </c>
    </row>
    <row r="607" spans="13:19" x14ac:dyDescent="0.25">
      <c r="M607" s="46"/>
      <c r="N607" s="46"/>
      <c r="O607" s="46"/>
      <c r="P607" s="46"/>
      <c r="R607" s="15">
        <v>1.54E-2</v>
      </c>
      <c r="S607" s="18">
        <f>(Tabela2[[#This Row],[FRETE]]+Tabela2[[#This Row],[DESPESAS]]+Tabela2[[#This Row],[IPI]]+Tabela2[[#This Row],[Vl. Produto]])*Tabela2[[#This Row],[Aliq.%]]</f>
        <v>0</v>
      </c>
    </row>
    <row r="608" spans="13:19" x14ac:dyDescent="0.25">
      <c r="M608" s="46"/>
      <c r="N608" s="46"/>
      <c r="O608" s="46"/>
      <c r="P608" s="46"/>
      <c r="R608" s="15">
        <v>1.54E-2</v>
      </c>
      <c r="S608" s="18">
        <f>(Tabela2[[#This Row],[FRETE]]+Tabela2[[#This Row],[DESPESAS]]+Tabela2[[#This Row],[IPI]]+Tabela2[[#This Row],[Vl. Produto]])*Tabela2[[#This Row],[Aliq.%]]</f>
        <v>0</v>
      </c>
    </row>
    <row r="609" spans="13:19" x14ac:dyDescent="0.25">
      <c r="M609" s="46"/>
      <c r="N609" s="46"/>
      <c r="O609" s="46"/>
      <c r="P609" s="46"/>
      <c r="R609" s="15">
        <v>1.54E-2</v>
      </c>
      <c r="S609" s="18">
        <f>(Tabela2[[#This Row],[FRETE]]+Tabela2[[#This Row],[DESPESAS]]+Tabela2[[#This Row],[IPI]]+Tabela2[[#This Row],[Vl. Produto]])*Tabela2[[#This Row],[Aliq.%]]</f>
        <v>0</v>
      </c>
    </row>
    <row r="610" spans="13:19" x14ac:dyDescent="0.25">
      <c r="M610" s="46"/>
      <c r="N610" s="46"/>
      <c r="O610" s="46"/>
      <c r="P610" s="46"/>
      <c r="R610" s="15">
        <v>1.54E-2</v>
      </c>
      <c r="S610" s="18">
        <f>(Tabela2[[#This Row],[FRETE]]+Tabela2[[#This Row],[DESPESAS]]+Tabela2[[#This Row],[IPI]]+Tabela2[[#This Row],[Vl. Produto]])*Tabela2[[#This Row],[Aliq.%]]</f>
        <v>0</v>
      </c>
    </row>
    <row r="611" spans="13:19" x14ac:dyDescent="0.25">
      <c r="M611" s="46"/>
      <c r="N611" s="46"/>
      <c r="O611" s="46"/>
      <c r="P611" s="46"/>
      <c r="R611" s="15">
        <v>1.54E-2</v>
      </c>
      <c r="S611" s="18">
        <f>(Tabela2[[#This Row],[FRETE]]+Tabela2[[#This Row],[DESPESAS]]+Tabela2[[#This Row],[IPI]]+Tabela2[[#This Row],[Vl. Produto]])*Tabela2[[#This Row],[Aliq.%]]</f>
        <v>0</v>
      </c>
    </row>
    <row r="612" spans="13:19" x14ac:dyDescent="0.25">
      <c r="M612" s="46"/>
      <c r="N612" s="46"/>
      <c r="O612" s="46"/>
      <c r="P612" s="46"/>
      <c r="R612" s="15">
        <v>1.54E-2</v>
      </c>
      <c r="S612" s="18">
        <f>(Tabela2[[#This Row],[FRETE]]+Tabela2[[#This Row],[DESPESAS]]+Tabela2[[#This Row],[IPI]]+Tabela2[[#This Row],[Vl. Produto]])*Tabela2[[#This Row],[Aliq.%]]</f>
        <v>0</v>
      </c>
    </row>
    <row r="613" spans="13:19" x14ac:dyDescent="0.25">
      <c r="M613" s="46"/>
      <c r="N613" s="46"/>
      <c r="O613" s="46"/>
      <c r="P613" s="46"/>
      <c r="R613" s="15">
        <v>1.54E-2</v>
      </c>
      <c r="S613" s="18">
        <f>(Tabela2[[#This Row],[FRETE]]+Tabela2[[#This Row],[DESPESAS]]+Tabela2[[#This Row],[IPI]]+Tabela2[[#This Row],[Vl. Produto]])*Tabela2[[#This Row],[Aliq.%]]</f>
        <v>0</v>
      </c>
    </row>
    <row r="614" spans="13:19" x14ac:dyDescent="0.25">
      <c r="M614" s="46"/>
      <c r="N614" s="46"/>
      <c r="O614" s="46"/>
      <c r="P614" s="46"/>
      <c r="R614" s="15">
        <v>1.54E-2</v>
      </c>
      <c r="S614" s="18">
        <f>(Tabela2[[#This Row],[FRETE]]+Tabela2[[#This Row],[DESPESAS]]+Tabela2[[#This Row],[IPI]]+Tabela2[[#This Row],[Vl. Produto]])*Tabela2[[#This Row],[Aliq.%]]</f>
        <v>0</v>
      </c>
    </row>
    <row r="615" spans="13:19" x14ac:dyDescent="0.25">
      <c r="M615" s="46"/>
      <c r="N615" s="46"/>
      <c r="O615" s="46"/>
      <c r="P615" s="46"/>
      <c r="R615" s="15">
        <v>1.54E-2</v>
      </c>
      <c r="S615" s="18">
        <f>(Tabela2[[#This Row],[FRETE]]+Tabela2[[#This Row],[DESPESAS]]+Tabela2[[#This Row],[IPI]]+Tabela2[[#This Row],[Vl. Produto]])*Tabela2[[#This Row],[Aliq.%]]</f>
        <v>0</v>
      </c>
    </row>
    <row r="616" spans="13:19" x14ac:dyDescent="0.25">
      <c r="M616" s="46"/>
      <c r="N616" s="46"/>
      <c r="O616" s="46"/>
      <c r="P616" s="46"/>
      <c r="R616" s="15">
        <v>1.54E-2</v>
      </c>
      <c r="S616" s="18">
        <f>(Tabela2[[#This Row],[FRETE]]+Tabela2[[#This Row],[DESPESAS]]+Tabela2[[#This Row],[IPI]]+Tabela2[[#This Row],[Vl. Produto]])*Tabela2[[#This Row],[Aliq.%]]</f>
        <v>0</v>
      </c>
    </row>
    <row r="617" spans="13:19" x14ac:dyDescent="0.25">
      <c r="M617" s="46"/>
      <c r="N617" s="46"/>
      <c r="O617" s="46"/>
      <c r="P617" s="46"/>
      <c r="R617" s="15">
        <v>1.54E-2</v>
      </c>
      <c r="S617" s="18">
        <f>(Tabela2[[#This Row],[FRETE]]+Tabela2[[#This Row],[DESPESAS]]+Tabela2[[#This Row],[IPI]]+Tabela2[[#This Row],[Vl. Produto]])*Tabela2[[#This Row],[Aliq.%]]</f>
        <v>0</v>
      </c>
    </row>
    <row r="618" spans="13:19" x14ac:dyDescent="0.25">
      <c r="M618" s="46"/>
      <c r="N618" s="46"/>
      <c r="O618" s="46"/>
      <c r="P618" s="46"/>
      <c r="R618" s="15">
        <v>1.54E-2</v>
      </c>
      <c r="S618" s="18">
        <f>(Tabela2[[#This Row],[FRETE]]+Tabela2[[#This Row],[DESPESAS]]+Tabela2[[#This Row],[IPI]]+Tabela2[[#This Row],[Vl. Produto]])*Tabela2[[#This Row],[Aliq.%]]</f>
        <v>0</v>
      </c>
    </row>
    <row r="619" spans="13:19" x14ac:dyDescent="0.25">
      <c r="M619" s="46"/>
      <c r="N619" s="46"/>
      <c r="O619" s="46"/>
      <c r="P619" s="46"/>
      <c r="R619" s="15">
        <v>1.54E-2</v>
      </c>
      <c r="S619" s="18">
        <f>(Tabela2[[#This Row],[FRETE]]+Tabela2[[#This Row],[DESPESAS]]+Tabela2[[#This Row],[IPI]]+Tabela2[[#This Row],[Vl. Produto]])*Tabela2[[#This Row],[Aliq.%]]</f>
        <v>0</v>
      </c>
    </row>
    <row r="620" spans="13:19" x14ac:dyDescent="0.25">
      <c r="M620" s="46"/>
      <c r="N620" s="46"/>
      <c r="O620" s="46"/>
      <c r="P620" s="46"/>
      <c r="R620" s="15">
        <v>1.54E-2</v>
      </c>
      <c r="S620" s="18">
        <f>(Tabela2[[#This Row],[FRETE]]+Tabela2[[#This Row],[DESPESAS]]+Tabela2[[#This Row],[IPI]]+Tabela2[[#This Row],[Vl. Produto]])*Tabela2[[#This Row],[Aliq.%]]</f>
        <v>0</v>
      </c>
    </row>
    <row r="621" spans="13:19" x14ac:dyDescent="0.25">
      <c r="M621" s="46"/>
      <c r="N621" s="46"/>
      <c r="O621" s="46"/>
      <c r="P621" s="46"/>
      <c r="R621" s="15">
        <v>1.54E-2</v>
      </c>
      <c r="S621" s="18">
        <f>(Tabela2[[#This Row],[FRETE]]+Tabela2[[#This Row],[DESPESAS]]+Tabela2[[#This Row],[IPI]]+Tabela2[[#This Row],[Vl. Produto]])*Tabela2[[#This Row],[Aliq.%]]</f>
        <v>0</v>
      </c>
    </row>
    <row r="622" spans="13:19" x14ac:dyDescent="0.25">
      <c r="M622" s="46"/>
      <c r="N622" s="46"/>
      <c r="O622" s="46"/>
      <c r="P622" s="46"/>
      <c r="R622" s="15">
        <v>1.54E-2</v>
      </c>
      <c r="S622" s="18">
        <f>(Tabela2[[#This Row],[FRETE]]+Tabela2[[#This Row],[DESPESAS]]+Tabela2[[#This Row],[IPI]]+Tabela2[[#This Row],[Vl. Produto]])*Tabela2[[#This Row],[Aliq.%]]</f>
        <v>0</v>
      </c>
    </row>
    <row r="623" spans="13:19" x14ac:dyDescent="0.25">
      <c r="M623" s="46"/>
      <c r="N623" s="46"/>
      <c r="O623" s="46"/>
      <c r="P623" s="46"/>
      <c r="R623" s="15">
        <v>1.54E-2</v>
      </c>
      <c r="S623" s="18">
        <f>(Tabela2[[#This Row],[FRETE]]+Tabela2[[#This Row],[DESPESAS]]+Tabela2[[#This Row],[IPI]]+Tabela2[[#This Row],[Vl. Produto]])*Tabela2[[#This Row],[Aliq.%]]</f>
        <v>0</v>
      </c>
    </row>
    <row r="624" spans="13:19" x14ac:dyDescent="0.25">
      <c r="M624" s="46"/>
      <c r="N624" s="46"/>
      <c r="O624" s="46"/>
      <c r="P624" s="46"/>
      <c r="R624" s="15">
        <v>1.54E-2</v>
      </c>
      <c r="S624" s="18">
        <f>(Tabela2[[#This Row],[FRETE]]+Tabela2[[#This Row],[DESPESAS]]+Tabela2[[#This Row],[IPI]]+Tabela2[[#This Row],[Vl. Produto]])*Tabela2[[#This Row],[Aliq.%]]</f>
        <v>0</v>
      </c>
    </row>
    <row r="625" spans="13:19" x14ac:dyDescent="0.25">
      <c r="M625" s="46"/>
      <c r="N625" s="46"/>
      <c r="O625" s="46"/>
      <c r="P625" s="46"/>
      <c r="R625" s="15">
        <v>1.54E-2</v>
      </c>
      <c r="S625" s="18">
        <f>(Tabela2[[#This Row],[FRETE]]+Tabela2[[#This Row],[DESPESAS]]+Tabela2[[#This Row],[IPI]]+Tabela2[[#This Row],[Vl. Produto]])*Tabela2[[#This Row],[Aliq.%]]</f>
        <v>0</v>
      </c>
    </row>
    <row r="626" spans="13:19" x14ac:dyDescent="0.25">
      <c r="M626" s="46"/>
      <c r="N626" s="46"/>
      <c r="O626" s="46"/>
      <c r="P626" s="46"/>
      <c r="R626" s="15">
        <v>1.54E-2</v>
      </c>
      <c r="S626" s="18">
        <f>(Tabela2[[#This Row],[FRETE]]+Tabela2[[#This Row],[DESPESAS]]+Tabela2[[#This Row],[IPI]]+Tabela2[[#This Row],[Vl. Produto]])*Tabela2[[#This Row],[Aliq.%]]</f>
        <v>0</v>
      </c>
    </row>
    <row r="627" spans="13:19" x14ac:dyDescent="0.25">
      <c r="M627" s="46"/>
      <c r="N627" s="46"/>
      <c r="O627" s="46"/>
      <c r="P627" s="46"/>
      <c r="R627" s="15">
        <v>1.54E-2</v>
      </c>
      <c r="S627" s="18">
        <f>(Tabela2[[#This Row],[FRETE]]+Tabela2[[#This Row],[DESPESAS]]+Tabela2[[#This Row],[IPI]]+Tabela2[[#This Row],[Vl. Produto]])*Tabela2[[#This Row],[Aliq.%]]</f>
        <v>0</v>
      </c>
    </row>
    <row r="628" spans="13:19" x14ac:dyDescent="0.25">
      <c r="M628" s="46"/>
      <c r="N628" s="46"/>
      <c r="O628" s="46"/>
      <c r="P628" s="46"/>
      <c r="R628" s="15">
        <v>1.54E-2</v>
      </c>
      <c r="S628" s="18">
        <f>(Tabela2[[#This Row],[FRETE]]+Tabela2[[#This Row],[DESPESAS]]+Tabela2[[#This Row],[IPI]]+Tabela2[[#This Row],[Vl. Produto]])*Tabela2[[#This Row],[Aliq.%]]</f>
        <v>0</v>
      </c>
    </row>
    <row r="629" spans="13:19" x14ac:dyDescent="0.25">
      <c r="M629" s="46"/>
      <c r="N629" s="46"/>
      <c r="O629" s="46"/>
      <c r="P629" s="46"/>
      <c r="R629" s="15">
        <v>1.54E-2</v>
      </c>
      <c r="S629" s="18">
        <f>(Tabela2[[#This Row],[FRETE]]+Tabela2[[#This Row],[DESPESAS]]+Tabela2[[#This Row],[IPI]]+Tabela2[[#This Row],[Vl. Produto]])*Tabela2[[#This Row],[Aliq.%]]</f>
        <v>0</v>
      </c>
    </row>
    <row r="630" spans="13:19" x14ac:dyDescent="0.25">
      <c r="M630" s="46"/>
      <c r="N630" s="46"/>
      <c r="O630" s="46"/>
      <c r="P630" s="46"/>
      <c r="R630" s="15">
        <v>1.54E-2</v>
      </c>
      <c r="S630" s="18">
        <f>(Tabela2[[#This Row],[FRETE]]+Tabela2[[#This Row],[DESPESAS]]+Tabela2[[#This Row],[IPI]]+Tabela2[[#This Row],[Vl. Produto]])*Tabela2[[#This Row],[Aliq.%]]</f>
        <v>0</v>
      </c>
    </row>
    <row r="631" spans="13:19" x14ac:dyDescent="0.25">
      <c r="M631" s="46"/>
      <c r="N631" s="46"/>
      <c r="O631" s="46"/>
      <c r="P631" s="46"/>
      <c r="R631" s="15">
        <v>1.54E-2</v>
      </c>
      <c r="S631" s="18">
        <f>(Tabela2[[#This Row],[FRETE]]+Tabela2[[#This Row],[DESPESAS]]+Tabela2[[#This Row],[IPI]]+Tabela2[[#This Row],[Vl. Produto]])*Tabela2[[#This Row],[Aliq.%]]</f>
        <v>0</v>
      </c>
    </row>
    <row r="632" spans="13:19" x14ac:dyDescent="0.25">
      <c r="M632" s="46"/>
      <c r="N632" s="46"/>
      <c r="O632" s="46"/>
      <c r="P632" s="46"/>
      <c r="R632" s="15">
        <v>1.54E-2</v>
      </c>
      <c r="S632" s="18">
        <f>(Tabela2[[#This Row],[FRETE]]+Tabela2[[#This Row],[DESPESAS]]+Tabela2[[#This Row],[IPI]]+Tabela2[[#This Row],[Vl. Produto]])*Tabela2[[#This Row],[Aliq.%]]</f>
        <v>0</v>
      </c>
    </row>
    <row r="633" spans="13:19" x14ac:dyDescent="0.25">
      <c r="M633" s="46"/>
      <c r="N633" s="46"/>
      <c r="O633" s="46"/>
      <c r="P633" s="46"/>
      <c r="R633" s="15">
        <v>1.54E-2</v>
      </c>
      <c r="S633" s="18">
        <f>(Tabela2[[#This Row],[FRETE]]+Tabela2[[#This Row],[DESPESAS]]+Tabela2[[#This Row],[IPI]]+Tabela2[[#This Row],[Vl. Produto]])*Tabela2[[#This Row],[Aliq.%]]</f>
        <v>0</v>
      </c>
    </row>
    <row r="634" spans="13:19" x14ac:dyDescent="0.25">
      <c r="M634" s="46"/>
      <c r="N634" s="46"/>
      <c r="O634" s="46"/>
      <c r="P634" s="46"/>
      <c r="R634" s="15">
        <v>1.54E-2</v>
      </c>
      <c r="S634" s="18">
        <f>(Tabela2[[#This Row],[FRETE]]+Tabela2[[#This Row],[DESPESAS]]+Tabela2[[#This Row],[IPI]]+Tabela2[[#This Row],[Vl. Produto]])*Tabela2[[#This Row],[Aliq.%]]</f>
        <v>0</v>
      </c>
    </row>
    <row r="635" spans="13:19" x14ac:dyDescent="0.25">
      <c r="M635" s="46"/>
      <c r="N635" s="46"/>
      <c r="O635" s="46"/>
      <c r="P635" s="46"/>
      <c r="R635" s="15">
        <v>1.54E-2</v>
      </c>
      <c r="S635" s="18">
        <f>(Tabela2[[#This Row],[FRETE]]+Tabela2[[#This Row],[DESPESAS]]+Tabela2[[#This Row],[IPI]]+Tabela2[[#This Row],[Vl. Produto]])*Tabela2[[#This Row],[Aliq.%]]</f>
        <v>0</v>
      </c>
    </row>
    <row r="636" spans="13:19" x14ac:dyDescent="0.25">
      <c r="M636" s="46"/>
      <c r="N636" s="46"/>
      <c r="O636" s="46"/>
      <c r="P636" s="46"/>
      <c r="R636" s="15">
        <v>1.54E-2</v>
      </c>
      <c r="S636" s="18">
        <f>(Tabela2[[#This Row],[FRETE]]+Tabela2[[#This Row],[DESPESAS]]+Tabela2[[#This Row],[IPI]]+Tabela2[[#This Row],[Vl. Produto]])*Tabela2[[#This Row],[Aliq.%]]</f>
        <v>0</v>
      </c>
    </row>
    <row r="637" spans="13:19" x14ac:dyDescent="0.25">
      <c r="M637" s="46"/>
      <c r="N637" s="46"/>
      <c r="O637" s="46"/>
      <c r="P637" s="46"/>
      <c r="R637" s="15">
        <v>1.54E-2</v>
      </c>
      <c r="S637" s="18">
        <f>(Tabela2[[#This Row],[FRETE]]+Tabela2[[#This Row],[DESPESAS]]+Tabela2[[#This Row],[IPI]]+Tabela2[[#This Row],[Vl. Produto]])*Tabela2[[#This Row],[Aliq.%]]</f>
        <v>0</v>
      </c>
    </row>
    <row r="638" spans="13:19" x14ac:dyDescent="0.25">
      <c r="M638" s="46"/>
      <c r="N638" s="46"/>
      <c r="O638" s="46"/>
      <c r="P638" s="46"/>
      <c r="R638" s="15">
        <v>1.54E-2</v>
      </c>
      <c r="S638" s="18">
        <f>(Tabela2[[#This Row],[FRETE]]+Tabela2[[#This Row],[DESPESAS]]+Tabela2[[#This Row],[IPI]]+Tabela2[[#This Row],[Vl. Produto]])*Tabela2[[#This Row],[Aliq.%]]</f>
        <v>0</v>
      </c>
    </row>
    <row r="639" spans="13:19" x14ac:dyDescent="0.25">
      <c r="M639" s="46"/>
      <c r="N639" s="46"/>
      <c r="O639" s="46"/>
      <c r="P639" s="46"/>
      <c r="R639" s="15">
        <v>1.54E-2</v>
      </c>
      <c r="S639" s="18">
        <f>(Tabela2[[#This Row],[FRETE]]+Tabela2[[#This Row],[DESPESAS]]+Tabela2[[#This Row],[IPI]]+Tabela2[[#This Row],[Vl. Produto]])*Tabela2[[#This Row],[Aliq.%]]</f>
        <v>0</v>
      </c>
    </row>
    <row r="640" spans="13:19" x14ac:dyDescent="0.25">
      <c r="M640" s="46"/>
      <c r="N640" s="46"/>
      <c r="O640" s="46"/>
      <c r="P640" s="46"/>
      <c r="R640" s="15">
        <v>1.54E-2</v>
      </c>
      <c r="S640" s="18">
        <f>(Tabela2[[#This Row],[FRETE]]+Tabela2[[#This Row],[DESPESAS]]+Tabela2[[#This Row],[IPI]]+Tabela2[[#This Row],[Vl. Produto]])*Tabela2[[#This Row],[Aliq.%]]</f>
        <v>0</v>
      </c>
    </row>
    <row r="641" spans="13:19" x14ac:dyDescent="0.25">
      <c r="M641" s="46"/>
      <c r="N641" s="46"/>
      <c r="O641" s="46"/>
      <c r="P641" s="46"/>
      <c r="R641" s="15">
        <v>1.54E-2</v>
      </c>
      <c r="S641" s="18">
        <f>(Tabela2[[#This Row],[FRETE]]+Tabela2[[#This Row],[DESPESAS]]+Tabela2[[#This Row],[IPI]]+Tabela2[[#This Row],[Vl. Produto]])*Tabela2[[#This Row],[Aliq.%]]</f>
        <v>0</v>
      </c>
    </row>
    <row r="642" spans="13:19" x14ac:dyDescent="0.25">
      <c r="M642" s="46"/>
      <c r="N642" s="46"/>
      <c r="O642" s="46"/>
      <c r="P642" s="46"/>
      <c r="R642" s="15">
        <v>1.54E-2</v>
      </c>
      <c r="S642" s="18">
        <f>(Tabela2[[#This Row],[FRETE]]+Tabela2[[#This Row],[DESPESAS]]+Tabela2[[#This Row],[IPI]]+Tabela2[[#This Row],[Vl. Produto]])*Tabela2[[#This Row],[Aliq.%]]</f>
        <v>0</v>
      </c>
    </row>
    <row r="643" spans="13:19" x14ac:dyDescent="0.25">
      <c r="M643" s="46"/>
      <c r="N643" s="46"/>
      <c r="O643" s="46"/>
      <c r="P643" s="46"/>
      <c r="R643" s="15">
        <v>1.54E-2</v>
      </c>
      <c r="S643" s="18">
        <f>(Tabela2[[#This Row],[FRETE]]+Tabela2[[#This Row],[DESPESAS]]+Tabela2[[#This Row],[IPI]]+Tabela2[[#This Row],[Vl. Produto]])*Tabela2[[#This Row],[Aliq.%]]</f>
        <v>0</v>
      </c>
    </row>
    <row r="644" spans="13:19" x14ac:dyDescent="0.25">
      <c r="M644" s="46"/>
      <c r="N644" s="46"/>
      <c r="O644" s="46"/>
      <c r="P644" s="46"/>
      <c r="R644" s="15">
        <v>1.54E-2</v>
      </c>
      <c r="S644" s="18">
        <f>(Tabela2[[#This Row],[FRETE]]+Tabela2[[#This Row],[DESPESAS]]+Tabela2[[#This Row],[IPI]]+Tabela2[[#This Row],[Vl. Produto]])*Tabela2[[#This Row],[Aliq.%]]</f>
        <v>0</v>
      </c>
    </row>
    <row r="645" spans="13:19" x14ac:dyDescent="0.25">
      <c r="M645" s="46"/>
      <c r="N645" s="46"/>
      <c r="O645" s="46"/>
      <c r="P645" s="46"/>
      <c r="R645" s="15">
        <v>1.54E-2</v>
      </c>
      <c r="S645" s="18">
        <f>(Tabela2[[#This Row],[FRETE]]+Tabela2[[#This Row],[DESPESAS]]+Tabela2[[#This Row],[IPI]]+Tabela2[[#This Row],[Vl. Produto]])*Tabela2[[#This Row],[Aliq.%]]</f>
        <v>0</v>
      </c>
    </row>
    <row r="646" spans="13:19" x14ac:dyDescent="0.25">
      <c r="M646" s="46"/>
      <c r="N646" s="46"/>
      <c r="O646" s="46"/>
      <c r="P646" s="46"/>
      <c r="R646" s="15">
        <v>1.54E-2</v>
      </c>
      <c r="S646" s="18">
        <f>(Tabela2[[#This Row],[FRETE]]+Tabela2[[#This Row],[DESPESAS]]+Tabela2[[#This Row],[IPI]]+Tabela2[[#This Row],[Vl. Produto]])*Tabela2[[#This Row],[Aliq.%]]</f>
        <v>0</v>
      </c>
    </row>
    <row r="647" spans="13:19" x14ac:dyDescent="0.25">
      <c r="M647" s="46"/>
      <c r="N647" s="46"/>
      <c r="O647" s="46"/>
      <c r="P647" s="46"/>
      <c r="R647" s="15">
        <v>1.54E-2</v>
      </c>
      <c r="S647" s="18">
        <f>(Tabela2[[#This Row],[FRETE]]+Tabela2[[#This Row],[DESPESAS]]+Tabela2[[#This Row],[IPI]]+Tabela2[[#This Row],[Vl. Produto]])*Tabela2[[#This Row],[Aliq.%]]</f>
        <v>0</v>
      </c>
    </row>
    <row r="648" spans="13:19" x14ac:dyDescent="0.25">
      <c r="M648" s="46"/>
      <c r="N648" s="46"/>
      <c r="O648" s="46"/>
      <c r="P648" s="46"/>
      <c r="R648" s="15">
        <v>1.54E-2</v>
      </c>
      <c r="S648" s="18">
        <f>(Tabela2[[#This Row],[FRETE]]+Tabela2[[#This Row],[DESPESAS]]+Tabela2[[#This Row],[IPI]]+Tabela2[[#This Row],[Vl. Produto]])*Tabela2[[#This Row],[Aliq.%]]</f>
        <v>0</v>
      </c>
    </row>
    <row r="649" spans="13:19" x14ac:dyDescent="0.25">
      <c r="M649" s="46"/>
      <c r="N649" s="46"/>
      <c r="O649" s="46"/>
      <c r="P649" s="46"/>
      <c r="R649" s="15">
        <v>1.54E-2</v>
      </c>
      <c r="S649" s="18">
        <f>(Tabela2[[#This Row],[FRETE]]+Tabela2[[#This Row],[DESPESAS]]+Tabela2[[#This Row],[IPI]]+Tabela2[[#This Row],[Vl. Produto]])*Tabela2[[#This Row],[Aliq.%]]</f>
        <v>0</v>
      </c>
    </row>
    <row r="650" spans="13:19" x14ac:dyDescent="0.25">
      <c r="M650" s="46"/>
      <c r="N650" s="46"/>
      <c r="O650" s="46"/>
      <c r="P650" s="46"/>
      <c r="R650" s="15">
        <v>1.54E-2</v>
      </c>
      <c r="S650" s="18">
        <f>(Tabela2[[#This Row],[FRETE]]+Tabela2[[#This Row],[DESPESAS]]+Tabela2[[#This Row],[IPI]]+Tabela2[[#This Row],[Vl. Produto]])*Tabela2[[#This Row],[Aliq.%]]</f>
        <v>0</v>
      </c>
    </row>
    <row r="651" spans="13:19" x14ac:dyDescent="0.25">
      <c r="M651" s="46"/>
      <c r="N651" s="46"/>
      <c r="O651" s="46"/>
      <c r="P651" s="46"/>
      <c r="R651" s="15">
        <v>1.54E-2</v>
      </c>
      <c r="S651" s="18">
        <f>(Tabela2[[#This Row],[FRETE]]+Tabela2[[#This Row],[DESPESAS]]+Tabela2[[#This Row],[IPI]]+Tabela2[[#This Row],[Vl. Produto]])*Tabela2[[#This Row],[Aliq.%]]</f>
        <v>0</v>
      </c>
    </row>
    <row r="652" spans="13:19" x14ac:dyDescent="0.25">
      <c r="M652" s="46"/>
      <c r="N652" s="46"/>
      <c r="O652" s="46"/>
      <c r="P652" s="46"/>
      <c r="R652" s="15">
        <v>1.54E-2</v>
      </c>
      <c r="S652" s="18">
        <f>(Tabela2[[#This Row],[FRETE]]+Tabela2[[#This Row],[DESPESAS]]+Tabela2[[#This Row],[IPI]]+Tabela2[[#This Row],[Vl. Produto]])*Tabela2[[#This Row],[Aliq.%]]</f>
        <v>0</v>
      </c>
    </row>
    <row r="653" spans="13:19" x14ac:dyDescent="0.25">
      <c r="M653" s="46"/>
      <c r="N653" s="46"/>
      <c r="O653" s="46"/>
      <c r="P653" s="46"/>
      <c r="R653" s="15">
        <v>1.54E-2</v>
      </c>
      <c r="S653" s="18">
        <f>(Tabela2[[#This Row],[FRETE]]+Tabela2[[#This Row],[DESPESAS]]+Tabela2[[#This Row],[IPI]]+Tabela2[[#This Row],[Vl. Produto]])*Tabela2[[#This Row],[Aliq.%]]</f>
        <v>0</v>
      </c>
    </row>
    <row r="654" spans="13:19" x14ac:dyDescent="0.25">
      <c r="M654" s="46"/>
      <c r="N654" s="46"/>
      <c r="O654" s="46"/>
      <c r="P654" s="46"/>
      <c r="R654" s="15">
        <v>1.54E-2</v>
      </c>
      <c r="S654" s="18">
        <f>(Tabela2[[#This Row],[FRETE]]+Tabela2[[#This Row],[DESPESAS]]+Tabela2[[#This Row],[IPI]]+Tabela2[[#This Row],[Vl. Produto]])*Tabela2[[#This Row],[Aliq.%]]</f>
        <v>0</v>
      </c>
    </row>
    <row r="655" spans="13:19" x14ac:dyDescent="0.25">
      <c r="M655" s="46"/>
      <c r="N655" s="46"/>
      <c r="O655" s="46"/>
      <c r="P655" s="46"/>
      <c r="R655" s="15">
        <v>1.54E-2</v>
      </c>
      <c r="S655" s="18">
        <f>(Tabela2[[#This Row],[FRETE]]+Tabela2[[#This Row],[DESPESAS]]+Tabela2[[#This Row],[IPI]]+Tabela2[[#This Row],[Vl. Produto]])*Tabela2[[#This Row],[Aliq.%]]</f>
        <v>0</v>
      </c>
    </row>
    <row r="656" spans="13:19" x14ac:dyDescent="0.25">
      <c r="M656" s="46"/>
      <c r="N656" s="46"/>
      <c r="O656" s="46"/>
      <c r="P656" s="46"/>
      <c r="R656" s="15">
        <v>1.54E-2</v>
      </c>
      <c r="S656" s="18">
        <f>(Tabela2[[#This Row],[FRETE]]+Tabela2[[#This Row],[DESPESAS]]+Tabela2[[#This Row],[IPI]]+Tabela2[[#This Row],[Vl. Produto]])*Tabela2[[#This Row],[Aliq.%]]</f>
        <v>0</v>
      </c>
    </row>
    <row r="657" spans="13:19" x14ac:dyDescent="0.25">
      <c r="M657" s="46"/>
      <c r="N657" s="46"/>
      <c r="O657" s="46"/>
      <c r="P657" s="46"/>
      <c r="R657" s="15">
        <v>1.54E-2</v>
      </c>
      <c r="S657" s="18">
        <f>(Tabela2[[#This Row],[FRETE]]+Tabela2[[#This Row],[DESPESAS]]+Tabela2[[#This Row],[IPI]]+Tabela2[[#This Row],[Vl. Produto]])*Tabela2[[#This Row],[Aliq.%]]</f>
        <v>0</v>
      </c>
    </row>
    <row r="658" spans="13:19" x14ac:dyDescent="0.25">
      <c r="M658" s="46"/>
      <c r="N658" s="46"/>
      <c r="O658" s="46"/>
      <c r="P658" s="46"/>
      <c r="R658" s="15">
        <v>1.54E-2</v>
      </c>
      <c r="S658" s="18">
        <f>(Tabela2[[#This Row],[FRETE]]+Tabela2[[#This Row],[DESPESAS]]+Tabela2[[#This Row],[IPI]]+Tabela2[[#This Row],[Vl. Produto]])*Tabela2[[#This Row],[Aliq.%]]</f>
        <v>0</v>
      </c>
    </row>
    <row r="659" spans="13:19" x14ac:dyDescent="0.25">
      <c r="M659" s="46"/>
      <c r="N659" s="46"/>
      <c r="O659" s="46"/>
      <c r="P659" s="46"/>
      <c r="R659" s="15">
        <v>1.54E-2</v>
      </c>
      <c r="S659" s="18">
        <f>(Tabela2[[#This Row],[FRETE]]+Tabela2[[#This Row],[DESPESAS]]+Tabela2[[#This Row],[IPI]]+Tabela2[[#This Row],[Vl. Produto]])*Tabela2[[#This Row],[Aliq.%]]</f>
        <v>0</v>
      </c>
    </row>
    <row r="660" spans="13:19" x14ac:dyDescent="0.25">
      <c r="M660" s="46"/>
      <c r="N660" s="46"/>
      <c r="O660" s="46"/>
      <c r="P660" s="46"/>
      <c r="R660" s="15">
        <v>1.54E-2</v>
      </c>
      <c r="S660" s="18">
        <f>(Tabela2[[#This Row],[FRETE]]+Tabela2[[#This Row],[DESPESAS]]+Tabela2[[#This Row],[IPI]]+Tabela2[[#This Row],[Vl. Produto]])*Tabela2[[#This Row],[Aliq.%]]</f>
        <v>0</v>
      </c>
    </row>
    <row r="661" spans="13:19" x14ac:dyDescent="0.25">
      <c r="M661" s="46"/>
      <c r="N661" s="46"/>
      <c r="O661" s="46"/>
      <c r="P661" s="46"/>
      <c r="R661" s="15">
        <v>1.54E-2</v>
      </c>
      <c r="S661" s="18">
        <f>(Tabela2[[#This Row],[FRETE]]+Tabela2[[#This Row],[DESPESAS]]+Tabela2[[#This Row],[IPI]]+Tabela2[[#This Row],[Vl. Produto]])*Tabela2[[#This Row],[Aliq.%]]</f>
        <v>0</v>
      </c>
    </row>
    <row r="662" spans="13:19" x14ac:dyDescent="0.25">
      <c r="M662" s="46"/>
      <c r="N662" s="46"/>
      <c r="O662" s="46"/>
      <c r="P662" s="46"/>
      <c r="R662" s="15">
        <v>1.54E-2</v>
      </c>
      <c r="S662" s="18">
        <f>(Tabela2[[#This Row],[FRETE]]+Tabela2[[#This Row],[DESPESAS]]+Tabela2[[#This Row],[IPI]]+Tabela2[[#This Row],[Vl. Produto]])*Tabela2[[#This Row],[Aliq.%]]</f>
        <v>0</v>
      </c>
    </row>
    <row r="663" spans="13:19" x14ac:dyDescent="0.25">
      <c r="M663" s="46"/>
      <c r="N663" s="46"/>
      <c r="O663" s="46"/>
      <c r="P663" s="46"/>
      <c r="R663" s="15">
        <v>1.54E-2</v>
      </c>
      <c r="S663" s="18">
        <f>(Tabela2[[#This Row],[FRETE]]+Tabela2[[#This Row],[DESPESAS]]+Tabela2[[#This Row],[IPI]]+Tabela2[[#This Row],[Vl. Produto]])*Tabela2[[#This Row],[Aliq.%]]</f>
        <v>0</v>
      </c>
    </row>
    <row r="664" spans="13:19" x14ac:dyDescent="0.25">
      <c r="M664" s="46"/>
      <c r="N664" s="46"/>
      <c r="O664" s="46"/>
      <c r="P664" s="46"/>
      <c r="R664" s="15">
        <v>1.54E-2</v>
      </c>
      <c r="S664" s="18">
        <f>(Tabela2[[#This Row],[FRETE]]+Tabela2[[#This Row],[DESPESAS]]+Tabela2[[#This Row],[IPI]]+Tabela2[[#This Row],[Vl. Produto]])*Tabela2[[#This Row],[Aliq.%]]</f>
        <v>0</v>
      </c>
    </row>
    <row r="665" spans="13:19" x14ac:dyDescent="0.25">
      <c r="M665" s="46"/>
      <c r="N665" s="46"/>
      <c r="O665" s="46"/>
      <c r="P665" s="46"/>
      <c r="R665" s="15">
        <v>1.54E-2</v>
      </c>
      <c r="S665" s="18">
        <f>(Tabela2[[#This Row],[FRETE]]+Tabela2[[#This Row],[DESPESAS]]+Tabela2[[#This Row],[IPI]]+Tabela2[[#This Row],[Vl. Produto]])*Tabela2[[#This Row],[Aliq.%]]</f>
        <v>0</v>
      </c>
    </row>
    <row r="666" spans="13:19" x14ac:dyDescent="0.25">
      <c r="M666" s="46"/>
      <c r="N666" s="46"/>
      <c r="O666" s="46"/>
      <c r="P666" s="46"/>
      <c r="R666" s="15">
        <v>1.54E-2</v>
      </c>
      <c r="S666" s="18">
        <f>(Tabela2[[#This Row],[FRETE]]+Tabela2[[#This Row],[DESPESAS]]+Tabela2[[#This Row],[IPI]]+Tabela2[[#This Row],[Vl. Produto]])*Tabela2[[#This Row],[Aliq.%]]</f>
        <v>0</v>
      </c>
    </row>
    <row r="667" spans="13:19" x14ac:dyDescent="0.25">
      <c r="M667" s="46"/>
      <c r="N667" s="46"/>
      <c r="O667" s="46"/>
      <c r="P667" s="46"/>
      <c r="R667" s="15">
        <v>1.54E-2</v>
      </c>
      <c r="S667" s="18">
        <f>(Tabela2[[#This Row],[FRETE]]+Tabela2[[#This Row],[DESPESAS]]+Tabela2[[#This Row],[IPI]]+Tabela2[[#This Row],[Vl. Produto]])*Tabela2[[#This Row],[Aliq.%]]</f>
        <v>0</v>
      </c>
    </row>
    <row r="668" spans="13:19" x14ac:dyDescent="0.25">
      <c r="M668" s="46"/>
      <c r="N668" s="46"/>
      <c r="O668" s="46"/>
      <c r="P668" s="46"/>
      <c r="R668" s="15">
        <v>1.54E-2</v>
      </c>
      <c r="S668" s="18">
        <f>(Tabela2[[#This Row],[FRETE]]+Tabela2[[#This Row],[DESPESAS]]+Tabela2[[#This Row],[IPI]]+Tabela2[[#This Row],[Vl. Produto]])*Tabela2[[#This Row],[Aliq.%]]</f>
        <v>0</v>
      </c>
    </row>
    <row r="669" spans="13:19" x14ac:dyDescent="0.25">
      <c r="M669" s="46"/>
      <c r="N669" s="46"/>
      <c r="O669" s="46"/>
      <c r="P669" s="46"/>
      <c r="R669" s="15">
        <v>1.54E-2</v>
      </c>
      <c r="S669" s="18">
        <f>(Tabela2[[#This Row],[FRETE]]+Tabela2[[#This Row],[DESPESAS]]+Tabela2[[#This Row],[IPI]]+Tabela2[[#This Row],[Vl. Produto]])*Tabela2[[#This Row],[Aliq.%]]</f>
        <v>0</v>
      </c>
    </row>
    <row r="670" spans="13:19" x14ac:dyDescent="0.25">
      <c r="M670" s="46"/>
      <c r="N670" s="46"/>
      <c r="O670" s="46"/>
      <c r="P670" s="46"/>
      <c r="R670" s="15">
        <v>1.54E-2</v>
      </c>
      <c r="S670" s="18">
        <f>(Tabela2[[#This Row],[FRETE]]+Tabela2[[#This Row],[DESPESAS]]+Tabela2[[#This Row],[IPI]]+Tabela2[[#This Row],[Vl. Produto]])*Tabela2[[#This Row],[Aliq.%]]</f>
        <v>0</v>
      </c>
    </row>
    <row r="671" spans="13:19" x14ac:dyDescent="0.25">
      <c r="M671" s="46"/>
      <c r="N671" s="46"/>
      <c r="O671" s="46"/>
      <c r="P671" s="46"/>
      <c r="R671" s="15">
        <v>1.54E-2</v>
      </c>
      <c r="S671" s="18">
        <f>(Tabela2[[#This Row],[FRETE]]+Tabela2[[#This Row],[DESPESAS]]+Tabela2[[#This Row],[IPI]]+Tabela2[[#This Row],[Vl. Produto]])*Tabela2[[#This Row],[Aliq.%]]</f>
        <v>0</v>
      </c>
    </row>
    <row r="672" spans="13:19" x14ac:dyDescent="0.25">
      <c r="M672" s="46"/>
      <c r="N672" s="46"/>
      <c r="O672" s="46"/>
      <c r="P672" s="46"/>
      <c r="R672" s="15">
        <v>1.54E-2</v>
      </c>
      <c r="S672" s="18">
        <f>(Tabela2[[#This Row],[FRETE]]+Tabela2[[#This Row],[DESPESAS]]+Tabela2[[#This Row],[IPI]]+Tabela2[[#This Row],[Vl. Produto]])*Tabela2[[#This Row],[Aliq.%]]</f>
        <v>0</v>
      </c>
    </row>
    <row r="673" spans="13:19" x14ac:dyDescent="0.25">
      <c r="M673" s="46"/>
      <c r="N673" s="46"/>
      <c r="O673" s="46"/>
      <c r="P673" s="46"/>
      <c r="R673" s="15">
        <v>1.54E-2</v>
      </c>
      <c r="S673" s="18">
        <f>(Tabela2[[#This Row],[FRETE]]+Tabela2[[#This Row],[DESPESAS]]+Tabela2[[#This Row],[IPI]]+Tabela2[[#This Row],[Vl. Produto]])*Tabela2[[#This Row],[Aliq.%]]</f>
        <v>0</v>
      </c>
    </row>
    <row r="674" spans="13:19" x14ac:dyDescent="0.25">
      <c r="M674" s="46"/>
      <c r="N674" s="46"/>
      <c r="O674" s="46"/>
      <c r="P674" s="46"/>
      <c r="R674" s="15">
        <v>1.54E-2</v>
      </c>
      <c r="S674" s="18">
        <f>(Tabela2[[#This Row],[FRETE]]+Tabela2[[#This Row],[DESPESAS]]+Tabela2[[#This Row],[IPI]]+Tabela2[[#This Row],[Vl. Produto]])*Tabela2[[#This Row],[Aliq.%]]</f>
        <v>0</v>
      </c>
    </row>
    <row r="675" spans="13:19" x14ac:dyDescent="0.25">
      <c r="M675" s="46"/>
      <c r="N675" s="46"/>
      <c r="O675" s="46"/>
      <c r="P675" s="46"/>
      <c r="R675" s="15">
        <v>1.54E-2</v>
      </c>
      <c r="S675" s="18">
        <f>(Tabela2[[#This Row],[FRETE]]+Tabela2[[#This Row],[DESPESAS]]+Tabela2[[#This Row],[IPI]]+Tabela2[[#This Row],[Vl. Produto]])*Tabela2[[#This Row],[Aliq.%]]</f>
        <v>0</v>
      </c>
    </row>
    <row r="676" spans="13:19" x14ac:dyDescent="0.25">
      <c r="M676" s="46"/>
      <c r="N676" s="46"/>
      <c r="O676" s="46"/>
      <c r="P676" s="46"/>
      <c r="R676" s="15">
        <v>1.54E-2</v>
      </c>
      <c r="S676" s="18">
        <f>(Tabela2[[#This Row],[FRETE]]+Tabela2[[#This Row],[DESPESAS]]+Tabela2[[#This Row],[IPI]]+Tabela2[[#This Row],[Vl. Produto]])*Tabela2[[#This Row],[Aliq.%]]</f>
        <v>0</v>
      </c>
    </row>
    <row r="677" spans="13:19" x14ac:dyDescent="0.25">
      <c r="M677" s="46"/>
      <c r="N677" s="46"/>
      <c r="O677" s="46"/>
      <c r="P677" s="46"/>
      <c r="R677" s="15">
        <v>1.54E-2</v>
      </c>
      <c r="S677" s="18">
        <f>(Tabela2[[#This Row],[FRETE]]+Tabela2[[#This Row],[DESPESAS]]+Tabela2[[#This Row],[IPI]]+Tabela2[[#This Row],[Vl. Produto]])*Tabela2[[#This Row],[Aliq.%]]</f>
        <v>0</v>
      </c>
    </row>
    <row r="678" spans="13:19" x14ac:dyDescent="0.25">
      <c r="M678" s="46"/>
      <c r="N678" s="46"/>
      <c r="O678" s="46"/>
      <c r="P678" s="46"/>
      <c r="R678" s="15">
        <v>1.54E-2</v>
      </c>
      <c r="S678" s="18">
        <f>(Tabela2[[#This Row],[FRETE]]+Tabela2[[#This Row],[DESPESAS]]+Tabela2[[#This Row],[IPI]]+Tabela2[[#This Row],[Vl. Produto]])*Tabela2[[#This Row],[Aliq.%]]</f>
        <v>0</v>
      </c>
    </row>
    <row r="679" spans="13:19" x14ac:dyDescent="0.25">
      <c r="M679" s="46"/>
      <c r="N679" s="46"/>
      <c r="O679" s="46"/>
      <c r="P679" s="46"/>
      <c r="R679" s="15">
        <v>1.54E-2</v>
      </c>
      <c r="S679" s="18">
        <f>(Tabela2[[#This Row],[FRETE]]+Tabela2[[#This Row],[DESPESAS]]+Tabela2[[#This Row],[IPI]]+Tabela2[[#This Row],[Vl. Produto]])*Tabela2[[#This Row],[Aliq.%]]</f>
        <v>0</v>
      </c>
    </row>
    <row r="680" spans="13:19" x14ac:dyDescent="0.25">
      <c r="M680" s="46"/>
      <c r="N680" s="46"/>
      <c r="O680" s="46"/>
      <c r="P680" s="46"/>
      <c r="R680" s="15">
        <v>1.54E-2</v>
      </c>
      <c r="S680" s="18">
        <f>(Tabela2[[#This Row],[FRETE]]+Tabela2[[#This Row],[DESPESAS]]+Tabela2[[#This Row],[IPI]]+Tabela2[[#This Row],[Vl. Produto]])*Tabela2[[#This Row],[Aliq.%]]</f>
        <v>0</v>
      </c>
    </row>
    <row r="681" spans="13:19" x14ac:dyDescent="0.25">
      <c r="M681" s="46"/>
      <c r="N681" s="46"/>
      <c r="O681" s="46"/>
      <c r="P681" s="46"/>
      <c r="R681" s="15">
        <v>1.54E-2</v>
      </c>
      <c r="S681" s="18">
        <f>(Tabela2[[#This Row],[FRETE]]+Tabela2[[#This Row],[DESPESAS]]+Tabela2[[#This Row],[IPI]]+Tabela2[[#This Row],[Vl. Produto]])*Tabela2[[#This Row],[Aliq.%]]</f>
        <v>0</v>
      </c>
    </row>
    <row r="682" spans="13:19" x14ac:dyDescent="0.25">
      <c r="M682" s="46"/>
      <c r="N682" s="46"/>
      <c r="O682" s="46"/>
      <c r="P682" s="46"/>
      <c r="R682" s="15">
        <v>1.54E-2</v>
      </c>
      <c r="S682" s="18">
        <f>(Tabela2[[#This Row],[FRETE]]+Tabela2[[#This Row],[DESPESAS]]+Tabela2[[#This Row],[IPI]]+Tabela2[[#This Row],[Vl. Produto]])*Tabela2[[#This Row],[Aliq.%]]</f>
        <v>0</v>
      </c>
    </row>
    <row r="683" spans="13:19" x14ac:dyDescent="0.25">
      <c r="M683" s="46"/>
      <c r="N683" s="46"/>
      <c r="O683" s="46"/>
      <c r="P683" s="46"/>
      <c r="R683" s="15">
        <v>1.54E-2</v>
      </c>
      <c r="S683" s="18">
        <f>(Tabela2[[#This Row],[FRETE]]+Tabela2[[#This Row],[DESPESAS]]+Tabela2[[#This Row],[IPI]]+Tabela2[[#This Row],[Vl. Produto]])*Tabela2[[#This Row],[Aliq.%]]</f>
        <v>0</v>
      </c>
    </row>
    <row r="684" spans="13:19" x14ac:dyDescent="0.25">
      <c r="M684" s="46"/>
      <c r="N684" s="46"/>
      <c r="O684" s="46"/>
      <c r="P684" s="46"/>
      <c r="R684" s="15">
        <v>1.54E-2</v>
      </c>
      <c r="S684" s="18">
        <f>(Tabela2[[#This Row],[FRETE]]+Tabela2[[#This Row],[DESPESAS]]+Tabela2[[#This Row],[IPI]]+Tabela2[[#This Row],[Vl. Produto]])*Tabela2[[#This Row],[Aliq.%]]</f>
        <v>0</v>
      </c>
    </row>
    <row r="685" spans="13:19" x14ac:dyDescent="0.25">
      <c r="M685" s="46"/>
      <c r="N685" s="46"/>
      <c r="O685" s="46"/>
      <c r="P685" s="46"/>
      <c r="R685" s="15">
        <v>1.54E-2</v>
      </c>
      <c r="S685" s="18">
        <f>(Tabela2[[#This Row],[FRETE]]+Tabela2[[#This Row],[DESPESAS]]+Tabela2[[#This Row],[IPI]]+Tabela2[[#This Row],[Vl. Produto]])*Tabela2[[#This Row],[Aliq.%]]</f>
        <v>0</v>
      </c>
    </row>
    <row r="686" spans="13:19" x14ac:dyDescent="0.25">
      <c r="M686" s="46"/>
      <c r="N686" s="46"/>
      <c r="O686" s="46"/>
      <c r="P686" s="46"/>
      <c r="R686" s="15">
        <v>1.54E-2</v>
      </c>
      <c r="S686" s="18">
        <f>(Tabela2[[#This Row],[FRETE]]+Tabela2[[#This Row],[DESPESAS]]+Tabela2[[#This Row],[IPI]]+Tabela2[[#This Row],[Vl. Produto]])*Tabela2[[#This Row],[Aliq.%]]</f>
        <v>0</v>
      </c>
    </row>
    <row r="687" spans="13:19" x14ac:dyDescent="0.25">
      <c r="M687" s="46"/>
      <c r="N687" s="46"/>
      <c r="O687" s="46"/>
      <c r="P687" s="46"/>
      <c r="R687" s="15">
        <v>1.54E-2</v>
      </c>
      <c r="S687" s="18">
        <f>(Tabela2[[#This Row],[FRETE]]+Tabela2[[#This Row],[DESPESAS]]+Tabela2[[#This Row],[IPI]]+Tabela2[[#This Row],[Vl. Produto]])*Tabela2[[#This Row],[Aliq.%]]</f>
        <v>0</v>
      </c>
    </row>
    <row r="688" spans="13:19" x14ac:dyDescent="0.25">
      <c r="M688" s="46"/>
      <c r="N688" s="46"/>
      <c r="O688" s="46"/>
      <c r="P688" s="46"/>
      <c r="R688" s="15">
        <v>1.54E-2</v>
      </c>
      <c r="S688" s="18">
        <f>(Tabela2[[#This Row],[FRETE]]+Tabela2[[#This Row],[DESPESAS]]+Tabela2[[#This Row],[IPI]]+Tabela2[[#This Row],[Vl. Produto]])*Tabela2[[#This Row],[Aliq.%]]</f>
        <v>0</v>
      </c>
    </row>
    <row r="689" spans="13:19" x14ac:dyDescent="0.25">
      <c r="M689" s="46"/>
      <c r="N689" s="46"/>
      <c r="O689" s="46"/>
      <c r="P689" s="46"/>
      <c r="R689" s="15">
        <v>1.54E-2</v>
      </c>
      <c r="S689" s="18">
        <f>(Tabela2[[#This Row],[FRETE]]+Tabela2[[#This Row],[DESPESAS]]+Tabela2[[#This Row],[IPI]]+Tabela2[[#This Row],[Vl. Produto]])*Tabela2[[#This Row],[Aliq.%]]</f>
        <v>0</v>
      </c>
    </row>
    <row r="690" spans="13:19" x14ac:dyDescent="0.25">
      <c r="M690" s="46"/>
      <c r="N690" s="46"/>
      <c r="O690" s="46"/>
      <c r="P690" s="46"/>
      <c r="R690" s="15">
        <v>1.54E-2</v>
      </c>
      <c r="S690" s="18">
        <f>(Tabela2[[#This Row],[FRETE]]+Tabela2[[#This Row],[DESPESAS]]+Tabela2[[#This Row],[IPI]]+Tabela2[[#This Row],[Vl. Produto]])*Tabela2[[#This Row],[Aliq.%]]</f>
        <v>0</v>
      </c>
    </row>
    <row r="691" spans="13:19" x14ac:dyDescent="0.25">
      <c r="M691" s="46"/>
      <c r="N691" s="46"/>
      <c r="O691" s="46"/>
      <c r="P691" s="46"/>
      <c r="R691" s="15">
        <v>1.54E-2</v>
      </c>
      <c r="S691" s="18">
        <f>(Tabela2[[#This Row],[FRETE]]+Tabela2[[#This Row],[DESPESAS]]+Tabela2[[#This Row],[IPI]]+Tabela2[[#This Row],[Vl. Produto]])*Tabela2[[#This Row],[Aliq.%]]</f>
        <v>0</v>
      </c>
    </row>
    <row r="692" spans="13:19" x14ac:dyDescent="0.25">
      <c r="M692" s="46"/>
      <c r="N692" s="46"/>
      <c r="O692" s="46"/>
      <c r="P692" s="46"/>
      <c r="R692" s="15">
        <v>1.54E-2</v>
      </c>
      <c r="S692" s="18">
        <f>(Tabela2[[#This Row],[FRETE]]+Tabela2[[#This Row],[DESPESAS]]+Tabela2[[#This Row],[IPI]]+Tabela2[[#This Row],[Vl. Produto]])*Tabela2[[#This Row],[Aliq.%]]</f>
        <v>0</v>
      </c>
    </row>
    <row r="693" spans="13:19" x14ac:dyDescent="0.25">
      <c r="M693" s="46"/>
      <c r="N693" s="46"/>
      <c r="O693" s="46"/>
      <c r="P693" s="46"/>
      <c r="R693" s="15">
        <v>1.54E-2</v>
      </c>
      <c r="S693" s="18">
        <f>(Tabela2[[#This Row],[FRETE]]+Tabela2[[#This Row],[DESPESAS]]+Tabela2[[#This Row],[IPI]]+Tabela2[[#This Row],[Vl. Produto]])*Tabela2[[#This Row],[Aliq.%]]</f>
        <v>0</v>
      </c>
    </row>
    <row r="694" spans="13:19" x14ac:dyDescent="0.25">
      <c r="M694" s="46"/>
      <c r="N694" s="46"/>
      <c r="O694" s="46"/>
      <c r="P694" s="46"/>
      <c r="R694" s="15">
        <v>1.54E-2</v>
      </c>
      <c r="S694" s="18">
        <f>(Tabela2[[#This Row],[FRETE]]+Tabela2[[#This Row],[DESPESAS]]+Tabela2[[#This Row],[IPI]]+Tabela2[[#This Row],[Vl. Produto]])*Tabela2[[#This Row],[Aliq.%]]</f>
        <v>0</v>
      </c>
    </row>
    <row r="695" spans="13:19" x14ac:dyDescent="0.25">
      <c r="M695" s="46"/>
      <c r="N695" s="46"/>
      <c r="O695" s="46"/>
      <c r="P695" s="46"/>
      <c r="R695" s="15">
        <v>1.54E-2</v>
      </c>
      <c r="S695" s="18">
        <f>(Tabela2[[#This Row],[FRETE]]+Tabela2[[#This Row],[DESPESAS]]+Tabela2[[#This Row],[IPI]]+Tabela2[[#This Row],[Vl. Produto]])*Tabela2[[#This Row],[Aliq.%]]</f>
        <v>0</v>
      </c>
    </row>
    <row r="696" spans="13:19" x14ac:dyDescent="0.25">
      <c r="M696" s="46"/>
      <c r="N696" s="46"/>
      <c r="O696" s="46"/>
      <c r="P696" s="46"/>
      <c r="R696" s="15">
        <v>1.54E-2</v>
      </c>
      <c r="S696" s="18">
        <f>(Tabela2[[#This Row],[FRETE]]+Tabela2[[#This Row],[DESPESAS]]+Tabela2[[#This Row],[IPI]]+Tabela2[[#This Row],[Vl. Produto]])*Tabela2[[#This Row],[Aliq.%]]</f>
        <v>0</v>
      </c>
    </row>
    <row r="697" spans="13:19" x14ac:dyDescent="0.25">
      <c r="M697" s="46"/>
      <c r="N697" s="46"/>
      <c r="O697" s="46"/>
      <c r="P697" s="46"/>
      <c r="R697" s="15">
        <v>1.54E-2</v>
      </c>
      <c r="S697" s="18">
        <f>(Tabela2[[#This Row],[FRETE]]+Tabela2[[#This Row],[DESPESAS]]+Tabela2[[#This Row],[IPI]]+Tabela2[[#This Row],[Vl. Produto]])*Tabela2[[#This Row],[Aliq.%]]</f>
        <v>0</v>
      </c>
    </row>
    <row r="698" spans="13:19" x14ac:dyDescent="0.25">
      <c r="M698" s="46"/>
      <c r="N698" s="46"/>
      <c r="O698" s="46"/>
      <c r="P698" s="46"/>
      <c r="R698" s="15">
        <v>1.54E-2</v>
      </c>
      <c r="S698" s="18">
        <f>(Tabela2[[#This Row],[FRETE]]+Tabela2[[#This Row],[DESPESAS]]+Tabela2[[#This Row],[IPI]]+Tabela2[[#This Row],[Vl. Produto]])*Tabela2[[#This Row],[Aliq.%]]</f>
        <v>0</v>
      </c>
    </row>
    <row r="699" spans="13:19" x14ac:dyDescent="0.25">
      <c r="M699" s="46"/>
      <c r="N699" s="46"/>
      <c r="O699" s="46"/>
      <c r="P699" s="46"/>
      <c r="R699" s="15">
        <v>1.54E-2</v>
      </c>
      <c r="S699" s="18">
        <f>(Tabela2[[#This Row],[FRETE]]+Tabela2[[#This Row],[DESPESAS]]+Tabela2[[#This Row],[IPI]]+Tabela2[[#This Row],[Vl. Produto]])*Tabela2[[#This Row],[Aliq.%]]</f>
        <v>0</v>
      </c>
    </row>
    <row r="700" spans="13:19" x14ac:dyDescent="0.25">
      <c r="M700" s="46"/>
      <c r="N700" s="46"/>
      <c r="O700" s="46"/>
      <c r="P700" s="46"/>
      <c r="R700" s="15">
        <v>1.54E-2</v>
      </c>
      <c r="S700" s="18">
        <f>(Tabela2[[#This Row],[FRETE]]+Tabela2[[#This Row],[DESPESAS]]+Tabela2[[#This Row],[IPI]]+Tabela2[[#This Row],[Vl. Produto]])*Tabela2[[#This Row],[Aliq.%]]</f>
        <v>0</v>
      </c>
    </row>
    <row r="701" spans="13:19" x14ac:dyDescent="0.25">
      <c r="M701" s="46"/>
      <c r="N701" s="46"/>
      <c r="O701" s="46"/>
      <c r="P701" s="46"/>
      <c r="R701" s="15">
        <v>1.54E-2</v>
      </c>
      <c r="S701" s="18">
        <f>(Tabela2[[#This Row],[FRETE]]+Tabela2[[#This Row],[DESPESAS]]+Tabela2[[#This Row],[IPI]]+Tabela2[[#This Row],[Vl. Produto]])*Tabela2[[#This Row],[Aliq.%]]</f>
        <v>0</v>
      </c>
    </row>
    <row r="702" spans="13:19" x14ac:dyDescent="0.25">
      <c r="M702" s="46"/>
      <c r="N702" s="46"/>
      <c r="O702" s="46"/>
      <c r="P702" s="46"/>
      <c r="R702" s="15">
        <v>1.54E-2</v>
      </c>
      <c r="S702" s="18">
        <f>(Tabela2[[#This Row],[FRETE]]+Tabela2[[#This Row],[DESPESAS]]+Tabela2[[#This Row],[IPI]]+Tabela2[[#This Row],[Vl. Produto]])*Tabela2[[#This Row],[Aliq.%]]</f>
        <v>0</v>
      </c>
    </row>
    <row r="703" spans="13:19" x14ac:dyDescent="0.25">
      <c r="M703" s="46"/>
      <c r="N703" s="46"/>
      <c r="O703" s="46"/>
      <c r="P703" s="46"/>
      <c r="R703" s="15">
        <v>1.54E-2</v>
      </c>
      <c r="S703" s="18">
        <f>(Tabela2[[#This Row],[FRETE]]+Tabela2[[#This Row],[DESPESAS]]+Tabela2[[#This Row],[IPI]]+Tabela2[[#This Row],[Vl. Produto]])*Tabela2[[#This Row],[Aliq.%]]</f>
        <v>0</v>
      </c>
    </row>
    <row r="704" spans="13:19" x14ac:dyDescent="0.25">
      <c r="M704" s="46"/>
      <c r="N704" s="46"/>
      <c r="O704" s="46"/>
      <c r="P704" s="46"/>
      <c r="R704" s="15">
        <v>1.54E-2</v>
      </c>
      <c r="S704" s="18">
        <f>(Tabela2[[#This Row],[FRETE]]+Tabela2[[#This Row],[DESPESAS]]+Tabela2[[#This Row],[IPI]]+Tabela2[[#This Row],[Vl. Produto]])*Tabela2[[#This Row],[Aliq.%]]</f>
        <v>0</v>
      </c>
    </row>
    <row r="705" spans="13:19" x14ac:dyDescent="0.25">
      <c r="M705" s="46"/>
      <c r="N705" s="46"/>
      <c r="O705" s="46"/>
      <c r="P705" s="46"/>
      <c r="R705" s="15">
        <v>1.54E-2</v>
      </c>
      <c r="S705" s="18">
        <f>(Tabela2[[#This Row],[FRETE]]+Tabela2[[#This Row],[DESPESAS]]+Tabela2[[#This Row],[IPI]]+Tabela2[[#This Row],[Vl. Produto]])*Tabela2[[#This Row],[Aliq.%]]</f>
        <v>0</v>
      </c>
    </row>
    <row r="706" spans="13:19" x14ac:dyDescent="0.25">
      <c r="M706" s="46"/>
      <c r="N706" s="46"/>
      <c r="O706" s="46"/>
      <c r="P706" s="46"/>
      <c r="R706" s="15">
        <v>1.54E-2</v>
      </c>
      <c r="S706" s="18">
        <f>(Tabela2[[#This Row],[FRETE]]+Tabela2[[#This Row],[DESPESAS]]+Tabela2[[#This Row],[IPI]]+Tabela2[[#This Row],[Vl. Produto]])*Tabela2[[#This Row],[Aliq.%]]</f>
        <v>0</v>
      </c>
    </row>
    <row r="707" spans="13:19" x14ac:dyDescent="0.25">
      <c r="M707" s="46"/>
      <c r="N707" s="46"/>
      <c r="O707" s="46"/>
      <c r="P707" s="46"/>
      <c r="R707" s="15">
        <v>1.54E-2</v>
      </c>
      <c r="S707" s="18">
        <f>(Tabela2[[#This Row],[FRETE]]+Tabela2[[#This Row],[DESPESAS]]+Tabela2[[#This Row],[IPI]]+Tabela2[[#This Row],[Vl. Produto]])*Tabela2[[#This Row],[Aliq.%]]</f>
        <v>0</v>
      </c>
    </row>
    <row r="708" spans="13:19" x14ac:dyDescent="0.25">
      <c r="M708" s="46"/>
      <c r="N708" s="46"/>
      <c r="O708" s="46"/>
      <c r="P708" s="46"/>
      <c r="R708" s="15">
        <v>1.54E-2</v>
      </c>
      <c r="S708" s="18">
        <f>(Tabela2[[#This Row],[FRETE]]+Tabela2[[#This Row],[DESPESAS]]+Tabela2[[#This Row],[IPI]]+Tabela2[[#This Row],[Vl. Produto]])*Tabela2[[#This Row],[Aliq.%]]</f>
        <v>0</v>
      </c>
    </row>
    <row r="709" spans="13:19" x14ac:dyDescent="0.25">
      <c r="M709" s="46"/>
      <c r="N709" s="46"/>
      <c r="O709" s="46"/>
      <c r="P709" s="46"/>
      <c r="R709" s="15">
        <v>1.54E-2</v>
      </c>
      <c r="S709" s="18">
        <f>(Tabela2[[#This Row],[FRETE]]+Tabela2[[#This Row],[DESPESAS]]+Tabela2[[#This Row],[IPI]]+Tabela2[[#This Row],[Vl. Produto]])*Tabela2[[#This Row],[Aliq.%]]</f>
        <v>0</v>
      </c>
    </row>
    <row r="710" spans="13:19" x14ac:dyDescent="0.25">
      <c r="M710" s="46"/>
      <c r="N710" s="46"/>
      <c r="O710" s="46"/>
      <c r="P710" s="46"/>
      <c r="R710" s="15">
        <v>1.54E-2</v>
      </c>
      <c r="S710" s="18">
        <f>(Tabela2[[#This Row],[FRETE]]+Tabela2[[#This Row],[DESPESAS]]+Tabela2[[#This Row],[IPI]]+Tabela2[[#This Row],[Vl. Produto]])*Tabela2[[#This Row],[Aliq.%]]</f>
        <v>0</v>
      </c>
    </row>
    <row r="711" spans="13:19" x14ac:dyDescent="0.25">
      <c r="M711" s="46"/>
      <c r="N711" s="46"/>
      <c r="O711" s="46"/>
      <c r="P711" s="46"/>
      <c r="R711" s="15">
        <v>1.54E-2</v>
      </c>
      <c r="S711" s="18">
        <f>(Tabela2[[#This Row],[FRETE]]+Tabela2[[#This Row],[DESPESAS]]+Tabela2[[#This Row],[IPI]]+Tabela2[[#This Row],[Vl. Produto]])*Tabela2[[#This Row],[Aliq.%]]</f>
        <v>0</v>
      </c>
    </row>
    <row r="712" spans="13:19" x14ac:dyDescent="0.25">
      <c r="M712" s="46"/>
      <c r="N712" s="46"/>
      <c r="O712" s="46"/>
      <c r="P712" s="46"/>
      <c r="R712" s="15">
        <v>1.54E-2</v>
      </c>
      <c r="S712" s="18">
        <f>(Tabela2[[#This Row],[FRETE]]+Tabela2[[#This Row],[DESPESAS]]+Tabela2[[#This Row],[IPI]]+Tabela2[[#This Row],[Vl. Produto]])*Tabela2[[#This Row],[Aliq.%]]</f>
        <v>0</v>
      </c>
    </row>
    <row r="713" spans="13:19" x14ac:dyDescent="0.25">
      <c r="M713" s="46"/>
      <c r="N713" s="46"/>
      <c r="O713" s="46"/>
      <c r="P713" s="46"/>
      <c r="R713" s="15">
        <v>1.54E-2</v>
      </c>
      <c r="S713" s="18">
        <f>(Tabela2[[#This Row],[FRETE]]+Tabela2[[#This Row],[DESPESAS]]+Tabela2[[#This Row],[IPI]]+Tabela2[[#This Row],[Vl. Produto]])*Tabela2[[#This Row],[Aliq.%]]</f>
        <v>0</v>
      </c>
    </row>
    <row r="714" spans="13:19" x14ac:dyDescent="0.25">
      <c r="M714" s="46"/>
      <c r="N714" s="46"/>
      <c r="O714" s="46"/>
      <c r="P714" s="46"/>
      <c r="R714" s="15">
        <v>1.54E-2</v>
      </c>
      <c r="S714" s="18">
        <f>(Tabela2[[#This Row],[FRETE]]+Tabela2[[#This Row],[DESPESAS]]+Tabela2[[#This Row],[IPI]]+Tabela2[[#This Row],[Vl. Produto]])*Tabela2[[#This Row],[Aliq.%]]</f>
        <v>0</v>
      </c>
    </row>
    <row r="715" spans="13:19" x14ac:dyDescent="0.25">
      <c r="M715" s="46"/>
      <c r="N715" s="46"/>
      <c r="O715" s="46"/>
      <c r="P715" s="46"/>
      <c r="R715" s="15">
        <v>1.54E-2</v>
      </c>
      <c r="S715" s="18">
        <f>(Tabela2[[#This Row],[FRETE]]+Tabela2[[#This Row],[DESPESAS]]+Tabela2[[#This Row],[IPI]]+Tabela2[[#This Row],[Vl. Produto]])*Tabela2[[#This Row],[Aliq.%]]</f>
        <v>0</v>
      </c>
    </row>
    <row r="716" spans="13:19" x14ac:dyDescent="0.25">
      <c r="M716" s="46"/>
      <c r="N716" s="46"/>
      <c r="O716" s="46"/>
      <c r="P716" s="46"/>
      <c r="R716" s="15">
        <v>1.54E-2</v>
      </c>
      <c r="S716" s="18">
        <f>(Tabela2[[#This Row],[FRETE]]+Tabela2[[#This Row],[DESPESAS]]+Tabela2[[#This Row],[IPI]]+Tabela2[[#This Row],[Vl. Produto]])*Tabela2[[#This Row],[Aliq.%]]</f>
        <v>0</v>
      </c>
    </row>
    <row r="717" spans="13:19" x14ac:dyDescent="0.25">
      <c r="M717" s="46"/>
      <c r="N717" s="46"/>
      <c r="O717" s="46"/>
      <c r="P717" s="46"/>
      <c r="R717" s="15">
        <v>1.54E-2</v>
      </c>
      <c r="S717" s="18">
        <f>(Tabela2[[#This Row],[FRETE]]+Tabela2[[#This Row],[DESPESAS]]+Tabela2[[#This Row],[IPI]]+Tabela2[[#This Row],[Vl. Produto]])*Tabela2[[#This Row],[Aliq.%]]</f>
        <v>0</v>
      </c>
    </row>
    <row r="718" spans="13:19" x14ac:dyDescent="0.25">
      <c r="M718" s="46"/>
      <c r="N718" s="46"/>
      <c r="O718" s="46"/>
      <c r="P718" s="46"/>
      <c r="R718" s="15">
        <v>1.54E-2</v>
      </c>
      <c r="S718" s="18">
        <f>(Tabela2[[#This Row],[FRETE]]+Tabela2[[#This Row],[DESPESAS]]+Tabela2[[#This Row],[IPI]]+Tabela2[[#This Row],[Vl. Produto]])*Tabela2[[#This Row],[Aliq.%]]</f>
        <v>0</v>
      </c>
    </row>
    <row r="719" spans="13:19" x14ac:dyDescent="0.25">
      <c r="M719" s="46"/>
      <c r="N719" s="46"/>
      <c r="O719" s="46"/>
      <c r="P719" s="46"/>
      <c r="R719" s="15">
        <v>1.54E-2</v>
      </c>
      <c r="S719" s="18">
        <f>(Tabela2[[#This Row],[FRETE]]+Tabela2[[#This Row],[DESPESAS]]+Tabela2[[#This Row],[IPI]]+Tabela2[[#This Row],[Vl. Produto]])*Tabela2[[#This Row],[Aliq.%]]</f>
        <v>0</v>
      </c>
    </row>
    <row r="720" spans="13:19" x14ac:dyDescent="0.25">
      <c r="M720" s="46"/>
      <c r="N720" s="46"/>
      <c r="O720" s="46"/>
      <c r="P720" s="46"/>
      <c r="R720" s="15">
        <v>1.54E-2</v>
      </c>
      <c r="S720" s="18">
        <f>(Tabela2[[#This Row],[FRETE]]+Tabela2[[#This Row],[DESPESAS]]+Tabela2[[#This Row],[IPI]]+Tabela2[[#This Row],[Vl. Produto]])*Tabela2[[#This Row],[Aliq.%]]</f>
        <v>0</v>
      </c>
    </row>
    <row r="721" spans="13:19" x14ac:dyDescent="0.25">
      <c r="M721" s="46"/>
      <c r="N721" s="46"/>
      <c r="O721" s="46"/>
      <c r="P721" s="46"/>
      <c r="R721" s="15">
        <v>1.54E-2</v>
      </c>
      <c r="S721" s="18">
        <f>(Tabela2[[#This Row],[FRETE]]+Tabela2[[#This Row],[DESPESAS]]+Tabela2[[#This Row],[IPI]]+Tabela2[[#This Row],[Vl. Produto]])*Tabela2[[#This Row],[Aliq.%]]</f>
        <v>0</v>
      </c>
    </row>
    <row r="722" spans="13:19" x14ac:dyDescent="0.25">
      <c r="M722" s="46"/>
      <c r="N722" s="46"/>
      <c r="O722" s="46"/>
      <c r="P722" s="46"/>
      <c r="R722" s="15">
        <v>1.54E-2</v>
      </c>
      <c r="S722" s="18">
        <f>(Tabela2[[#This Row],[FRETE]]+Tabela2[[#This Row],[DESPESAS]]+Tabela2[[#This Row],[IPI]]+Tabela2[[#This Row],[Vl. Produto]])*Tabela2[[#This Row],[Aliq.%]]</f>
        <v>0</v>
      </c>
    </row>
    <row r="723" spans="13:19" x14ac:dyDescent="0.25">
      <c r="M723" s="46"/>
      <c r="N723" s="46"/>
      <c r="O723" s="46"/>
      <c r="P723" s="46"/>
      <c r="R723" s="15">
        <v>1.54E-2</v>
      </c>
      <c r="S723" s="18">
        <f>(Tabela2[[#This Row],[FRETE]]+Tabela2[[#This Row],[DESPESAS]]+Tabela2[[#This Row],[IPI]]+Tabela2[[#This Row],[Vl. Produto]])*Tabela2[[#This Row],[Aliq.%]]</f>
        <v>0</v>
      </c>
    </row>
    <row r="724" spans="13:19" x14ac:dyDescent="0.25">
      <c r="M724" s="46"/>
      <c r="N724" s="46"/>
      <c r="O724" s="46"/>
      <c r="P724" s="46"/>
      <c r="R724" s="15">
        <v>1.54E-2</v>
      </c>
      <c r="S724" s="18">
        <f>(Tabela2[[#This Row],[FRETE]]+Tabela2[[#This Row],[DESPESAS]]+Tabela2[[#This Row],[IPI]]+Tabela2[[#This Row],[Vl. Produto]])*Tabela2[[#This Row],[Aliq.%]]</f>
        <v>0</v>
      </c>
    </row>
    <row r="725" spans="13:19" x14ac:dyDescent="0.25">
      <c r="M725" s="46"/>
      <c r="N725" s="46"/>
      <c r="O725" s="46"/>
      <c r="P725" s="46"/>
      <c r="R725" s="15">
        <v>1.54E-2</v>
      </c>
      <c r="S725" s="18">
        <f>(Tabela2[[#This Row],[FRETE]]+Tabela2[[#This Row],[DESPESAS]]+Tabela2[[#This Row],[IPI]]+Tabela2[[#This Row],[Vl. Produto]])*Tabela2[[#This Row],[Aliq.%]]</f>
        <v>0</v>
      </c>
    </row>
    <row r="726" spans="13:19" x14ac:dyDescent="0.25">
      <c r="M726" s="46"/>
      <c r="N726" s="46"/>
      <c r="O726" s="46"/>
      <c r="P726" s="46"/>
      <c r="R726" s="15">
        <v>1.54E-2</v>
      </c>
      <c r="S726" s="18">
        <f>(Tabela2[[#This Row],[FRETE]]+Tabela2[[#This Row],[DESPESAS]]+Tabela2[[#This Row],[IPI]]+Tabela2[[#This Row],[Vl. Produto]])*Tabela2[[#This Row],[Aliq.%]]</f>
        <v>0</v>
      </c>
    </row>
    <row r="727" spans="13:19" x14ac:dyDescent="0.25">
      <c r="M727" s="46"/>
      <c r="N727" s="46"/>
      <c r="O727" s="46"/>
      <c r="P727" s="46"/>
      <c r="R727" s="15">
        <v>1.54E-2</v>
      </c>
      <c r="S727" s="18">
        <f>(Tabela2[[#This Row],[FRETE]]+Tabela2[[#This Row],[DESPESAS]]+Tabela2[[#This Row],[IPI]]+Tabela2[[#This Row],[Vl. Produto]])*Tabela2[[#This Row],[Aliq.%]]</f>
        <v>0</v>
      </c>
    </row>
    <row r="728" spans="13:19" x14ac:dyDescent="0.25">
      <c r="M728" s="46"/>
      <c r="N728" s="46"/>
      <c r="O728" s="46"/>
      <c r="P728" s="46"/>
      <c r="R728" s="15">
        <v>1.54E-2</v>
      </c>
      <c r="S728" s="18">
        <f>(Tabela2[[#This Row],[FRETE]]+Tabela2[[#This Row],[DESPESAS]]+Tabela2[[#This Row],[IPI]]+Tabela2[[#This Row],[Vl. Produto]])*Tabela2[[#This Row],[Aliq.%]]</f>
        <v>0</v>
      </c>
    </row>
    <row r="729" spans="13:19" x14ac:dyDescent="0.25">
      <c r="M729" s="46"/>
      <c r="N729" s="46"/>
      <c r="O729" s="46"/>
      <c r="P729" s="46"/>
      <c r="R729" s="15">
        <v>1.54E-2</v>
      </c>
      <c r="S729" s="18">
        <f>(Tabela2[[#This Row],[FRETE]]+Tabela2[[#This Row],[DESPESAS]]+Tabela2[[#This Row],[IPI]]+Tabela2[[#This Row],[Vl. Produto]])*Tabela2[[#This Row],[Aliq.%]]</f>
        <v>0</v>
      </c>
    </row>
    <row r="730" spans="13:19" x14ac:dyDescent="0.25">
      <c r="M730" s="46"/>
      <c r="N730" s="46"/>
      <c r="O730" s="46"/>
      <c r="P730" s="46"/>
      <c r="R730" s="15">
        <v>1.54E-2</v>
      </c>
      <c r="S730" s="18">
        <f>(Tabela2[[#This Row],[FRETE]]+Tabela2[[#This Row],[DESPESAS]]+Tabela2[[#This Row],[IPI]]+Tabela2[[#This Row],[Vl. Produto]])*Tabela2[[#This Row],[Aliq.%]]</f>
        <v>0</v>
      </c>
    </row>
    <row r="731" spans="13:19" x14ac:dyDescent="0.25">
      <c r="M731" s="46"/>
      <c r="N731" s="46"/>
      <c r="O731" s="46"/>
      <c r="P731" s="46"/>
      <c r="R731" s="15">
        <v>1.54E-2</v>
      </c>
      <c r="S731" s="18">
        <f>(Tabela2[[#This Row],[FRETE]]+Tabela2[[#This Row],[DESPESAS]]+Tabela2[[#This Row],[IPI]]+Tabela2[[#This Row],[Vl. Produto]])*Tabela2[[#This Row],[Aliq.%]]</f>
        <v>0</v>
      </c>
    </row>
    <row r="732" spans="13:19" x14ac:dyDescent="0.25">
      <c r="M732" s="46"/>
      <c r="N732" s="46"/>
      <c r="O732" s="46"/>
      <c r="P732" s="46"/>
      <c r="R732" s="15">
        <v>1.54E-2</v>
      </c>
      <c r="S732" s="18">
        <f>(Tabela2[[#This Row],[FRETE]]+Tabela2[[#This Row],[DESPESAS]]+Tabela2[[#This Row],[IPI]]+Tabela2[[#This Row],[Vl. Produto]])*Tabela2[[#This Row],[Aliq.%]]</f>
        <v>0</v>
      </c>
    </row>
    <row r="733" spans="13:19" x14ac:dyDescent="0.25">
      <c r="M733" s="46"/>
      <c r="N733" s="46"/>
      <c r="O733" s="46"/>
      <c r="P733" s="46"/>
      <c r="R733" s="15">
        <v>1.54E-2</v>
      </c>
      <c r="S733" s="18">
        <f>(Tabela2[[#This Row],[FRETE]]+Tabela2[[#This Row],[DESPESAS]]+Tabela2[[#This Row],[IPI]]+Tabela2[[#This Row],[Vl. Produto]])*Tabela2[[#This Row],[Aliq.%]]</f>
        <v>0</v>
      </c>
    </row>
    <row r="734" spans="13:19" x14ac:dyDescent="0.25">
      <c r="M734" s="46"/>
      <c r="N734" s="46"/>
      <c r="O734" s="46"/>
      <c r="P734" s="46"/>
      <c r="R734" s="15">
        <v>1.54E-2</v>
      </c>
      <c r="S734" s="18">
        <f>(Tabela2[[#This Row],[FRETE]]+Tabela2[[#This Row],[DESPESAS]]+Tabela2[[#This Row],[IPI]]+Tabela2[[#This Row],[Vl. Produto]])*Tabela2[[#This Row],[Aliq.%]]</f>
        <v>0</v>
      </c>
    </row>
    <row r="735" spans="13:19" x14ac:dyDescent="0.25">
      <c r="M735" s="46"/>
      <c r="N735" s="46"/>
      <c r="O735" s="46"/>
      <c r="P735" s="46"/>
      <c r="R735" s="15">
        <v>1.54E-2</v>
      </c>
      <c r="S735" s="18">
        <f>(Tabela2[[#This Row],[FRETE]]+Tabela2[[#This Row],[DESPESAS]]+Tabela2[[#This Row],[IPI]]+Tabela2[[#This Row],[Vl. Produto]])*Tabela2[[#This Row],[Aliq.%]]</f>
        <v>0</v>
      </c>
    </row>
    <row r="736" spans="13:19" x14ac:dyDescent="0.25">
      <c r="M736" s="46"/>
      <c r="N736" s="46"/>
      <c r="O736" s="46"/>
      <c r="P736" s="46"/>
      <c r="R736" s="15">
        <v>1.54E-2</v>
      </c>
      <c r="S736" s="18">
        <f>(Tabela2[[#This Row],[FRETE]]+Tabela2[[#This Row],[DESPESAS]]+Tabela2[[#This Row],[IPI]]+Tabela2[[#This Row],[Vl. Produto]])*Tabela2[[#This Row],[Aliq.%]]</f>
        <v>0</v>
      </c>
    </row>
    <row r="737" spans="13:19" x14ac:dyDescent="0.25">
      <c r="M737" s="46"/>
      <c r="N737" s="46"/>
      <c r="O737" s="46"/>
      <c r="P737" s="46"/>
      <c r="R737" s="15">
        <v>1.54E-2</v>
      </c>
      <c r="S737" s="18">
        <f>(Tabela2[[#This Row],[FRETE]]+Tabela2[[#This Row],[DESPESAS]]+Tabela2[[#This Row],[IPI]]+Tabela2[[#This Row],[Vl. Produto]])*Tabela2[[#This Row],[Aliq.%]]</f>
        <v>0</v>
      </c>
    </row>
    <row r="738" spans="13:19" x14ac:dyDescent="0.25">
      <c r="M738" s="46"/>
      <c r="N738" s="46"/>
      <c r="O738" s="46"/>
      <c r="P738" s="46"/>
      <c r="R738" s="15">
        <v>1.54E-2</v>
      </c>
      <c r="S738" s="18">
        <f>(Tabela2[[#This Row],[FRETE]]+Tabela2[[#This Row],[DESPESAS]]+Tabela2[[#This Row],[IPI]]+Tabela2[[#This Row],[Vl. Produto]])*Tabela2[[#This Row],[Aliq.%]]</f>
        <v>0</v>
      </c>
    </row>
    <row r="739" spans="13:19" x14ac:dyDescent="0.25">
      <c r="M739" s="46"/>
      <c r="N739" s="46"/>
      <c r="O739" s="46"/>
      <c r="P739" s="46"/>
      <c r="R739" s="15">
        <v>1.54E-2</v>
      </c>
      <c r="S739" s="18">
        <f>(Tabela2[[#This Row],[FRETE]]+Tabela2[[#This Row],[DESPESAS]]+Tabela2[[#This Row],[IPI]]+Tabela2[[#This Row],[Vl. Produto]])*Tabela2[[#This Row],[Aliq.%]]</f>
        <v>0</v>
      </c>
    </row>
    <row r="740" spans="13:19" x14ac:dyDescent="0.25">
      <c r="M740" s="46"/>
      <c r="N740" s="46"/>
      <c r="O740" s="46"/>
      <c r="P740" s="46"/>
      <c r="R740" s="15">
        <v>1.54E-2</v>
      </c>
      <c r="S740" s="18">
        <f>(Tabela2[[#This Row],[FRETE]]+Tabela2[[#This Row],[DESPESAS]]+Tabela2[[#This Row],[IPI]]+Tabela2[[#This Row],[Vl. Produto]])*Tabela2[[#This Row],[Aliq.%]]</f>
        <v>0</v>
      </c>
    </row>
    <row r="741" spans="13:19" x14ac:dyDescent="0.25">
      <c r="M741" s="46"/>
      <c r="N741" s="46"/>
      <c r="O741" s="46"/>
      <c r="P741" s="46"/>
      <c r="R741" s="15">
        <v>1.54E-2</v>
      </c>
      <c r="S741" s="18">
        <f>(Tabela2[[#This Row],[FRETE]]+Tabela2[[#This Row],[DESPESAS]]+Tabela2[[#This Row],[IPI]]+Tabela2[[#This Row],[Vl. Produto]])*Tabela2[[#This Row],[Aliq.%]]</f>
        <v>0</v>
      </c>
    </row>
    <row r="742" spans="13:19" x14ac:dyDescent="0.25">
      <c r="M742" s="46"/>
      <c r="N742" s="46"/>
      <c r="O742" s="46"/>
      <c r="P742" s="46"/>
      <c r="R742" s="15">
        <v>1.54E-2</v>
      </c>
      <c r="S742" s="18">
        <f>(Tabela2[[#This Row],[FRETE]]+Tabela2[[#This Row],[DESPESAS]]+Tabela2[[#This Row],[IPI]]+Tabela2[[#This Row],[Vl. Produto]])*Tabela2[[#This Row],[Aliq.%]]</f>
        <v>0</v>
      </c>
    </row>
    <row r="743" spans="13:19" x14ac:dyDescent="0.25">
      <c r="M743" s="46"/>
      <c r="N743" s="46"/>
      <c r="O743" s="46"/>
      <c r="P743" s="46"/>
      <c r="R743" s="15">
        <v>1.54E-2</v>
      </c>
      <c r="S743" s="18">
        <f>(Tabela2[[#This Row],[FRETE]]+Tabela2[[#This Row],[DESPESAS]]+Tabela2[[#This Row],[IPI]]+Tabela2[[#This Row],[Vl. Produto]])*Tabela2[[#This Row],[Aliq.%]]</f>
        <v>0</v>
      </c>
    </row>
    <row r="744" spans="13:19" x14ac:dyDescent="0.25">
      <c r="M744" s="46"/>
      <c r="N744" s="46"/>
      <c r="O744" s="46"/>
      <c r="P744" s="46"/>
      <c r="R744" s="15">
        <v>1.54E-2</v>
      </c>
      <c r="S744" s="18">
        <f>(Tabela2[[#This Row],[FRETE]]+Tabela2[[#This Row],[DESPESAS]]+Tabela2[[#This Row],[IPI]]+Tabela2[[#This Row],[Vl. Produto]])*Tabela2[[#This Row],[Aliq.%]]</f>
        <v>0</v>
      </c>
    </row>
    <row r="745" spans="13:19" x14ac:dyDescent="0.25">
      <c r="M745" s="46"/>
      <c r="N745" s="46"/>
      <c r="O745" s="46"/>
      <c r="P745" s="46"/>
      <c r="R745" s="15">
        <v>1.54E-2</v>
      </c>
      <c r="S745" s="18">
        <f>(Tabela2[[#This Row],[FRETE]]+Tabela2[[#This Row],[DESPESAS]]+Tabela2[[#This Row],[IPI]]+Tabela2[[#This Row],[Vl. Produto]])*Tabela2[[#This Row],[Aliq.%]]</f>
        <v>0</v>
      </c>
    </row>
    <row r="746" spans="13:19" x14ac:dyDescent="0.25">
      <c r="M746" s="46"/>
      <c r="N746" s="46"/>
      <c r="O746" s="46"/>
      <c r="P746" s="46"/>
      <c r="R746" s="15">
        <v>1.54E-2</v>
      </c>
      <c r="S746" s="18">
        <f>(Tabela2[[#This Row],[FRETE]]+Tabela2[[#This Row],[DESPESAS]]+Tabela2[[#This Row],[IPI]]+Tabela2[[#This Row],[Vl. Produto]])*Tabela2[[#This Row],[Aliq.%]]</f>
        <v>0</v>
      </c>
    </row>
    <row r="747" spans="13:19" x14ac:dyDescent="0.25">
      <c r="M747" s="46"/>
      <c r="N747" s="46"/>
      <c r="O747" s="46"/>
      <c r="P747" s="46"/>
      <c r="R747" s="15">
        <v>1.54E-2</v>
      </c>
      <c r="S747" s="18">
        <f>(Tabela2[[#This Row],[FRETE]]+Tabela2[[#This Row],[DESPESAS]]+Tabela2[[#This Row],[IPI]]+Tabela2[[#This Row],[Vl. Produto]])*Tabela2[[#This Row],[Aliq.%]]</f>
        <v>0</v>
      </c>
    </row>
    <row r="748" spans="13:19" x14ac:dyDescent="0.25">
      <c r="M748" s="46"/>
      <c r="N748" s="46"/>
      <c r="O748" s="46"/>
      <c r="P748" s="46"/>
      <c r="R748" s="15">
        <v>1.54E-2</v>
      </c>
      <c r="S748" s="18">
        <f>(Tabela2[[#This Row],[FRETE]]+Tabela2[[#This Row],[DESPESAS]]+Tabela2[[#This Row],[IPI]]+Tabela2[[#This Row],[Vl. Produto]])*Tabela2[[#This Row],[Aliq.%]]</f>
        <v>0</v>
      </c>
    </row>
    <row r="749" spans="13:19" x14ac:dyDescent="0.25">
      <c r="M749" s="46"/>
      <c r="N749" s="46"/>
      <c r="O749" s="46"/>
      <c r="P749" s="46"/>
      <c r="R749" s="15">
        <v>1.54E-2</v>
      </c>
      <c r="S749" s="18">
        <f>(Tabela2[[#This Row],[FRETE]]+Tabela2[[#This Row],[DESPESAS]]+Tabela2[[#This Row],[IPI]]+Tabela2[[#This Row],[Vl. Produto]])*Tabela2[[#This Row],[Aliq.%]]</f>
        <v>0</v>
      </c>
    </row>
    <row r="750" spans="13:19" x14ac:dyDescent="0.25">
      <c r="M750" s="46"/>
      <c r="N750" s="46"/>
      <c r="O750" s="46"/>
      <c r="P750" s="46"/>
      <c r="R750" s="15">
        <v>1.54E-2</v>
      </c>
      <c r="S750" s="18">
        <f>(Tabela2[[#This Row],[FRETE]]+Tabela2[[#This Row],[DESPESAS]]+Tabela2[[#This Row],[IPI]]+Tabela2[[#This Row],[Vl. Produto]])*Tabela2[[#This Row],[Aliq.%]]</f>
        <v>0</v>
      </c>
    </row>
    <row r="751" spans="13:19" x14ac:dyDescent="0.25">
      <c r="M751" s="46"/>
      <c r="N751" s="46"/>
      <c r="O751" s="46"/>
      <c r="P751" s="46"/>
      <c r="R751" s="15">
        <v>1.54E-2</v>
      </c>
      <c r="S751" s="18">
        <f>(Tabela2[[#This Row],[FRETE]]+Tabela2[[#This Row],[DESPESAS]]+Tabela2[[#This Row],[IPI]]+Tabela2[[#This Row],[Vl. Produto]])*Tabela2[[#This Row],[Aliq.%]]</f>
        <v>0</v>
      </c>
    </row>
    <row r="752" spans="13:19" x14ac:dyDescent="0.25">
      <c r="M752" s="46"/>
      <c r="N752" s="46"/>
      <c r="O752" s="46"/>
      <c r="P752" s="46"/>
      <c r="R752" s="15">
        <v>1.54E-2</v>
      </c>
      <c r="S752" s="18">
        <f>(Tabela2[[#This Row],[FRETE]]+Tabela2[[#This Row],[DESPESAS]]+Tabela2[[#This Row],[IPI]]+Tabela2[[#This Row],[Vl. Produto]])*Tabela2[[#This Row],[Aliq.%]]</f>
        <v>0</v>
      </c>
    </row>
    <row r="753" spans="13:19" x14ac:dyDescent="0.25">
      <c r="M753" s="46"/>
      <c r="N753" s="46"/>
      <c r="O753" s="46"/>
      <c r="P753" s="46"/>
      <c r="R753" s="15">
        <v>1.54E-2</v>
      </c>
      <c r="S753" s="18">
        <f>(Tabela2[[#This Row],[FRETE]]+Tabela2[[#This Row],[DESPESAS]]+Tabela2[[#This Row],[IPI]]+Tabela2[[#This Row],[Vl. Produto]])*Tabela2[[#This Row],[Aliq.%]]</f>
        <v>0</v>
      </c>
    </row>
    <row r="754" spans="13:19" x14ac:dyDescent="0.25">
      <c r="M754" s="46"/>
      <c r="N754" s="46"/>
      <c r="O754" s="46"/>
      <c r="P754" s="46"/>
      <c r="R754" s="15">
        <v>1.54E-2</v>
      </c>
      <c r="S754" s="18">
        <f>(Tabela2[[#This Row],[FRETE]]+Tabela2[[#This Row],[DESPESAS]]+Tabela2[[#This Row],[IPI]]+Tabela2[[#This Row],[Vl. Produto]])*Tabela2[[#This Row],[Aliq.%]]</f>
        <v>0</v>
      </c>
    </row>
    <row r="755" spans="13:19" x14ac:dyDescent="0.25">
      <c r="M755" s="46"/>
      <c r="N755" s="46"/>
      <c r="O755" s="46"/>
      <c r="P755" s="46"/>
      <c r="R755" s="15">
        <v>1.54E-2</v>
      </c>
      <c r="S755" s="18">
        <f>(Tabela2[[#This Row],[FRETE]]+Tabela2[[#This Row],[DESPESAS]]+Tabela2[[#This Row],[IPI]]+Tabela2[[#This Row],[Vl. Produto]])*Tabela2[[#This Row],[Aliq.%]]</f>
        <v>0</v>
      </c>
    </row>
    <row r="756" spans="13:19" x14ac:dyDescent="0.25">
      <c r="M756" s="46"/>
      <c r="N756" s="46"/>
      <c r="O756" s="46"/>
      <c r="P756" s="46"/>
      <c r="R756" s="15">
        <v>1.54E-2</v>
      </c>
      <c r="S756" s="18">
        <f>(Tabela2[[#This Row],[FRETE]]+Tabela2[[#This Row],[DESPESAS]]+Tabela2[[#This Row],[IPI]]+Tabela2[[#This Row],[Vl. Produto]])*Tabela2[[#This Row],[Aliq.%]]</f>
        <v>0</v>
      </c>
    </row>
    <row r="757" spans="13:19" x14ac:dyDescent="0.25">
      <c r="M757" s="46"/>
      <c r="N757" s="46"/>
      <c r="O757" s="46"/>
      <c r="P757" s="46"/>
      <c r="R757" s="15">
        <v>1.54E-2</v>
      </c>
      <c r="S757" s="18">
        <f>(Tabela2[[#This Row],[FRETE]]+Tabela2[[#This Row],[DESPESAS]]+Tabela2[[#This Row],[IPI]]+Tabela2[[#This Row],[Vl. Produto]])*Tabela2[[#This Row],[Aliq.%]]</f>
        <v>0</v>
      </c>
    </row>
    <row r="758" spans="13:19" x14ac:dyDescent="0.25">
      <c r="M758" s="46"/>
      <c r="N758" s="46"/>
      <c r="O758" s="46"/>
      <c r="P758" s="46"/>
      <c r="R758" s="15">
        <v>1.54E-2</v>
      </c>
      <c r="S758" s="18">
        <f>(Tabela2[[#This Row],[FRETE]]+Tabela2[[#This Row],[DESPESAS]]+Tabela2[[#This Row],[IPI]]+Tabela2[[#This Row],[Vl. Produto]])*Tabela2[[#This Row],[Aliq.%]]</f>
        <v>0</v>
      </c>
    </row>
    <row r="759" spans="13:19" x14ac:dyDescent="0.25">
      <c r="M759" s="46"/>
      <c r="N759" s="46"/>
      <c r="O759" s="46"/>
      <c r="P759" s="46"/>
      <c r="R759" s="15">
        <v>1.54E-2</v>
      </c>
      <c r="S759" s="18">
        <f>(Tabela2[[#This Row],[FRETE]]+Tabela2[[#This Row],[DESPESAS]]+Tabela2[[#This Row],[IPI]]+Tabela2[[#This Row],[Vl. Produto]])*Tabela2[[#This Row],[Aliq.%]]</f>
        <v>0</v>
      </c>
    </row>
    <row r="760" spans="13:19" x14ac:dyDescent="0.25">
      <c r="M760" s="46"/>
      <c r="N760" s="46"/>
      <c r="O760" s="46"/>
      <c r="P760" s="46"/>
      <c r="R760" s="15">
        <v>1.54E-2</v>
      </c>
      <c r="S760" s="18">
        <f>(Tabela2[[#This Row],[FRETE]]+Tabela2[[#This Row],[DESPESAS]]+Tabela2[[#This Row],[IPI]]+Tabela2[[#This Row],[Vl. Produto]])*Tabela2[[#This Row],[Aliq.%]]</f>
        <v>0</v>
      </c>
    </row>
    <row r="761" spans="13:19" x14ac:dyDescent="0.25">
      <c r="M761" s="46"/>
      <c r="N761" s="46"/>
      <c r="O761" s="46"/>
      <c r="P761" s="46"/>
      <c r="R761" s="15">
        <v>1.54E-2</v>
      </c>
      <c r="S761" s="18">
        <f>(Tabela2[[#This Row],[FRETE]]+Tabela2[[#This Row],[DESPESAS]]+Tabela2[[#This Row],[IPI]]+Tabela2[[#This Row],[Vl. Produto]])*Tabela2[[#This Row],[Aliq.%]]</f>
        <v>0</v>
      </c>
    </row>
    <row r="762" spans="13:19" x14ac:dyDescent="0.25">
      <c r="M762" s="46"/>
      <c r="N762" s="46"/>
      <c r="O762" s="46"/>
      <c r="P762" s="46"/>
      <c r="R762" s="15">
        <v>1.54E-2</v>
      </c>
      <c r="S762" s="18">
        <f>(Tabela2[[#This Row],[FRETE]]+Tabela2[[#This Row],[DESPESAS]]+Tabela2[[#This Row],[IPI]]+Tabela2[[#This Row],[Vl. Produto]])*Tabela2[[#This Row],[Aliq.%]]</f>
        <v>0</v>
      </c>
    </row>
    <row r="763" spans="13:19" x14ac:dyDescent="0.25">
      <c r="M763" s="46"/>
      <c r="N763" s="46"/>
      <c r="O763" s="46"/>
      <c r="P763" s="46"/>
      <c r="R763" s="15">
        <v>1.54E-2</v>
      </c>
      <c r="S763" s="18">
        <f>(Tabela2[[#This Row],[FRETE]]+Tabela2[[#This Row],[DESPESAS]]+Tabela2[[#This Row],[IPI]]+Tabela2[[#This Row],[Vl. Produto]])*Tabela2[[#This Row],[Aliq.%]]</f>
        <v>0</v>
      </c>
    </row>
    <row r="764" spans="13:19" x14ac:dyDescent="0.25">
      <c r="M764" s="46"/>
      <c r="N764" s="46"/>
      <c r="O764" s="46"/>
      <c r="P764" s="46"/>
      <c r="R764" s="15">
        <v>1.54E-2</v>
      </c>
      <c r="S764" s="18">
        <f>(Tabela2[[#This Row],[FRETE]]+Tabela2[[#This Row],[DESPESAS]]+Tabela2[[#This Row],[IPI]]+Tabela2[[#This Row],[Vl. Produto]])*Tabela2[[#This Row],[Aliq.%]]</f>
        <v>0</v>
      </c>
    </row>
    <row r="765" spans="13:19" x14ac:dyDescent="0.25">
      <c r="M765" s="46"/>
      <c r="N765" s="46"/>
      <c r="O765" s="46"/>
      <c r="P765" s="46"/>
      <c r="R765" s="15">
        <v>1.54E-2</v>
      </c>
      <c r="S765" s="18">
        <f>(Tabela2[[#This Row],[FRETE]]+Tabela2[[#This Row],[DESPESAS]]+Tabela2[[#This Row],[IPI]]+Tabela2[[#This Row],[Vl. Produto]])*Tabela2[[#This Row],[Aliq.%]]</f>
        <v>0</v>
      </c>
    </row>
    <row r="766" spans="13:19" x14ac:dyDescent="0.25">
      <c r="M766" s="46"/>
      <c r="N766" s="46"/>
      <c r="O766" s="46"/>
      <c r="P766" s="46"/>
      <c r="R766" s="15">
        <v>1.54E-2</v>
      </c>
      <c r="S766" s="18">
        <f>(Tabela2[[#This Row],[FRETE]]+Tabela2[[#This Row],[DESPESAS]]+Tabela2[[#This Row],[IPI]]+Tabela2[[#This Row],[Vl. Produto]])*Tabela2[[#This Row],[Aliq.%]]</f>
        <v>0</v>
      </c>
    </row>
    <row r="767" spans="13:19" x14ac:dyDescent="0.25">
      <c r="M767" s="46"/>
      <c r="N767" s="46"/>
      <c r="O767" s="46"/>
      <c r="P767" s="46"/>
      <c r="R767" s="15">
        <v>1.54E-2</v>
      </c>
      <c r="S767" s="18">
        <f>(Tabela2[[#This Row],[FRETE]]+Tabela2[[#This Row],[DESPESAS]]+Tabela2[[#This Row],[IPI]]+Tabela2[[#This Row],[Vl. Produto]])*Tabela2[[#This Row],[Aliq.%]]</f>
        <v>0</v>
      </c>
    </row>
    <row r="768" spans="13:19" x14ac:dyDescent="0.25">
      <c r="M768" s="46"/>
      <c r="N768" s="46"/>
      <c r="O768" s="46"/>
      <c r="P768" s="46"/>
      <c r="R768" s="15">
        <v>1.54E-2</v>
      </c>
      <c r="S768" s="18">
        <f>(Tabela2[[#This Row],[FRETE]]+Tabela2[[#This Row],[DESPESAS]]+Tabela2[[#This Row],[IPI]]+Tabela2[[#This Row],[Vl. Produto]])*Tabela2[[#This Row],[Aliq.%]]</f>
        <v>0</v>
      </c>
    </row>
    <row r="769" spans="13:19" x14ac:dyDescent="0.25">
      <c r="M769" s="46"/>
      <c r="N769" s="46"/>
      <c r="O769" s="46"/>
      <c r="P769" s="46"/>
      <c r="R769" s="15">
        <v>1.54E-2</v>
      </c>
      <c r="S769" s="18">
        <f>(Tabela2[[#This Row],[FRETE]]+Tabela2[[#This Row],[DESPESAS]]+Tabela2[[#This Row],[IPI]]+Tabela2[[#This Row],[Vl. Produto]])*Tabela2[[#This Row],[Aliq.%]]</f>
        <v>0</v>
      </c>
    </row>
    <row r="770" spans="13:19" x14ac:dyDescent="0.25">
      <c r="M770" s="46"/>
      <c r="N770" s="46"/>
      <c r="O770" s="46"/>
      <c r="P770" s="46"/>
      <c r="R770" s="15">
        <v>1.54E-2</v>
      </c>
      <c r="S770" s="18">
        <f>(Tabela2[[#This Row],[FRETE]]+Tabela2[[#This Row],[DESPESAS]]+Tabela2[[#This Row],[IPI]]+Tabela2[[#This Row],[Vl. Produto]])*Tabela2[[#This Row],[Aliq.%]]</f>
        <v>0</v>
      </c>
    </row>
    <row r="771" spans="13:19" x14ac:dyDescent="0.25">
      <c r="M771" s="46"/>
      <c r="N771" s="46"/>
      <c r="O771" s="46"/>
      <c r="P771" s="46"/>
      <c r="R771" s="15">
        <v>1.54E-2</v>
      </c>
      <c r="S771" s="18">
        <f>(Tabela2[[#This Row],[FRETE]]+Tabela2[[#This Row],[DESPESAS]]+Tabela2[[#This Row],[IPI]]+Tabela2[[#This Row],[Vl. Produto]])*Tabela2[[#This Row],[Aliq.%]]</f>
        <v>0</v>
      </c>
    </row>
    <row r="772" spans="13:19" x14ac:dyDescent="0.25">
      <c r="M772" s="46"/>
      <c r="N772" s="46"/>
      <c r="O772" s="46"/>
      <c r="P772" s="46"/>
      <c r="R772" s="15">
        <v>1.54E-2</v>
      </c>
      <c r="S772" s="18">
        <f>(Tabela2[[#This Row],[FRETE]]+Tabela2[[#This Row],[DESPESAS]]+Tabela2[[#This Row],[IPI]]+Tabela2[[#This Row],[Vl. Produto]])*Tabela2[[#This Row],[Aliq.%]]</f>
        <v>0</v>
      </c>
    </row>
    <row r="773" spans="13:19" x14ac:dyDescent="0.25">
      <c r="M773" s="46"/>
      <c r="N773" s="46"/>
      <c r="O773" s="46"/>
      <c r="P773" s="46"/>
      <c r="R773" s="15">
        <v>1.54E-2</v>
      </c>
      <c r="S773" s="18">
        <f>(Tabela2[[#This Row],[FRETE]]+Tabela2[[#This Row],[DESPESAS]]+Tabela2[[#This Row],[IPI]]+Tabela2[[#This Row],[Vl. Produto]])*Tabela2[[#This Row],[Aliq.%]]</f>
        <v>0</v>
      </c>
    </row>
    <row r="774" spans="13:19" x14ac:dyDescent="0.25">
      <c r="M774" s="46"/>
      <c r="N774" s="46"/>
      <c r="O774" s="46"/>
      <c r="P774" s="46"/>
      <c r="R774" s="15">
        <v>1.54E-2</v>
      </c>
      <c r="S774" s="18">
        <f>(Tabela2[[#This Row],[FRETE]]+Tabela2[[#This Row],[DESPESAS]]+Tabela2[[#This Row],[IPI]]+Tabela2[[#This Row],[Vl. Produto]])*Tabela2[[#This Row],[Aliq.%]]</f>
        <v>0</v>
      </c>
    </row>
    <row r="775" spans="13:19" x14ac:dyDescent="0.25">
      <c r="M775" s="46"/>
      <c r="N775" s="46"/>
      <c r="O775" s="46"/>
      <c r="P775" s="46"/>
      <c r="R775" s="15">
        <v>1.54E-2</v>
      </c>
      <c r="S775" s="18">
        <f>(Tabela2[[#This Row],[FRETE]]+Tabela2[[#This Row],[DESPESAS]]+Tabela2[[#This Row],[IPI]]+Tabela2[[#This Row],[Vl. Produto]])*Tabela2[[#This Row],[Aliq.%]]</f>
        <v>0</v>
      </c>
    </row>
    <row r="776" spans="13:19" x14ac:dyDescent="0.25">
      <c r="M776" s="46"/>
      <c r="N776" s="46"/>
      <c r="O776" s="46"/>
      <c r="P776" s="46"/>
      <c r="R776" s="15">
        <v>1.54E-2</v>
      </c>
      <c r="S776" s="18">
        <f>(Tabela2[[#This Row],[FRETE]]+Tabela2[[#This Row],[DESPESAS]]+Tabela2[[#This Row],[IPI]]+Tabela2[[#This Row],[Vl. Produto]])*Tabela2[[#This Row],[Aliq.%]]</f>
        <v>0</v>
      </c>
    </row>
    <row r="777" spans="13:19" x14ac:dyDescent="0.25">
      <c r="M777" s="46"/>
      <c r="N777" s="46"/>
      <c r="O777" s="46"/>
      <c r="P777" s="46"/>
      <c r="R777" s="15">
        <v>1.54E-2</v>
      </c>
      <c r="S777" s="18">
        <f>(Tabela2[[#This Row],[FRETE]]+Tabela2[[#This Row],[DESPESAS]]+Tabela2[[#This Row],[IPI]]+Tabela2[[#This Row],[Vl. Produto]])*Tabela2[[#This Row],[Aliq.%]]</f>
        <v>0</v>
      </c>
    </row>
    <row r="778" spans="13:19" x14ac:dyDescent="0.25">
      <c r="M778" s="46"/>
      <c r="N778" s="46"/>
      <c r="O778" s="46"/>
      <c r="P778" s="46"/>
      <c r="R778" s="15">
        <v>1.54E-2</v>
      </c>
      <c r="S778" s="18">
        <f>(Tabela2[[#This Row],[FRETE]]+Tabela2[[#This Row],[DESPESAS]]+Tabela2[[#This Row],[IPI]]+Tabela2[[#This Row],[Vl. Produto]])*Tabela2[[#This Row],[Aliq.%]]</f>
        <v>0</v>
      </c>
    </row>
    <row r="779" spans="13:19" x14ac:dyDescent="0.25">
      <c r="M779" s="46"/>
      <c r="N779" s="46"/>
      <c r="O779" s="46"/>
      <c r="P779" s="46"/>
      <c r="R779" s="15">
        <v>1.54E-2</v>
      </c>
      <c r="S779" s="18">
        <f>(Tabela2[[#This Row],[FRETE]]+Tabela2[[#This Row],[DESPESAS]]+Tabela2[[#This Row],[IPI]]+Tabela2[[#This Row],[Vl. Produto]])*Tabela2[[#This Row],[Aliq.%]]</f>
        <v>0</v>
      </c>
    </row>
    <row r="780" spans="13:19" x14ac:dyDescent="0.25">
      <c r="M780" s="46"/>
      <c r="N780" s="46"/>
      <c r="O780" s="46"/>
      <c r="P780" s="46"/>
      <c r="R780" s="15">
        <v>1.54E-2</v>
      </c>
      <c r="S780" s="18">
        <f>(Tabela2[[#This Row],[FRETE]]+Tabela2[[#This Row],[DESPESAS]]+Tabela2[[#This Row],[IPI]]+Tabela2[[#This Row],[Vl. Produto]])*Tabela2[[#This Row],[Aliq.%]]</f>
        <v>0</v>
      </c>
    </row>
    <row r="781" spans="13:19" x14ac:dyDescent="0.25">
      <c r="M781" s="46"/>
      <c r="N781" s="46"/>
      <c r="O781" s="46"/>
      <c r="P781" s="46"/>
      <c r="R781" s="15">
        <v>1.54E-2</v>
      </c>
      <c r="S781" s="18">
        <f>(Tabela2[[#This Row],[FRETE]]+Tabela2[[#This Row],[DESPESAS]]+Tabela2[[#This Row],[IPI]]+Tabela2[[#This Row],[Vl. Produto]])*Tabela2[[#This Row],[Aliq.%]]</f>
        <v>0</v>
      </c>
    </row>
    <row r="782" spans="13:19" x14ac:dyDescent="0.25">
      <c r="M782" s="46"/>
      <c r="N782" s="46"/>
      <c r="O782" s="46"/>
      <c r="P782" s="46"/>
      <c r="R782" s="15">
        <v>1.54E-2</v>
      </c>
      <c r="S782" s="18">
        <f>(Tabela2[[#This Row],[FRETE]]+Tabela2[[#This Row],[DESPESAS]]+Tabela2[[#This Row],[IPI]]+Tabela2[[#This Row],[Vl. Produto]])*Tabela2[[#This Row],[Aliq.%]]</f>
        <v>0</v>
      </c>
    </row>
    <row r="783" spans="13:19" x14ac:dyDescent="0.25">
      <c r="M783" s="46"/>
      <c r="N783" s="46"/>
      <c r="O783" s="46"/>
      <c r="P783" s="46"/>
      <c r="R783" s="15">
        <v>1.54E-2</v>
      </c>
      <c r="S783" s="18">
        <f>(Tabela2[[#This Row],[FRETE]]+Tabela2[[#This Row],[DESPESAS]]+Tabela2[[#This Row],[IPI]]+Tabela2[[#This Row],[Vl. Produto]])*Tabela2[[#This Row],[Aliq.%]]</f>
        <v>0</v>
      </c>
    </row>
    <row r="784" spans="13:19" x14ac:dyDescent="0.25">
      <c r="M784" s="46"/>
      <c r="N784" s="46"/>
      <c r="O784" s="46"/>
      <c r="P784" s="46"/>
      <c r="R784" s="15">
        <v>1.54E-2</v>
      </c>
      <c r="S784" s="18">
        <f>(Tabela2[[#This Row],[FRETE]]+Tabela2[[#This Row],[DESPESAS]]+Tabela2[[#This Row],[IPI]]+Tabela2[[#This Row],[Vl. Produto]])*Tabela2[[#This Row],[Aliq.%]]</f>
        <v>0</v>
      </c>
    </row>
    <row r="785" spans="13:19" x14ac:dyDescent="0.25">
      <c r="M785" s="46"/>
      <c r="N785" s="46"/>
      <c r="O785" s="46"/>
      <c r="P785" s="46"/>
      <c r="R785" s="15">
        <v>1.54E-2</v>
      </c>
      <c r="S785" s="18">
        <f>(Tabela2[[#This Row],[FRETE]]+Tabela2[[#This Row],[DESPESAS]]+Tabela2[[#This Row],[IPI]]+Tabela2[[#This Row],[Vl. Produto]])*Tabela2[[#This Row],[Aliq.%]]</f>
        <v>0</v>
      </c>
    </row>
    <row r="786" spans="13:19" x14ac:dyDescent="0.25">
      <c r="M786" s="46"/>
      <c r="N786" s="46"/>
      <c r="O786" s="46"/>
      <c r="P786" s="46"/>
      <c r="R786" s="15">
        <v>1.54E-2</v>
      </c>
      <c r="S786" s="18">
        <f>(Tabela2[[#This Row],[FRETE]]+Tabela2[[#This Row],[DESPESAS]]+Tabela2[[#This Row],[IPI]]+Tabela2[[#This Row],[Vl. Produto]])*Tabela2[[#This Row],[Aliq.%]]</f>
        <v>0</v>
      </c>
    </row>
    <row r="787" spans="13:19" x14ac:dyDescent="0.25">
      <c r="M787" s="46"/>
      <c r="N787" s="46"/>
      <c r="O787" s="46"/>
      <c r="P787" s="46"/>
      <c r="R787" s="15">
        <v>1.54E-2</v>
      </c>
      <c r="S787" s="18">
        <f>(Tabela2[[#This Row],[FRETE]]+Tabela2[[#This Row],[DESPESAS]]+Tabela2[[#This Row],[IPI]]+Tabela2[[#This Row],[Vl. Produto]])*Tabela2[[#This Row],[Aliq.%]]</f>
        <v>0</v>
      </c>
    </row>
    <row r="788" spans="13:19" x14ac:dyDescent="0.25">
      <c r="M788" s="46"/>
      <c r="N788" s="46"/>
      <c r="O788" s="46"/>
      <c r="P788" s="46"/>
      <c r="R788" s="15">
        <v>1.54E-2</v>
      </c>
      <c r="S788" s="18">
        <f>(Tabela2[[#This Row],[FRETE]]+Tabela2[[#This Row],[DESPESAS]]+Tabela2[[#This Row],[IPI]]+Tabela2[[#This Row],[Vl. Produto]])*Tabela2[[#This Row],[Aliq.%]]</f>
        <v>0</v>
      </c>
    </row>
    <row r="789" spans="13:19" x14ac:dyDescent="0.25">
      <c r="M789" s="46"/>
      <c r="N789" s="46"/>
      <c r="O789" s="46"/>
      <c r="P789" s="46"/>
      <c r="R789" s="15">
        <v>1.54E-2</v>
      </c>
      <c r="S789" s="18">
        <f>(Tabela2[[#This Row],[FRETE]]+Tabela2[[#This Row],[DESPESAS]]+Tabela2[[#This Row],[IPI]]+Tabela2[[#This Row],[Vl. Produto]])*Tabela2[[#This Row],[Aliq.%]]</f>
        <v>0</v>
      </c>
    </row>
    <row r="790" spans="13:19" x14ac:dyDescent="0.25">
      <c r="M790" s="46"/>
      <c r="N790" s="46"/>
      <c r="O790" s="46"/>
      <c r="P790" s="46"/>
      <c r="R790" s="15">
        <v>1.54E-2</v>
      </c>
      <c r="S790" s="18">
        <f>(Tabela2[[#This Row],[FRETE]]+Tabela2[[#This Row],[DESPESAS]]+Tabela2[[#This Row],[IPI]]+Tabela2[[#This Row],[Vl. Produto]])*Tabela2[[#This Row],[Aliq.%]]</f>
        <v>0</v>
      </c>
    </row>
    <row r="791" spans="13:19" x14ac:dyDescent="0.25">
      <c r="M791" s="46"/>
      <c r="N791" s="46"/>
      <c r="O791" s="46"/>
      <c r="P791" s="46"/>
      <c r="R791" s="15">
        <v>1.54E-2</v>
      </c>
      <c r="S791" s="18">
        <f>(Tabela2[[#This Row],[FRETE]]+Tabela2[[#This Row],[DESPESAS]]+Tabela2[[#This Row],[IPI]]+Tabela2[[#This Row],[Vl. Produto]])*Tabela2[[#This Row],[Aliq.%]]</f>
        <v>0</v>
      </c>
    </row>
    <row r="792" spans="13:19" x14ac:dyDescent="0.25">
      <c r="M792" s="46"/>
      <c r="N792" s="46"/>
      <c r="O792" s="46"/>
      <c r="P792" s="46"/>
      <c r="R792" s="15">
        <v>1.54E-2</v>
      </c>
      <c r="S792" s="18">
        <f>(Tabela2[[#This Row],[FRETE]]+Tabela2[[#This Row],[DESPESAS]]+Tabela2[[#This Row],[IPI]]+Tabela2[[#This Row],[Vl. Produto]])*Tabela2[[#This Row],[Aliq.%]]</f>
        <v>0</v>
      </c>
    </row>
    <row r="793" spans="13:19" x14ac:dyDescent="0.25">
      <c r="M793" s="46"/>
      <c r="N793" s="46"/>
      <c r="O793" s="46"/>
      <c r="P793" s="46"/>
      <c r="R793" s="15">
        <v>1.54E-2</v>
      </c>
      <c r="S793" s="18">
        <f>(Tabela2[[#This Row],[FRETE]]+Tabela2[[#This Row],[DESPESAS]]+Tabela2[[#This Row],[IPI]]+Tabela2[[#This Row],[Vl. Produto]])*Tabela2[[#This Row],[Aliq.%]]</f>
        <v>0</v>
      </c>
    </row>
    <row r="794" spans="13:19" x14ac:dyDescent="0.25">
      <c r="M794" s="46"/>
      <c r="N794" s="46"/>
      <c r="O794" s="46"/>
      <c r="P794" s="46"/>
      <c r="R794" s="15">
        <v>1.54E-2</v>
      </c>
      <c r="S794" s="18">
        <f>(Tabela2[[#This Row],[FRETE]]+Tabela2[[#This Row],[DESPESAS]]+Tabela2[[#This Row],[IPI]]+Tabela2[[#This Row],[Vl. Produto]])*Tabela2[[#This Row],[Aliq.%]]</f>
        <v>0</v>
      </c>
    </row>
    <row r="795" spans="13:19" x14ac:dyDescent="0.25">
      <c r="M795" s="46"/>
      <c r="N795" s="46"/>
      <c r="O795" s="46"/>
      <c r="P795" s="46"/>
      <c r="R795" s="15">
        <v>1.54E-2</v>
      </c>
      <c r="S795" s="18">
        <f>(Tabela2[[#This Row],[FRETE]]+Tabela2[[#This Row],[DESPESAS]]+Tabela2[[#This Row],[IPI]]+Tabela2[[#This Row],[Vl. Produto]])*Tabela2[[#This Row],[Aliq.%]]</f>
        <v>0</v>
      </c>
    </row>
    <row r="796" spans="13:19" x14ac:dyDescent="0.25">
      <c r="M796" s="46"/>
      <c r="N796" s="46"/>
      <c r="O796" s="46"/>
      <c r="P796" s="46"/>
      <c r="R796" s="15">
        <v>1.54E-2</v>
      </c>
      <c r="S796" s="18">
        <f>(Tabela2[[#This Row],[FRETE]]+Tabela2[[#This Row],[DESPESAS]]+Tabela2[[#This Row],[IPI]]+Tabela2[[#This Row],[Vl. Produto]])*Tabela2[[#This Row],[Aliq.%]]</f>
        <v>0</v>
      </c>
    </row>
    <row r="797" spans="13:19" x14ac:dyDescent="0.25">
      <c r="M797" s="46"/>
      <c r="N797" s="46"/>
      <c r="O797" s="46"/>
      <c r="P797" s="46"/>
      <c r="R797" s="15">
        <v>1.54E-2</v>
      </c>
      <c r="S797" s="18">
        <f>(Tabela2[[#This Row],[FRETE]]+Tabela2[[#This Row],[DESPESAS]]+Tabela2[[#This Row],[IPI]]+Tabela2[[#This Row],[Vl. Produto]])*Tabela2[[#This Row],[Aliq.%]]</f>
        <v>0</v>
      </c>
    </row>
    <row r="798" spans="13:19" x14ac:dyDescent="0.25">
      <c r="M798" s="46"/>
      <c r="N798" s="46"/>
      <c r="O798" s="46"/>
      <c r="P798" s="46"/>
      <c r="R798" s="15">
        <v>1.54E-2</v>
      </c>
      <c r="S798" s="18">
        <f>(Tabela2[[#This Row],[FRETE]]+Tabela2[[#This Row],[DESPESAS]]+Tabela2[[#This Row],[IPI]]+Tabela2[[#This Row],[Vl. Produto]])*Tabela2[[#This Row],[Aliq.%]]</f>
        <v>0</v>
      </c>
    </row>
    <row r="799" spans="13:19" x14ac:dyDescent="0.25">
      <c r="M799" s="46"/>
      <c r="N799" s="46"/>
      <c r="O799" s="46"/>
      <c r="P799" s="46"/>
      <c r="R799" s="15">
        <v>1.54E-2</v>
      </c>
      <c r="S799" s="18">
        <f>(Tabela2[[#This Row],[FRETE]]+Tabela2[[#This Row],[DESPESAS]]+Tabela2[[#This Row],[IPI]]+Tabela2[[#This Row],[Vl. Produto]])*Tabela2[[#This Row],[Aliq.%]]</f>
        <v>0</v>
      </c>
    </row>
    <row r="800" spans="13:19" x14ac:dyDescent="0.25">
      <c r="M800" s="46"/>
      <c r="N800" s="46"/>
      <c r="O800" s="46"/>
      <c r="P800" s="46"/>
      <c r="R800" s="15">
        <v>1.54E-2</v>
      </c>
      <c r="S800" s="18">
        <f>(Tabela2[[#This Row],[FRETE]]+Tabela2[[#This Row],[DESPESAS]]+Tabela2[[#This Row],[IPI]]+Tabela2[[#This Row],[Vl. Produto]])*Tabela2[[#This Row],[Aliq.%]]</f>
        <v>0</v>
      </c>
    </row>
    <row r="801" spans="13:19" x14ac:dyDescent="0.25">
      <c r="M801" s="46"/>
      <c r="N801" s="46"/>
      <c r="O801" s="46"/>
      <c r="P801" s="46"/>
      <c r="R801" s="15">
        <v>1.54E-2</v>
      </c>
      <c r="S801" s="18">
        <f>(Tabela2[[#This Row],[FRETE]]+Tabela2[[#This Row],[DESPESAS]]+Tabela2[[#This Row],[IPI]]+Tabela2[[#This Row],[Vl. Produto]])*Tabela2[[#This Row],[Aliq.%]]</f>
        <v>0</v>
      </c>
    </row>
    <row r="802" spans="13:19" x14ac:dyDescent="0.25">
      <c r="M802" s="46"/>
      <c r="N802" s="46"/>
      <c r="O802" s="46"/>
      <c r="P802" s="46"/>
      <c r="R802" s="15">
        <v>1.54E-2</v>
      </c>
      <c r="S802" s="18">
        <f>(Tabela2[[#This Row],[FRETE]]+Tabela2[[#This Row],[DESPESAS]]+Tabela2[[#This Row],[IPI]]+Tabela2[[#This Row],[Vl. Produto]])*Tabela2[[#This Row],[Aliq.%]]</f>
        <v>0</v>
      </c>
    </row>
    <row r="803" spans="13:19" x14ac:dyDescent="0.25">
      <c r="M803" s="46"/>
      <c r="N803" s="46"/>
      <c r="O803" s="46"/>
      <c r="P803" s="46"/>
      <c r="R803" s="15">
        <v>1.54E-2</v>
      </c>
      <c r="S803" s="18">
        <f>(Tabela2[[#This Row],[FRETE]]+Tabela2[[#This Row],[DESPESAS]]+Tabela2[[#This Row],[IPI]]+Tabela2[[#This Row],[Vl. Produto]])*Tabela2[[#This Row],[Aliq.%]]</f>
        <v>0</v>
      </c>
    </row>
    <row r="804" spans="13:19" x14ac:dyDescent="0.25">
      <c r="M804" s="46"/>
      <c r="N804" s="46"/>
      <c r="O804" s="46"/>
      <c r="P804" s="46"/>
      <c r="R804" s="15">
        <v>1.54E-2</v>
      </c>
      <c r="S804" s="18">
        <f>(Tabela2[[#This Row],[FRETE]]+Tabela2[[#This Row],[DESPESAS]]+Tabela2[[#This Row],[IPI]]+Tabela2[[#This Row],[Vl. Produto]])*Tabela2[[#This Row],[Aliq.%]]</f>
        <v>0</v>
      </c>
    </row>
    <row r="805" spans="13:19" x14ac:dyDescent="0.25">
      <c r="M805" s="46"/>
      <c r="N805" s="46"/>
      <c r="O805" s="46"/>
      <c r="P805" s="46"/>
      <c r="R805" s="15">
        <v>1.54E-2</v>
      </c>
      <c r="S805" s="18">
        <f>(Tabela2[[#This Row],[FRETE]]+Tabela2[[#This Row],[DESPESAS]]+Tabela2[[#This Row],[IPI]]+Tabela2[[#This Row],[Vl. Produto]])*Tabela2[[#This Row],[Aliq.%]]</f>
        <v>0</v>
      </c>
    </row>
    <row r="806" spans="13:19" x14ac:dyDescent="0.25">
      <c r="M806" s="46"/>
      <c r="N806" s="46"/>
      <c r="O806" s="46"/>
      <c r="P806" s="46"/>
      <c r="R806" s="15">
        <v>1.54E-2</v>
      </c>
      <c r="S806" s="18">
        <f>(Tabela2[[#This Row],[FRETE]]+Tabela2[[#This Row],[DESPESAS]]+Tabela2[[#This Row],[IPI]]+Tabela2[[#This Row],[Vl. Produto]])*Tabela2[[#This Row],[Aliq.%]]</f>
        <v>0</v>
      </c>
    </row>
    <row r="807" spans="13:19" x14ac:dyDescent="0.25">
      <c r="M807" s="46"/>
      <c r="N807" s="46"/>
      <c r="O807" s="46"/>
      <c r="P807" s="46"/>
      <c r="R807" s="15">
        <v>1.54E-2</v>
      </c>
      <c r="S807" s="18">
        <f>(Tabela2[[#This Row],[FRETE]]+Tabela2[[#This Row],[DESPESAS]]+Tabela2[[#This Row],[IPI]]+Tabela2[[#This Row],[Vl. Produto]])*Tabela2[[#This Row],[Aliq.%]]</f>
        <v>0</v>
      </c>
    </row>
    <row r="808" spans="13:19" x14ac:dyDescent="0.25">
      <c r="M808" s="46"/>
      <c r="N808" s="46"/>
      <c r="O808" s="46"/>
      <c r="P808" s="46"/>
      <c r="R808" s="15">
        <v>1.54E-2</v>
      </c>
      <c r="S808" s="18">
        <f>(Tabela2[[#This Row],[FRETE]]+Tabela2[[#This Row],[DESPESAS]]+Tabela2[[#This Row],[IPI]]+Tabela2[[#This Row],[Vl. Produto]])*Tabela2[[#This Row],[Aliq.%]]</f>
        <v>0</v>
      </c>
    </row>
    <row r="809" spans="13:19" x14ac:dyDescent="0.25">
      <c r="M809" s="46"/>
      <c r="N809" s="46"/>
      <c r="O809" s="46"/>
      <c r="P809" s="46"/>
      <c r="R809" s="15">
        <v>1.54E-2</v>
      </c>
      <c r="S809" s="18">
        <f>(Tabela2[[#This Row],[FRETE]]+Tabela2[[#This Row],[DESPESAS]]+Tabela2[[#This Row],[IPI]]+Tabela2[[#This Row],[Vl. Produto]])*Tabela2[[#This Row],[Aliq.%]]</f>
        <v>0</v>
      </c>
    </row>
    <row r="810" spans="13:19" x14ac:dyDescent="0.25">
      <c r="M810" s="46"/>
      <c r="N810" s="46"/>
      <c r="O810" s="46"/>
      <c r="P810" s="46"/>
      <c r="R810" s="15">
        <v>1.54E-2</v>
      </c>
      <c r="S810" s="18">
        <f>(Tabela2[[#This Row],[FRETE]]+Tabela2[[#This Row],[DESPESAS]]+Tabela2[[#This Row],[IPI]]+Tabela2[[#This Row],[Vl. Produto]])*Tabela2[[#This Row],[Aliq.%]]</f>
        <v>0</v>
      </c>
    </row>
    <row r="811" spans="13:19" x14ac:dyDescent="0.25">
      <c r="M811" s="46"/>
      <c r="N811" s="46"/>
      <c r="O811" s="46"/>
      <c r="P811" s="46"/>
      <c r="R811" s="15">
        <v>1.54E-2</v>
      </c>
      <c r="S811" s="18">
        <f>(Tabela2[[#This Row],[FRETE]]+Tabela2[[#This Row],[DESPESAS]]+Tabela2[[#This Row],[IPI]]+Tabela2[[#This Row],[Vl. Produto]])*Tabela2[[#This Row],[Aliq.%]]</f>
        <v>0</v>
      </c>
    </row>
    <row r="812" spans="13:19" x14ac:dyDescent="0.25">
      <c r="M812" s="46"/>
      <c r="N812" s="46"/>
      <c r="O812" s="46"/>
      <c r="P812" s="46"/>
      <c r="R812" s="15">
        <v>1.54E-2</v>
      </c>
      <c r="S812" s="18">
        <f>(Tabela2[[#This Row],[FRETE]]+Tabela2[[#This Row],[DESPESAS]]+Tabela2[[#This Row],[IPI]]+Tabela2[[#This Row],[Vl. Produto]])*Tabela2[[#This Row],[Aliq.%]]</f>
        <v>0</v>
      </c>
    </row>
    <row r="813" spans="13:19" x14ac:dyDescent="0.25">
      <c r="M813" s="46"/>
      <c r="N813" s="46"/>
      <c r="O813" s="46"/>
      <c r="P813" s="46"/>
      <c r="R813" s="15">
        <v>1.54E-2</v>
      </c>
      <c r="S813" s="18">
        <f>(Tabela2[[#This Row],[FRETE]]+Tabela2[[#This Row],[DESPESAS]]+Tabela2[[#This Row],[IPI]]+Tabela2[[#This Row],[Vl. Produto]])*Tabela2[[#This Row],[Aliq.%]]</f>
        <v>0</v>
      </c>
    </row>
    <row r="814" spans="13:19" x14ac:dyDescent="0.25">
      <c r="M814" s="46"/>
      <c r="N814" s="46"/>
      <c r="O814" s="46"/>
      <c r="P814" s="46"/>
      <c r="R814" s="15">
        <v>1.54E-2</v>
      </c>
      <c r="S814" s="18">
        <f>(Tabela2[[#This Row],[FRETE]]+Tabela2[[#This Row],[DESPESAS]]+Tabela2[[#This Row],[IPI]]+Tabela2[[#This Row],[Vl. Produto]])*Tabela2[[#This Row],[Aliq.%]]</f>
        <v>0</v>
      </c>
    </row>
    <row r="815" spans="13:19" x14ac:dyDescent="0.25">
      <c r="M815" s="46"/>
      <c r="N815" s="46"/>
      <c r="O815" s="46"/>
      <c r="P815" s="46"/>
      <c r="R815" s="15">
        <v>1.54E-2</v>
      </c>
      <c r="S815" s="18">
        <f>(Tabela2[[#This Row],[FRETE]]+Tabela2[[#This Row],[DESPESAS]]+Tabela2[[#This Row],[IPI]]+Tabela2[[#This Row],[Vl. Produto]])*Tabela2[[#This Row],[Aliq.%]]</f>
        <v>0</v>
      </c>
    </row>
    <row r="816" spans="13:19" x14ac:dyDescent="0.25">
      <c r="M816" s="46"/>
      <c r="N816" s="46"/>
      <c r="O816" s="46"/>
      <c r="P816" s="46"/>
      <c r="R816" s="15">
        <v>1.54E-2</v>
      </c>
      <c r="S816" s="18">
        <f>(Tabela2[[#This Row],[FRETE]]+Tabela2[[#This Row],[DESPESAS]]+Tabela2[[#This Row],[IPI]]+Tabela2[[#This Row],[Vl. Produto]])*Tabela2[[#This Row],[Aliq.%]]</f>
        <v>0</v>
      </c>
    </row>
    <row r="817" spans="13:19" x14ac:dyDescent="0.25">
      <c r="M817" s="46"/>
      <c r="N817" s="46"/>
      <c r="O817" s="46"/>
      <c r="P817" s="46"/>
      <c r="R817" s="15">
        <v>1.54E-2</v>
      </c>
      <c r="S817" s="18">
        <f>(Tabela2[[#This Row],[FRETE]]+Tabela2[[#This Row],[DESPESAS]]+Tabela2[[#This Row],[IPI]]+Tabela2[[#This Row],[Vl. Produto]])*Tabela2[[#This Row],[Aliq.%]]</f>
        <v>0</v>
      </c>
    </row>
    <row r="818" spans="13:19" x14ac:dyDescent="0.25">
      <c r="M818" s="46"/>
      <c r="N818" s="46"/>
      <c r="O818" s="46"/>
      <c r="P818" s="46"/>
      <c r="R818" s="15">
        <v>1.54E-2</v>
      </c>
      <c r="S818" s="18">
        <f>(Tabela2[[#This Row],[FRETE]]+Tabela2[[#This Row],[DESPESAS]]+Tabela2[[#This Row],[IPI]]+Tabela2[[#This Row],[Vl. Produto]])*Tabela2[[#This Row],[Aliq.%]]</f>
        <v>0</v>
      </c>
    </row>
    <row r="819" spans="13:19" x14ac:dyDescent="0.25">
      <c r="M819" s="46"/>
      <c r="N819" s="46"/>
      <c r="O819" s="46"/>
      <c r="P819" s="46"/>
      <c r="R819" s="15">
        <v>1.54E-2</v>
      </c>
      <c r="S819" s="18">
        <f>(Tabela2[[#This Row],[FRETE]]+Tabela2[[#This Row],[DESPESAS]]+Tabela2[[#This Row],[IPI]]+Tabela2[[#This Row],[Vl. Produto]])*Tabela2[[#This Row],[Aliq.%]]</f>
        <v>0</v>
      </c>
    </row>
    <row r="820" spans="13:19" x14ac:dyDescent="0.25">
      <c r="M820" s="46"/>
      <c r="N820" s="46"/>
      <c r="O820" s="46"/>
      <c r="P820" s="46"/>
      <c r="R820" s="15">
        <v>1.54E-2</v>
      </c>
      <c r="S820" s="18">
        <f>(Tabela2[[#This Row],[FRETE]]+Tabela2[[#This Row],[DESPESAS]]+Tabela2[[#This Row],[IPI]]+Tabela2[[#This Row],[Vl. Produto]])*Tabela2[[#This Row],[Aliq.%]]</f>
        <v>0</v>
      </c>
    </row>
    <row r="821" spans="13:19" x14ac:dyDescent="0.25">
      <c r="M821" s="46"/>
      <c r="N821" s="46"/>
      <c r="O821" s="46"/>
      <c r="P821" s="46"/>
      <c r="R821" s="15">
        <v>1.54E-2</v>
      </c>
      <c r="S821" s="18">
        <f>(Tabela2[[#This Row],[FRETE]]+Tabela2[[#This Row],[DESPESAS]]+Tabela2[[#This Row],[IPI]]+Tabela2[[#This Row],[Vl. Produto]])*Tabela2[[#This Row],[Aliq.%]]</f>
        <v>0</v>
      </c>
    </row>
    <row r="822" spans="13:19" x14ac:dyDescent="0.25">
      <c r="M822" s="46"/>
      <c r="N822" s="46"/>
      <c r="O822" s="46"/>
      <c r="P822" s="46"/>
      <c r="R822" s="15">
        <v>1.54E-2</v>
      </c>
      <c r="S822" s="18">
        <f>(Tabela2[[#This Row],[FRETE]]+Tabela2[[#This Row],[DESPESAS]]+Tabela2[[#This Row],[IPI]]+Tabela2[[#This Row],[Vl. Produto]])*Tabela2[[#This Row],[Aliq.%]]</f>
        <v>0</v>
      </c>
    </row>
    <row r="823" spans="13:19" x14ac:dyDescent="0.25">
      <c r="M823" s="46"/>
      <c r="N823" s="46"/>
      <c r="O823" s="46"/>
      <c r="P823" s="46"/>
      <c r="R823" s="15">
        <v>1.54E-2</v>
      </c>
      <c r="S823" s="18">
        <f>(Tabela2[[#This Row],[FRETE]]+Tabela2[[#This Row],[DESPESAS]]+Tabela2[[#This Row],[IPI]]+Tabela2[[#This Row],[Vl. Produto]])*Tabela2[[#This Row],[Aliq.%]]</f>
        <v>0</v>
      </c>
    </row>
    <row r="824" spans="13:19" x14ac:dyDescent="0.25">
      <c r="M824" s="46"/>
      <c r="N824" s="46"/>
      <c r="O824" s="46"/>
      <c r="P824" s="46"/>
      <c r="R824" s="15">
        <v>1.54E-2</v>
      </c>
      <c r="S824" s="18">
        <f>(Tabela2[[#This Row],[FRETE]]+Tabela2[[#This Row],[DESPESAS]]+Tabela2[[#This Row],[IPI]]+Tabela2[[#This Row],[Vl. Produto]])*Tabela2[[#This Row],[Aliq.%]]</f>
        <v>0</v>
      </c>
    </row>
    <row r="825" spans="13:19" x14ac:dyDescent="0.25">
      <c r="M825" s="46"/>
      <c r="N825" s="46"/>
      <c r="O825" s="46"/>
      <c r="P825" s="46"/>
      <c r="R825" s="15">
        <v>1.54E-2</v>
      </c>
      <c r="S825" s="18">
        <f>(Tabela2[[#This Row],[FRETE]]+Tabela2[[#This Row],[DESPESAS]]+Tabela2[[#This Row],[IPI]]+Tabela2[[#This Row],[Vl. Produto]])*Tabela2[[#This Row],[Aliq.%]]</f>
        <v>0</v>
      </c>
    </row>
    <row r="826" spans="13:19" x14ac:dyDescent="0.25">
      <c r="M826" s="46"/>
      <c r="N826" s="46"/>
      <c r="O826" s="46"/>
      <c r="P826" s="46"/>
      <c r="R826" s="15">
        <v>1.54E-2</v>
      </c>
      <c r="S826" s="18">
        <f>(Tabela2[[#This Row],[FRETE]]+Tabela2[[#This Row],[DESPESAS]]+Tabela2[[#This Row],[IPI]]+Tabela2[[#This Row],[Vl. Produto]])*Tabela2[[#This Row],[Aliq.%]]</f>
        <v>0</v>
      </c>
    </row>
    <row r="827" spans="13:19" x14ac:dyDescent="0.25">
      <c r="M827" s="46"/>
      <c r="N827" s="46"/>
      <c r="O827" s="46"/>
      <c r="P827" s="46"/>
      <c r="R827" s="15">
        <v>1.54E-2</v>
      </c>
      <c r="S827" s="18">
        <f>(Tabela2[[#This Row],[FRETE]]+Tabela2[[#This Row],[DESPESAS]]+Tabela2[[#This Row],[IPI]]+Tabela2[[#This Row],[Vl. Produto]])*Tabela2[[#This Row],[Aliq.%]]</f>
        <v>0</v>
      </c>
    </row>
    <row r="828" spans="13:19" x14ac:dyDescent="0.25">
      <c r="M828" s="46"/>
      <c r="N828" s="46"/>
      <c r="O828" s="46"/>
      <c r="P828" s="46"/>
      <c r="R828" s="15">
        <v>1.54E-2</v>
      </c>
      <c r="S828" s="18">
        <f>(Tabela2[[#This Row],[FRETE]]+Tabela2[[#This Row],[DESPESAS]]+Tabela2[[#This Row],[IPI]]+Tabela2[[#This Row],[Vl. Produto]])*Tabela2[[#This Row],[Aliq.%]]</f>
        <v>0</v>
      </c>
    </row>
    <row r="829" spans="13:19" x14ac:dyDescent="0.25">
      <c r="M829" s="46"/>
      <c r="N829" s="46"/>
      <c r="O829" s="46"/>
      <c r="P829" s="46"/>
      <c r="R829" s="15">
        <v>1.54E-2</v>
      </c>
      <c r="S829" s="18">
        <f>(Tabela2[[#This Row],[FRETE]]+Tabela2[[#This Row],[DESPESAS]]+Tabela2[[#This Row],[IPI]]+Tabela2[[#This Row],[Vl. Produto]])*Tabela2[[#This Row],[Aliq.%]]</f>
        <v>0</v>
      </c>
    </row>
    <row r="830" spans="13:19" x14ac:dyDescent="0.25">
      <c r="M830" s="46"/>
      <c r="N830" s="46"/>
      <c r="O830" s="46"/>
      <c r="P830" s="46"/>
      <c r="R830" s="15">
        <v>1.54E-2</v>
      </c>
      <c r="S830" s="18">
        <f>(Tabela2[[#This Row],[FRETE]]+Tabela2[[#This Row],[DESPESAS]]+Tabela2[[#This Row],[IPI]]+Tabela2[[#This Row],[Vl. Produto]])*Tabela2[[#This Row],[Aliq.%]]</f>
        <v>0</v>
      </c>
    </row>
    <row r="831" spans="13:19" x14ac:dyDescent="0.25">
      <c r="M831" s="46"/>
      <c r="N831" s="46"/>
      <c r="O831" s="46"/>
      <c r="P831" s="46"/>
      <c r="R831" s="15">
        <v>1.54E-2</v>
      </c>
      <c r="S831" s="18">
        <f>(Tabela2[[#This Row],[FRETE]]+Tabela2[[#This Row],[DESPESAS]]+Tabela2[[#This Row],[IPI]]+Tabela2[[#This Row],[Vl. Produto]])*Tabela2[[#This Row],[Aliq.%]]</f>
        <v>0</v>
      </c>
    </row>
    <row r="832" spans="13:19" x14ac:dyDescent="0.25">
      <c r="M832" s="46"/>
      <c r="N832" s="46"/>
      <c r="O832" s="46"/>
      <c r="P832" s="46"/>
      <c r="R832" s="15">
        <v>1.54E-2</v>
      </c>
      <c r="S832" s="18">
        <f>(Tabela2[[#This Row],[FRETE]]+Tabela2[[#This Row],[DESPESAS]]+Tabela2[[#This Row],[IPI]]+Tabela2[[#This Row],[Vl. Produto]])*Tabela2[[#This Row],[Aliq.%]]</f>
        <v>0</v>
      </c>
    </row>
    <row r="833" spans="13:19" x14ac:dyDescent="0.25">
      <c r="M833" s="46"/>
      <c r="N833" s="46"/>
      <c r="O833" s="46"/>
      <c r="P833" s="46"/>
      <c r="R833" s="15">
        <v>1.54E-2</v>
      </c>
      <c r="S833" s="18">
        <f>(Tabela2[[#This Row],[FRETE]]+Tabela2[[#This Row],[DESPESAS]]+Tabela2[[#This Row],[IPI]]+Tabela2[[#This Row],[Vl. Produto]])*Tabela2[[#This Row],[Aliq.%]]</f>
        <v>0</v>
      </c>
    </row>
    <row r="834" spans="13:19" x14ac:dyDescent="0.25">
      <c r="M834" s="46"/>
      <c r="N834" s="46"/>
      <c r="O834" s="46"/>
      <c r="P834" s="46"/>
      <c r="R834" s="15">
        <v>1.54E-2</v>
      </c>
      <c r="S834" s="18">
        <f>(Tabela2[[#This Row],[FRETE]]+Tabela2[[#This Row],[DESPESAS]]+Tabela2[[#This Row],[IPI]]+Tabela2[[#This Row],[Vl. Produto]])*Tabela2[[#This Row],[Aliq.%]]</f>
        <v>0</v>
      </c>
    </row>
    <row r="835" spans="13:19" x14ac:dyDescent="0.25">
      <c r="M835" s="46"/>
      <c r="N835" s="46"/>
      <c r="O835" s="46"/>
      <c r="P835" s="46"/>
      <c r="R835" s="15">
        <v>1.54E-2</v>
      </c>
      <c r="S835" s="18">
        <f>(Tabela2[[#This Row],[FRETE]]+Tabela2[[#This Row],[DESPESAS]]+Tabela2[[#This Row],[IPI]]+Tabela2[[#This Row],[Vl. Produto]])*Tabela2[[#This Row],[Aliq.%]]</f>
        <v>0</v>
      </c>
    </row>
    <row r="836" spans="13:19" x14ac:dyDescent="0.25">
      <c r="M836" s="46"/>
      <c r="N836" s="46"/>
      <c r="O836" s="46"/>
      <c r="P836" s="46"/>
      <c r="R836" s="15">
        <v>1.54E-2</v>
      </c>
      <c r="S836" s="18">
        <f>(Tabela2[[#This Row],[FRETE]]+Tabela2[[#This Row],[DESPESAS]]+Tabela2[[#This Row],[IPI]]+Tabela2[[#This Row],[Vl. Produto]])*Tabela2[[#This Row],[Aliq.%]]</f>
        <v>0</v>
      </c>
    </row>
    <row r="837" spans="13:19" x14ac:dyDescent="0.25">
      <c r="M837" s="46"/>
      <c r="N837" s="46"/>
      <c r="O837" s="46"/>
      <c r="P837" s="46"/>
      <c r="R837" s="15">
        <v>1.54E-2</v>
      </c>
      <c r="S837" s="18">
        <f>(Tabela2[[#This Row],[FRETE]]+Tabela2[[#This Row],[DESPESAS]]+Tabela2[[#This Row],[IPI]]+Tabela2[[#This Row],[Vl. Produto]])*Tabela2[[#This Row],[Aliq.%]]</f>
        <v>0</v>
      </c>
    </row>
    <row r="838" spans="13:19" x14ac:dyDescent="0.25">
      <c r="M838" s="46"/>
      <c r="N838" s="46"/>
      <c r="O838" s="46"/>
      <c r="P838" s="46"/>
      <c r="R838" s="15">
        <v>1.54E-2</v>
      </c>
      <c r="S838" s="18">
        <f>(Tabela2[[#This Row],[FRETE]]+Tabela2[[#This Row],[DESPESAS]]+Tabela2[[#This Row],[IPI]]+Tabela2[[#This Row],[Vl. Produto]])*Tabela2[[#This Row],[Aliq.%]]</f>
        <v>0</v>
      </c>
    </row>
    <row r="839" spans="13:19" x14ac:dyDescent="0.25">
      <c r="M839" s="46"/>
      <c r="N839" s="46"/>
      <c r="O839" s="46"/>
      <c r="P839" s="46"/>
      <c r="R839" s="15">
        <v>1.54E-2</v>
      </c>
      <c r="S839" s="18">
        <f>(Tabela2[[#This Row],[FRETE]]+Tabela2[[#This Row],[DESPESAS]]+Tabela2[[#This Row],[IPI]]+Tabela2[[#This Row],[Vl. Produto]])*Tabela2[[#This Row],[Aliq.%]]</f>
        <v>0</v>
      </c>
    </row>
    <row r="840" spans="13:19" x14ac:dyDescent="0.25">
      <c r="M840" s="46"/>
      <c r="N840" s="46"/>
      <c r="O840" s="46"/>
      <c r="P840" s="46"/>
      <c r="R840" s="15">
        <v>1.54E-2</v>
      </c>
      <c r="S840" s="18">
        <f>(Tabela2[[#This Row],[FRETE]]+Tabela2[[#This Row],[DESPESAS]]+Tabela2[[#This Row],[IPI]]+Tabela2[[#This Row],[Vl. Produto]])*Tabela2[[#This Row],[Aliq.%]]</f>
        <v>0</v>
      </c>
    </row>
    <row r="841" spans="13:19" x14ac:dyDescent="0.25">
      <c r="M841" s="46"/>
      <c r="N841" s="46"/>
      <c r="O841" s="46"/>
      <c r="P841" s="46"/>
      <c r="R841" s="15">
        <v>1.54E-2</v>
      </c>
      <c r="S841" s="18">
        <f>(Tabela2[[#This Row],[FRETE]]+Tabela2[[#This Row],[DESPESAS]]+Tabela2[[#This Row],[IPI]]+Tabela2[[#This Row],[Vl. Produto]])*Tabela2[[#This Row],[Aliq.%]]</f>
        <v>0</v>
      </c>
    </row>
    <row r="842" spans="13:19" x14ac:dyDescent="0.25">
      <c r="M842" s="46"/>
      <c r="N842" s="46"/>
      <c r="O842" s="46"/>
      <c r="P842" s="46"/>
      <c r="R842" s="15">
        <v>1.54E-2</v>
      </c>
      <c r="S842" s="18">
        <f>(Tabela2[[#This Row],[FRETE]]+Tabela2[[#This Row],[DESPESAS]]+Tabela2[[#This Row],[IPI]]+Tabela2[[#This Row],[Vl. Produto]])*Tabela2[[#This Row],[Aliq.%]]</f>
        <v>0</v>
      </c>
    </row>
    <row r="843" spans="13:19" x14ac:dyDescent="0.25">
      <c r="M843" s="46"/>
      <c r="N843" s="46"/>
      <c r="O843" s="46"/>
      <c r="P843" s="46"/>
      <c r="R843" s="15">
        <v>1.54E-2</v>
      </c>
      <c r="S843" s="18">
        <f>(Tabela2[[#This Row],[FRETE]]+Tabela2[[#This Row],[DESPESAS]]+Tabela2[[#This Row],[IPI]]+Tabela2[[#This Row],[Vl. Produto]])*Tabela2[[#This Row],[Aliq.%]]</f>
        <v>0</v>
      </c>
    </row>
    <row r="844" spans="13:19" x14ac:dyDescent="0.25">
      <c r="M844" s="46"/>
      <c r="N844" s="46"/>
      <c r="O844" s="46"/>
      <c r="P844" s="46"/>
      <c r="R844" s="15">
        <v>1.54E-2</v>
      </c>
      <c r="S844" s="18">
        <f>(Tabela2[[#This Row],[FRETE]]+Tabela2[[#This Row],[DESPESAS]]+Tabela2[[#This Row],[IPI]]+Tabela2[[#This Row],[Vl. Produto]])*Tabela2[[#This Row],[Aliq.%]]</f>
        <v>0</v>
      </c>
    </row>
    <row r="845" spans="13:19" x14ac:dyDescent="0.25">
      <c r="M845" s="46"/>
      <c r="N845" s="46"/>
      <c r="O845" s="46"/>
      <c r="P845" s="46"/>
      <c r="R845" s="15">
        <v>1.54E-2</v>
      </c>
      <c r="S845" s="18">
        <f>(Tabela2[[#This Row],[FRETE]]+Tabela2[[#This Row],[DESPESAS]]+Tabela2[[#This Row],[IPI]]+Tabela2[[#This Row],[Vl. Produto]])*Tabela2[[#This Row],[Aliq.%]]</f>
        <v>0</v>
      </c>
    </row>
    <row r="846" spans="13:19" x14ac:dyDescent="0.25">
      <c r="M846" s="46"/>
      <c r="N846" s="46"/>
      <c r="O846" s="46"/>
      <c r="P846" s="46"/>
      <c r="R846" s="15">
        <v>1.54E-2</v>
      </c>
      <c r="S846" s="18">
        <f>(Tabela2[[#This Row],[FRETE]]+Tabela2[[#This Row],[DESPESAS]]+Tabela2[[#This Row],[IPI]]+Tabela2[[#This Row],[Vl. Produto]])*Tabela2[[#This Row],[Aliq.%]]</f>
        <v>0</v>
      </c>
    </row>
    <row r="847" spans="13:19" x14ac:dyDescent="0.25">
      <c r="M847" s="46"/>
      <c r="N847" s="46"/>
      <c r="O847" s="46"/>
      <c r="P847" s="46"/>
      <c r="R847" s="15">
        <v>1.54E-2</v>
      </c>
      <c r="S847" s="18">
        <f>(Tabela2[[#This Row],[FRETE]]+Tabela2[[#This Row],[DESPESAS]]+Tabela2[[#This Row],[IPI]]+Tabela2[[#This Row],[Vl. Produto]])*Tabela2[[#This Row],[Aliq.%]]</f>
        <v>0</v>
      </c>
    </row>
    <row r="848" spans="13:19" x14ac:dyDescent="0.25">
      <c r="M848" s="46"/>
      <c r="N848" s="46"/>
      <c r="O848" s="46"/>
      <c r="P848" s="46"/>
      <c r="R848" s="15">
        <v>1.54E-2</v>
      </c>
      <c r="S848" s="18">
        <f>(Tabela2[[#This Row],[FRETE]]+Tabela2[[#This Row],[DESPESAS]]+Tabela2[[#This Row],[IPI]]+Tabela2[[#This Row],[Vl. Produto]])*Tabela2[[#This Row],[Aliq.%]]</f>
        <v>0</v>
      </c>
    </row>
    <row r="849" spans="13:19" x14ac:dyDescent="0.25">
      <c r="M849" s="46"/>
      <c r="N849" s="46"/>
      <c r="O849" s="46"/>
      <c r="P849" s="46"/>
      <c r="R849" s="15">
        <v>1.54E-2</v>
      </c>
      <c r="S849" s="18">
        <f>(Tabela2[[#This Row],[FRETE]]+Tabela2[[#This Row],[DESPESAS]]+Tabela2[[#This Row],[IPI]]+Tabela2[[#This Row],[Vl. Produto]])*Tabela2[[#This Row],[Aliq.%]]</f>
        <v>0</v>
      </c>
    </row>
    <row r="850" spans="13:19" x14ac:dyDescent="0.25">
      <c r="M850" s="46"/>
      <c r="N850" s="46"/>
      <c r="O850" s="46"/>
      <c r="P850" s="46"/>
      <c r="R850" s="15">
        <v>1.54E-2</v>
      </c>
      <c r="S850" s="18">
        <f>(Tabela2[[#This Row],[FRETE]]+Tabela2[[#This Row],[DESPESAS]]+Tabela2[[#This Row],[IPI]]+Tabela2[[#This Row],[Vl. Produto]])*Tabela2[[#This Row],[Aliq.%]]</f>
        <v>0</v>
      </c>
    </row>
    <row r="851" spans="13:19" x14ac:dyDescent="0.25">
      <c r="M851" s="46"/>
      <c r="N851" s="46"/>
      <c r="O851" s="46"/>
      <c r="P851" s="46"/>
      <c r="R851" s="15">
        <v>1.54E-2</v>
      </c>
      <c r="S851" s="18">
        <f>(Tabela2[[#This Row],[FRETE]]+Tabela2[[#This Row],[DESPESAS]]+Tabela2[[#This Row],[IPI]]+Tabela2[[#This Row],[Vl. Produto]])*Tabela2[[#This Row],[Aliq.%]]</f>
        <v>0</v>
      </c>
    </row>
    <row r="852" spans="13:19" x14ac:dyDescent="0.25">
      <c r="M852" s="46"/>
      <c r="N852" s="46"/>
      <c r="O852" s="46"/>
      <c r="P852" s="46"/>
      <c r="R852" s="15">
        <v>1.54E-2</v>
      </c>
      <c r="S852" s="18">
        <f>(Tabela2[[#This Row],[FRETE]]+Tabela2[[#This Row],[DESPESAS]]+Tabela2[[#This Row],[IPI]]+Tabela2[[#This Row],[Vl. Produto]])*Tabela2[[#This Row],[Aliq.%]]</f>
        <v>0</v>
      </c>
    </row>
    <row r="853" spans="13:19" x14ac:dyDescent="0.25">
      <c r="M853" s="46"/>
      <c r="N853" s="46"/>
      <c r="O853" s="46"/>
      <c r="P853" s="46"/>
      <c r="R853" s="15">
        <v>1.54E-2</v>
      </c>
      <c r="S853" s="18">
        <f>(Tabela2[[#This Row],[FRETE]]+Tabela2[[#This Row],[DESPESAS]]+Tabela2[[#This Row],[IPI]]+Tabela2[[#This Row],[Vl. Produto]])*Tabela2[[#This Row],[Aliq.%]]</f>
        <v>0</v>
      </c>
    </row>
    <row r="854" spans="13:19" x14ac:dyDescent="0.25">
      <c r="M854" s="46"/>
      <c r="N854" s="46"/>
      <c r="O854" s="46"/>
      <c r="P854" s="46"/>
      <c r="R854" s="15">
        <v>1.54E-2</v>
      </c>
      <c r="S854" s="18">
        <f>(Tabela2[[#This Row],[FRETE]]+Tabela2[[#This Row],[DESPESAS]]+Tabela2[[#This Row],[IPI]]+Tabela2[[#This Row],[Vl. Produto]])*Tabela2[[#This Row],[Aliq.%]]</f>
        <v>0</v>
      </c>
    </row>
    <row r="855" spans="13:19" x14ac:dyDescent="0.25">
      <c r="M855" s="46"/>
      <c r="N855" s="46"/>
      <c r="O855" s="46"/>
      <c r="P855" s="46"/>
      <c r="R855" s="15">
        <v>1.54E-2</v>
      </c>
      <c r="S855" s="18">
        <f>(Tabela2[[#This Row],[FRETE]]+Tabela2[[#This Row],[DESPESAS]]+Tabela2[[#This Row],[IPI]]+Tabela2[[#This Row],[Vl. Produto]])*Tabela2[[#This Row],[Aliq.%]]</f>
        <v>0</v>
      </c>
    </row>
    <row r="856" spans="13:19" x14ac:dyDescent="0.25">
      <c r="M856" s="46"/>
      <c r="N856" s="46"/>
      <c r="O856" s="46"/>
      <c r="P856" s="46"/>
      <c r="R856" s="15">
        <v>1.54E-2</v>
      </c>
      <c r="S856" s="18">
        <f>(Tabela2[[#This Row],[FRETE]]+Tabela2[[#This Row],[DESPESAS]]+Tabela2[[#This Row],[IPI]]+Tabela2[[#This Row],[Vl. Produto]])*Tabela2[[#This Row],[Aliq.%]]</f>
        <v>0</v>
      </c>
    </row>
    <row r="857" spans="13:19" x14ac:dyDescent="0.25">
      <c r="M857" s="46"/>
      <c r="N857" s="46"/>
      <c r="O857" s="46"/>
      <c r="P857" s="46"/>
      <c r="R857" s="15">
        <v>1.54E-2</v>
      </c>
      <c r="S857" s="18">
        <f>(Tabela2[[#This Row],[FRETE]]+Tabela2[[#This Row],[DESPESAS]]+Tabela2[[#This Row],[IPI]]+Tabela2[[#This Row],[Vl. Produto]])*Tabela2[[#This Row],[Aliq.%]]</f>
        <v>0</v>
      </c>
    </row>
    <row r="858" spans="13:19" x14ac:dyDescent="0.25">
      <c r="M858" s="46"/>
      <c r="N858" s="46"/>
      <c r="O858" s="46"/>
      <c r="P858" s="46"/>
      <c r="R858" s="15">
        <v>1.54E-2</v>
      </c>
      <c r="S858" s="18">
        <f>(Tabela2[[#This Row],[FRETE]]+Tabela2[[#This Row],[DESPESAS]]+Tabela2[[#This Row],[IPI]]+Tabela2[[#This Row],[Vl. Produto]])*Tabela2[[#This Row],[Aliq.%]]</f>
        <v>0</v>
      </c>
    </row>
    <row r="859" spans="13:19" x14ac:dyDescent="0.25">
      <c r="M859" s="46"/>
      <c r="N859" s="46"/>
      <c r="O859" s="46"/>
      <c r="P859" s="46"/>
      <c r="R859" s="15">
        <v>1.54E-2</v>
      </c>
      <c r="S859" s="18">
        <f>(Tabela2[[#This Row],[FRETE]]+Tabela2[[#This Row],[DESPESAS]]+Tabela2[[#This Row],[IPI]]+Tabela2[[#This Row],[Vl. Produto]])*Tabela2[[#This Row],[Aliq.%]]</f>
        <v>0</v>
      </c>
    </row>
    <row r="860" spans="13:19" x14ac:dyDescent="0.25">
      <c r="M860" s="46"/>
      <c r="N860" s="46"/>
      <c r="O860" s="46"/>
      <c r="P860" s="46"/>
      <c r="R860" s="15">
        <v>1.54E-2</v>
      </c>
      <c r="S860" s="18">
        <f>(Tabela2[[#This Row],[FRETE]]+Tabela2[[#This Row],[DESPESAS]]+Tabela2[[#This Row],[IPI]]+Tabela2[[#This Row],[Vl. Produto]])*Tabela2[[#This Row],[Aliq.%]]</f>
        <v>0</v>
      </c>
    </row>
    <row r="861" spans="13:19" x14ac:dyDescent="0.25">
      <c r="M861" s="46"/>
      <c r="N861" s="46"/>
      <c r="O861" s="46"/>
      <c r="P861" s="46"/>
      <c r="R861" s="15">
        <v>1.54E-2</v>
      </c>
      <c r="S861" s="18">
        <f>(Tabela2[[#This Row],[FRETE]]+Tabela2[[#This Row],[DESPESAS]]+Tabela2[[#This Row],[IPI]]+Tabela2[[#This Row],[Vl. Produto]])*Tabela2[[#This Row],[Aliq.%]]</f>
        <v>0</v>
      </c>
    </row>
    <row r="862" spans="13:19" x14ac:dyDescent="0.25">
      <c r="M862" s="46"/>
      <c r="N862" s="46"/>
      <c r="O862" s="46"/>
      <c r="P862" s="46"/>
      <c r="R862" s="15">
        <v>1.54E-2</v>
      </c>
      <c r="S862" s="18">
        <f>(Tabela2[[#This Row],[FRETE]]+Tabela2[[#This Row],[DESPESAS]]+Tabela2[[#This Row],[IPI]]+Tabela2[[#This Row],[Vl. Produto]])*Tabela2[[#This Row],[Aliq.%]]</f>
        <v>0</v>
      </c>
    </row>
    <row r="863" spans="13:19" x14ac:dyDescent="0.25">
      <c r="M863" s="46"/>
      <c r="N863" s="46"/>
      <c r="O863" s="46"/>
      <c r="P863" s="46"/>
      <c r="R863" s="15">
        <v>1.54E-2</v>
      </c>
      <c r="S863" s="18">
        <f>(Tabela2[[#This Row],[FRETE]]+Tabela2[[#This Row],[DESPESAS]]+Tabela2[[#This Row],[IPI]]+Tabela2[[#This Row],[Vl. Produto]])*Tabela2[[#This Row],[Aliq.%]]</f>
        <v>0</v>
      </c>
    </row>
    <row r="864" spans="13:19" x14ac:dyDescent="0.25">
      <c r="M864" s="46"/>
      <c r="N864" s="46"/>
      <c r="O864" s="46"/>
      <c r="P864" s="46"/>
      <c r="R864" s="15">
        <v>1.54E-2</v>
      </c>
      <c r="S864" s="18">
        <f>(Tabela2[[#This Row],[FRETE]]+Tabela2[[#This Row],[DESPESAS]]+Tabela2[[#This Row],[IPI]]+Tabela2[[#This Row],[Vl. Produto]])*Tabela2[[#This Row],[Aliq.%]]</f>
        <v>0</v>
      </c>
    </row>
    <row r="865" spans="13:19" x14ac:dyDescent="0.25">
      <c r="M865" s="46"/>
      <c r="N865" s="46"/>
      <c r="O865" s="46"/>
      <c r="P865" s="46"/>
      <c r="R865" s="15">
        <v>1.54E-2</v>
      </c>
      <c r="S865" s="18">
        <f>(Tabela2[[#This Row],[FRETE]]+Tabela2[[#This Row],[DESPESAS]]+Tabela2[[#This Row],[IPI]]+Tabela2[[#This Row],[Vl. Produto]])*Tabela2[[#This Row],[Aliq.%]]</f>
        <v>0</v>
      </c>
    </row>
    <row r="866" spans="13:19" x14ac:dyDescent="0.25">
      <c r="M866" s="46"/>
      <c r="N866" s="46"/>
      <c r="O866" s="46"/>
      <c r="P866" s="46"/>
      <c r="R866" s="15">
        <v>1.54E-2</v>
      </c>
      <c r="S866" s="18">
        <f>(Tabela2[[#This Row],[FRETE]]+Tabela2[[#This Row],[DESPESAS]]+Tabela2[[#This Row],[IPI]]+Tabela2[[#This Row],[Vl. Produto]])*Tabela2[[#This Row],[Aliq.%]]</f>
        <v>0</v>
      </c>
    </row>
    <row r="867" spans="13:19" x14ac:dyDescent="0.25">
      <c r="M867" s="46"/>
      <c r="N867" s="46"/>
      <c r="O867" s="46"/>
      <c r="P867" s="46"/>
      <c r="R867" s="15">
        <v>1.54E-2</v>
      </c>
      <c r="S867" s="18">
        <f>(Tabela2[[#This Row],[FRETE]]+Tabela2[[#This Row],[DESPESAS]]+Tabela2[[#This Row],[IPI]]+Tabela2[[#This Row],[Vl. Produto]])*Tabela2[[#This Row],[Aliq.%]]</f>
        <v>0</v>
      </c>
    </row>
    <row r="868" spans="13:19" x14ac:dyDescent="0.25">
      <c r="M868" s="46"/>
      <c r="N868" s="46"/>
      <c r="O868" s="46"/>
      <c r="P868" s="46"/>
      <c r="R868" s="15">
        <v>1.54E-2</v>
      </c>
      <c r="S868" s="18">
        <f>(Tabela2[[#This Row],[FRETE]]+Tabela2[[#This Row],[DESPESAS]]+Tabela2[[#This Row],[IPI]]+Tabela2[[#This Row],[Vl. Produto]])*Tabela2[[#This Row],[Aliq.%]]</f>
        <v>0</v>
      </c>
    </row>
    <row r="869" spans="13:19" x14ac:dyDescent="0.25">
      <c r="M869" s="46"/>
      <c r="N869" s="46"/>
      <c r="O869" s="46"/>
      <c r="P869" s="46"/>
      <c r="R869" s="15">
        <v>1.54E-2</v>
      </c>
      <c r="S869" s="18">
        <f>(Tabela2[[#This Row],[FRETE]]+Tabela2[[#This Row],[DESPESAS]]+Tabela2[[#This Row],[IPI]]+Tabela2[[#This Row],[Vl. Produto]])*Tabela2[[#This Row],[Aliq.%]]</f>
        <v>0</v>
      </c>
    </row>
    <row r="870" spans="13:19" x14ac:dyDescent="0.25">
      <c r="M870" s="46"/>
      <c r="N870" s="46"/>
      <c r="O870" s="46"/>
      <c r="P870" s="46"/>
      <c r="R870" s="15">
        <v>1.54E-2</v>
      </c>
      <c r="S870" s="18">
        <f>(Tabela2[[#This Row],[FRETE]]+Tabela2[[#This Row],[DESPESAS]]+Tabela2[[#This Row],[IPI]]+Tabela2[[#This Row],[Vl. Produto]])*Tabela2[[#This Row],[Aliq.%]]</f>
        <v>0</v>
      </c>
    </row>
    <row r="871" spans="13:19" x14ac:dyDescent="0.25">
      <c r="M871" s="46"/>
      <c r="N871" s="46"/>
      <c r="O871" s="46"/>
      <c r="P871" s="46"/>
      <c r="R871" s="15">
        <v>1.54E-2</v>
      </c>
      <c r="S871" s="18">
        <f>(Tabela2[[#This Row],[FRETE]]+Tabela2[[#This Row],[DESPESAS]]+Tabela2[[#This Row],[IPI]]+Tabela2[[#This Row],[Vl. Produto]])*Tabela2[[#This Row],[Aliq.%]]</f>
        <v>0</v>
      </c>
    </row>
    <row r="872" spans="13:19" x14ac:dyDescent="0.25">
      <c r="M872" s="46"/>
      <c r="N872" s="46"/>
      <c r="O872" s="46"/>
      <c r="P872" s="46"/>
      <c r="R872" s="15">
        <v>1.54E-2</v>
      </c>
      <c r="S872" s="18">
        <f>(Tabela2[[#This Row],[FRETE]]+Tabela2[[#This Row],[DESPESAS]]+Tabela2[[#This Row],[IPI]]+Tabela2[[#This Row],[Vl. Produto]])*Tabela2[[#This Row],[Aliq.%]]</f>
        <v>0</v>
      </c>
    </row>
    <row r="873" spans="13:19" x14ac:dyDescent="0.25">
      <c r="M873" s="46"/>
      <c r="N873" s="46"/>
      <c r="O873" s="46"/>
      <c r="P873" s="46"/>
      <c r="R873" s="15">
        <v>1.54E-2</v>
      </c>
      <c r="S873" s="18">
        <f>(Tabela2[[#This Row],[FRETE]]+Tabela2[[#This Row],[DESPESAS]]+Tabela2[[#This Row],[IPI]]+Tabela2[[#This Row],[Vl. Produto]])*Tabela2[[#This Row],[Aliq.%]]</f>
        <v>0</v>
      </c>
    </row>
    <row r="874" spans="13:19" x14ac:dyDescent="0.25">
      <c r="M874" s="46"/>
      <c r="N874" s="46"/>
      <c r="O874" s="46"/>
      <c r="P874" s="46"/>
      <c r="R874" s="15">
        <v>1.54E-2</v>
      </c>
      <c r="S874" s="18">
        <f>(Tabela2[[#This Row],[FRETE]]+Tabela2[[#This Row],[DESPESAS]]+Tabela2[[#This Row],[IPI]]+Tabela2[[#This Row],[Vl. Produto]])*Tabela2[[#This Row],[Aliq.%]]</f>
        <v>0</v>
      </c>
    </row>
    <row r="875" spans="13:19" x14ac:dyDescent="0.25">
      <c r="M875" s="46"/>
      <c r="N875" s="46"/>
      <c r="O875" s="46"/>
      <c r="P875" s="46"/>
      <c r="R875" s="15">
        <v>1.54E-2</v>
      </c>
      <c r="S875" s="18">
        <f>(Tabela2[[#This Row],[FRETE]]+Tabela2[[#This Row],[DESPESAS]]+Tabela2[[#This Row],[IPI]]+Tabela2[[#This Row],[Vl. Produto]])*Tabela2[[#This Row],[Aliq.%]]</f>
        <v>0</v>
      </c>
    </row>
    <row r="876" spans="13:19" x14ac:dyDescent="0.25">
      <c r="M876" s="46"/>
      <c r="N876" s="46"/>
      <c r="O876" s="46"/>
      <c r="P876" s="46"/>
      <c r="R876" s="15">
        <v>1.54E-2</v>
      </c>
      <c r="S876" s="18">
        <f>(Tabela2[[#This Row],[FRETE]]+Tabela2[[#This Row],[DESPESAS]]+Tabela2[[#This Row],[IPI]]+Tabela2[[#This Row],[Vl. Produto]])*Tabela2[[#This Row],[Aliq.%]]</f>
        <v>0</v>
      </c>
    </row>
    <row r="877" spans="13:19" x14ac:dyDescent="0.25">
      <c r="M877" s="46"/>
      <c r="N877" s="46"/>
      <c r="O877" s="46"/>
      <c r="P877" s="46"/>
      <c r="R877" s="15">
        <v>1.54E-2</v>
      </c>
      <c r="S877" s="18">
        <f>(Tabela2[[#This Row],[FRETE]]+Tabela2[[#This Row],[DESPESAS]]+Tabela2[[#This Row],[IPI]]+Tabela2[[#This Row],[Vl. Produto]])*Tabela2[[#This Row],[Aliq.%]]</f>
        <v>0</v>
      </c>
    </row>
    <row r="878" spans="13:19" x14ac:dyDescent="0.25">
      <c r="M878" s="46"/>
      <c r="N878" s="46"/>
      <c r="O878" s="46"/>
      <c r="P878" s="46"/>
      <c r="R878" s="15">
        <v>1.54E-2</v>
      </c>
      <c r="S878" s="18">
        <f>(Tabela2[[#This Row],[FRETE]]+Tabela2[[#This Row],[DESPESAS]]+Tabela2[[#This Row],[IPI]]+Tabela2[[#This Row],[Vl. Produto]])*Tabela2[[#This Row],[Aliq.%]]</f>
        <v>0</v>
      </c>
    </row>
    <row r="879" spans="13:19" x14ac:dyDescent="0.25">
      <c r="M879" s="46"/>
      <c r="N879" s="46"/>
      <c r="O879" s="46"/>
      <c r="P879" s="46"/>
      <c r="R879" s="15">
        <v>1.54E-2</v>
      </c>
      <c r="S879" s="18">
        <f>(Tabela2[[#This Row],[FRETE]]+Tabela2[[#This Row],[DESPESAS]]+Tabela2[[#This Row],[IPI]]+Tabela2[[#This Row],[Vl. Produto]])*Tabela2[[#This Row],[Aliq.%]]</f>
        <v>0</v>
      </c>
    </row>
    <row r="880" spans="13:19" x14ac:dyDescent="0.25">
      <c r="M880" s="46"/>
      <c r="N880" s="46"/>
      <c r="O880" s="46"/>
      <c r="P880" s="46"/>
      <c r="R880" s="15">
        <v>1.54E-2</v>
      </c>
      <c r="S880" s="18">
        <f>(Tabela2[[#This Row],[FRETE]]+Tabela2[[#This Row],[DESPESAS]]+Tabela2[[#This Row],[IPI]]+Tabela2[[#This Row],[Vl. Produto]])*Tabela2[[#This Row],[Aliq.%]]</f>
        <v>0</v>
      </c>
    </row>
    <row r="881" spans="13:19" x14ac:dyDescent="0.25">
      <c r="M881" s="46"/>
      <c r="N881" s="46"/>
      <c r="O881" s="46"/>
      <c r="P881" s="46"/>
      <c r="R881" s="15">
        <v>1.54E-2</v>
      </c>
      <c r="S881" s="18">
        <f>(Tabela2[[#This Row],[FRETE]]+Tabela2[[#This Row],[DESPESAS]]+Tabela2[[#This Row],[IPI]]+Tabela2[[#This Row],[Vl. Produto]])*Tabela2[[#This Row],[Aliq.%]]</f>
        <v>0</v>
      </c>
    </row>
    <row r="882" spans="13:19" x14ac:dyDescent="0.25">
      <c r="M882" s="46"/>
      <c r="N882" s="46"/>
      <c r="O882" s="46"/>
      <c r="P882" s="46"/>
      <c r="R882" s="15">
        <v>1.54E-2</v>
      </c>
      <c r="S882" s="18">
        <f>(Tabela2[[#This Row],[FRETE]]+Tabela2[[#This Row],[DESPESAS]]+Tabela2[[#This Row],[IPI]]+Tabela2[[#This Row],[Vl. Produto]])*Tabela2[[#This Row],[Aliq.%]]</f>
        <v>0</v>
      </c>
    </row>
    <row r="883" spans="13:19" x14ac:dyDescent="0.25">
      <c r="M883" s="46"/>
      <c r="N883" s="46"/>
      <c r="O883" s="46"/>
      <c r="P883" s="46"/>
      <c r="R883" s="15">
        <v>1.54E-2</v>
      </c>
      <c r="S883" s="18">
        <f>(Tabela2[[#This Row],[FRETE]]+Tabela2[[#This Row],[DESPESAS]]+Tabela2[[#This Row],[IPI]]+Tabela2[[#This Row],[Vl. Produto]])*Tabela2[[#This Row],[Aliq.%]]</f>
        <v>0</v>
      </c>
    </row>
    <row r="884" spans="13:19" x14ac:dyDescent="0.25">
      <c r="M884" s="46"/>
      <c r="N884" s="46"/>
      <c r="O884" s="46"/>
      <c r="P884" s="46"/>
      <c r="R884" s="15">
        <v>1.54E-2</v>
      </c>
      <c r="S884" s="18">
        <f>(Tabela2[[#This Row],[FRETE]]+Tabela2[[#This Row],[DESPESAS]]+Tabela2[[#This Row],[IPI]]+Tabela2[[#This Row],[Vl. Produto]])*Tabela2[[#This Row],[Aliq.%]]</f>
        <v>0</v>
      </c>
    </row>
    <row r="885" spans="13:19" x14ac:dyDescent="0.25">
      <c r="M885" s="46"/>
      <c r="N885" s="46"/>
      <c r="O885" s="46"/>
      <c r="P885" s="46"/>
      <c r="R885" s="15">
        <v>1.54E-2</v>
      </c>
      <c r="S885" s="18">
        <f>(Tabela2[[#This Row],[FRETE]]+Tabela2[[#This Row],[DESPESAS]]+Tabela2[[#This Row],[IPI]]+Tabela2[[#This Row],[Vl. Produto]])*Tabela2[[#This Row],[Aliq.%]]</f>
        <v>0</v>
      </c>
    </row>
    <row r="886" spans="13:19" x14ac:dyDescent="0.25">
      <c r="M886" s="46"/>
      <c r="N886" s="46"/>
      <c r="O886" s="46"/>
      <c r="P886" s="46"/>
      <c r="R886" s="15">
        <v>1.54E-2</v>
      </c>
      <c r="S886" s="18">
        <f>(Tabela2[[#This Row],[FRETE]]+Tabela2[[#This Row],[DESPESAS]]+Tabela2[[#This Row],[IPI]]+Tabela2[[#This Row],[Vl. Produto]])*Tabela2[[#This Row],[Aliq.%]]</f>
        <v>0</v>
      </c>
    </row>
    <row r="887" spans="13:19" x14ac:dyDescent="0.25">
      <c r="M887" s="46"/>
      <c r="N887" s="46"/>
      <c r="O887" s="46"/>
      <c r="P887" s="46"/>
      <c r="R887" s="15">
        <v>1.54E-2</v>
      </c>
      <c r="S887" s="18">
        <f>(Tabela2[[#This Row],[FRETE]]+Tabela2[[#This Row],[DESPESAS]]+Tabela2[[#This Row],[IPI]]+Tabela2[[#This Row],[Vl. Produto]])*Tabela2[[#This Row],[Aliq.%]]</f>
        <v>0</v>
      </c>
    </row>
    <row r="888" spans="13:19" x14ac:dyDescent="0.25">
      <c r="M888" s="46"/>
      <c r="N888" s="46"/>
      <c r="O888" s="46"/>
      <c r="P888" s="46"/>
      <c r="R888" s="15">
        <v>1.54E-2</v>
      </c>
      <c r="S888" s="18">
        <f>(Tabela2[[#This Row],[FRETE]]+Tabela2[[#This Row],[DESPESAS]]+Tabela2[[#This Row],[IPI]]+Tabela2[[#This Row],[Vl. Produto]])*Tabela2[[#This Row],[Aliq.%]]</f>
        <v>0</v>
      </c>
    </row>
    <row r="889" spans="13:19" x14ac:dyDescent="0.25">
      <c r="M889" s="46"/>
      <c r="N889" s="46"/>
      <c r="O889" s="46"/>
      <c r="P889" s="46"/>
      <c r="R889" s="15">
        <v>1.54E-2</v>
      </c>
      <c r="S889" s="18">
        <f>(Tabela2[[#This Row],[FRETE]]+Tabela2[[#This Row],[DESPESAS]]+Tabela2[[#This Row],[IPI]]+Tabela2[[#This Row],[Vl. Produto]])*Tabela2[[#This Row],[Aliq.%]]</f>
        <v>0</v>
      </c>
    </row>
    <row r="890" spans="13:19" x14ac:dyDescent="0.25">
      <c r="M890" s="46"/>
      <c r="N890" s="46"/>
      <c r="O890" s="46"/>
      <c r="P890" s="46"/>
      <c r="R890" s="15">
        <v>1.54E-2</v>
      </c>
      <c r="S890" s="18">
        <f>(Tabela2[[#This Row],[FRETE]]+Tabela2[[#This Row],[DESPESAS]]+Tabela2[[#This Row],[IPI]]+Tabela2[[#This Row],[Vl. Produto]])*Tabela2[[#This Row],[Aliq.%]]</f>
        <v>0</v>
      </c>
    </row>
    <row r="891" spans="13:19" x14ac:dyDescent="0.25">
      <c r="M891" s="46"/>
      <c r="N891" s="46"/>
      <c r="O891" s="46"/>
      <c r="P891" s="46"/>
      <c r="R891" s="15">
        <v>1.54E-2</v>
      </c>
      <c r="S891" s="18">
        <f>(Tabela2[[#This Row],[FRETE]]+Tabela2[[#This Row],[DESPESAS]]+Tabela2[[#This Row],[IPI]]+Tabela2[[#This Row],[Vl. Produto]])*Tabela2[[#This Row],[Aliq.%]]</f>
        <v>0</v>
      </c>
    </row>
    <row r="892" spans="13:19" x14ac:dyDescent="0.25">
      <c r="M892" s="46"/>
      <c r="N892" s="46"/>
      <c r="O892" s="46"/>
      <c r="P892" s="46"/>
      <c r="R892" s="15">
        <v>1.54E-2</v>
      </c>
      <c r="S892" s="18">
        <f>(Tabela2[[#This Row],[FRETE]]+Tabela2[[#This Row],[DESPESAS]]+Tabela2[[#This Row],[IPI]]+Tabela2[[#This Row],[Vl. Produto]])*Tabela2[[#This Row],[Aliq.%]]</f>
        <v>0</v>
      </c>
    </row>
    <row r="893" spans="13:19" x14ac:dyDescent="0.25">
      <c r="M893" s="46"/>
      <c r="N893" s="46"/>
      <c r="O893" s="46"/>
      <c r="P893" s="46"/>
      <c r="R893" s="15">
        <v>1.54E-2</v>
      </c>
      <c r="S893" s="18">
        <f>(Tabela2[[#This Row],[FRETE]]+Tabela2[[#This Row],[DESPESAS]]+Tabela2[[#This Row],[IPI]]+Tabela2[[#This Row],[Vl. Produto]])*Tabela2[[#This Row],[Aliq.%]]</f>
        <v>0</v>
      </c>
    </row>
    <row r="894" spans="13:19" x14ac:dyDescent="0.25">
      <c r="M894" s="46"/>
      <c r="N894" s="46"/>
      <c r="O894" s="46"/>
      <c r="P894" s="46"/>
      <c r="R894" s="15">
        <v>1.54E-2</v>
      </c>
      <c r="S894" s="18">
        <f>(Tabela2[[#This Row],[FRETE]]+Tabela2[[#This Row],[DESPESAS]]+Tabela2[[#This Row],[IPI]]+Tabela2[[#This Row],[Vl. Produto]])*Tabela2[[#This Row],[Aliq.%]]</f>
        <v>0</v>
      </c>
    </row>
    <row r="895" spans="13:19" x14ac:dyDescent="0.25">
      <c r="M895" s="46"/>
      <c r="N895" s="46"/>
      <c r="O895" s="46"/>
      <c r="P895" s="46"/>
      <c r="R895" s="15">
        <v>1.54E-2</v>
      </c>
      <c r="S895" s="18">
        <f>(Tabela2[[#This Row],[FRETE]]+Tabela2[[#This Row],[DESPESAS]]+Tabela2[[#This Row],[IPI]]+Tabela2[[#This Row],[Vl. Produto]])*Tabela2[[#This Row],[Aliq.%]]</f>
        <v>0</v>
      </c>
    </row>
    <row r="896" spans="13:19" x14ac:dyDescent="0.25">
      <c r="M896" s="46"/>
      <c r="N896" s="46"/>
      <c r="O896" s="46"/>
      <c r="P896" s="46"/>
      <c r="R896" s="15">
        <v>1.54E-2</v>
      </c>
      <c r="S896" s="18">
        <f>(Tabela2[[#This Row],[FRETE]]+Tabela2[[#This Row],[DESPESAS]]+Tabela2[[#This Row],[IPI]]+Tabela2[[#This Row],[Vl. Produto]])*Tabela2[[#This Row],[Aliq.%]]</f>
        <v>0</v>
      </c>
    </row>
    <row r="897" spans="13:19" x14ac:dyDescent="0.25">
      <c r="M897" s="46"/>
      <c r="N897" s="46"/>
      <c r="O897" s="46"/>
      <c r="P897" s="46"/>
      <c r="R897" s="15">
        <v>1.54E-2</v>
      </c>
      <c r="S897" s="18">
        <f>(Tabela2[[#This Row],[FRETE]]+Tabela2[[#This Row],[DESPESAS]]+Tabela2[[#This Row],[IPI]]+Tabela2[[#This Row],[Vl. Produto]])*Tabela2[[#This Row],[Aliq.%]]</f>
        <v>0</v>
      </c>
    </row>
    <row r="898" spans="13:19" x14ac:dyDescent="0.25">
      <c r="M898" s="46"/>
      <c r="N898" s="46"/>
      <c r="O898" s="46"/>
      <c r="P898" s="46"/>
      <c r="R898" s="15">
        <v>1.54E-2</v>
      </c>
      <c r="S898" s="18">
        <f>(Tabela2[[#This Row],[FRETE]]+Tabela2[[#This Row],[DESPESAS]]+Tabela2[[#This Row],[IPI]]+Tabela2[[#This Row],[Vl. Produto]])*Tabela2[[#This Row],[Aliq.%]]</f>
        <v>0</v>
      </c>
    </row>
    <row r="899" spans="13:19" x14ac:dyDescent="0.25">
      <c r="M899" s="46"/>
      <c r="N899" s="46"/>
      <c r="O899" s="46"/>
      <c r="P899" s="46"/>
      <c r="R899" s="15">
        <v>1.54E-2</v>
      </c>
      <c r="S899" s="18">
        <f>(Tabela2[[#This Row],[FRETE]]+Tabela2[[#This Row],[DESPESAS]]+Tabela2[[#This Row],[IPI]]+Tabela2[[#This Row],[Vl. Produto]])*Tabela2[[#This Row],[Aliq.%]]</f>
        <v>0</v>
      </c>
    </row>
    <row r="900" spans="13:19" x14ac:dyDescent="0.25">
      <c r="M900" s="46"/>
      <c r="N900" s="46"/>
      <c r="O900" s="46"/>
      <c r="P900" s="46"/>
      <c r="R900" s="15">
        <v>1.54E-2</v>
      </c>
      <c r="S900" s="18">
        <f>(Tabela2[[#This Row],[FRETE]]+Tabela2[[#This Row],[DESPESAS]]+Tabela2[[#This Row],[IPI]]+Tabela2[[#This Row],[Vl. Produto]])*Tabela2[[#This Row],[Aliq.%]]</f>
        <v>0</v>
      </c>
    </row>
    <row r="901" spans="13:19" x14ac:dyDescent="0.25">
      <c r="M901" s="46"/>
      <c r="N901" s="46"/>
      <c r="O901" s="46"/>
      <c r="P901" s="46"/>
      <c r="R901" s="15">
        <v>1.54E-2</v>
      </c>
      <c r="S901" s="18">
        <f>(Tabela2[[#This Row],[FRETE]]+Tabela2[[#This Row],[DESPESAS]]+Tabela2[[#This Row],[IPI]]+Tabela2[[#This Row],[Vl. Produto]])*Tabela2[[#This Row],[Aliq.%]]</f>
        <v>0</v>
      </c>
    </row>
    <row r="902" spans="13:19" x14ac:dyDescent="0.25">
      <c r="M902" s="46"/>
      <c r="N902" s="46"/>
      <c r="O902" s="46"/>
      <c r="P902" s="46"/>
      <c r="R902" s="15">
        <v>1.54E-2</v>
      </c>
      <c r="S902" s="18">
        <f>(Tabela2[[#This Row],[FRETE]]+Tabela2[[#This Row],[DESPESAS]]+Tabela2[[#This Row],[IPI]]+Tabela2[[#This Row],[Vl. Produto]])*Tabela2[[#This Row],[Aliq.%]]</f>
        <v>0</v>
      </c>
    </row>
    <row r="903" spans="13:19" x14ac:dyDescent="0.25">
      <c r="M903" s="46"/>
      <c r="N903" s="46"/>
      <c r="O903" s="46"/>
      <c r="P903" s="46"/>
      <c r="R903" s="15">
        <v>1.54E-2</v>
      </c>
      <c r="S903" s="18">
        <f>(Tabela2[[#This Row],[FRETE]]+Tabela2[[#This Row],[DESPESAS]]+Tabela2[[#This Row],[IPI]]+Tabela2[[#This Row],[Vl. Produto]])*Tabela2[[#This Row],[Aliq.%]]</f>
        <v>0</v>
      </c>
    </row>
    <row r="904" spans="13:19" x14ac:dyDescent="0.25">
      <c r="M904" s="46"/>
      <c r="N904" s="46"/>
      <c r="O904" s="46"/>
      <c r="P904" s="46"/>
      <c r="R904" s="15">
        <v>1.54E-2</v>
      </c>
      <c r="S904" s="18">
        <f>(Tabela2[[#This Row],[FRETE]]+Tabela2[[#This Row],[DESPESAS]]+Tabela2[[#This Row],[IPI]]+Tabela2[[#This Row],[Vl. Produto]])*Tabela2[[#This Row],[Aliq.%]]</f>
        <v>0</v>
      </c>
    </row>
    <row r="905" spans="13:19" x14ac:dyDescent="0.25">
      <c r="M905" s="46"/>
      <c r="N905" s="46"/>
      <c r="O905" s="46"/>
      <c r="P905" s="46"/>
      <c r="R905" s="15">
        <v>1.54E-2</v>
      </c>
      <c r="S905" s="18">
        <f>(Tabela2[[#This Row],[FRETE]]+Tabela2[[#This Row],[DESPESAS]]+Tabela2[[#This Row],[IPI]]+Tabela2[[#This Row],[Vl. Produto]])*Tabela2[[#This Row],[Aliq.%]]</f>
        <v>0</v>
      </c>
    </row>
    <row r="906" spans="13:19" x14ac:dyDescent="0.25">
      <c r="M906" s="46"/>
      <c r="N906" s="46"/>
      <c r="O906" s="46"/>
      <c r="P906" s="46"/>
      <c r="R906" s="15">
        <v>1.54E-2</v>
      </c>
      <c r="S906" s="18">
        <f>(Tabela2[[#This Row],[FRETE]]+Tabela2[[#This Row],[DESPESAS]]+Tabela2[[#This Row],[IPI]]+Tabela2[[#This Row],[Vl. Produto]])*Tabela2[[#This Row],[Aliq.%]]</f>
        <v>0</v>
      </c>
    </row>
    <row r="907" spans="13:19" x14ac:dyDescent="0.25">
      <c r="M907" s="46"/>
      <c r="N907" s="46"/>
      <c r="O907" s="46"/>
      <c r="P907" s="46"/>
      <c r="R907" s="15">
        <v>1.54E-2</v>
      </c>
      <c r="S907" s="18">
        <f>(Tabela2[[#This Row],[FRETE]]+Tabela2[[#This Row],[DESPESAS]]+Tabela2[[#This Row],[IPI]]+Tabela2[[#This Row],[Vl. Produto]])*Tabela2[[#This Row],[Aliq.%]]</f>
        <v>0</v>
      </c>
    </row>
    <row r="908" spans="13:19" x14ac:dyDescent="0.25">
      <c r="M908" s="46"/>
      <c r="N908" s="46"/>
      <c r="O908" s="46"/>
      <c r="P908" s="46"/>
      <c r="R908" s="15">
        <v>1.54E-2</v>
      </c>
      <c r="S908" s="18">
        <f>(Tabela2[[#This Row],[FRETE]]+Tabela2[[#This Row],[DESPESAS]]+Tabela2[[#This Row],[IPI]]+Tabela2[[#This Row],[Vl. Produto]])*Tabela2[[#This Row],[Aliq.%]]</f>
        <v>0</v>
      </c>
    </row>
    <row r="909" spans="13:19" x14ac:dyDescent="0.25">
      <c r="M909" s="46"/>
      <c r="N909" s="46"/>
      <c r="O909" s="46"/>
      <c r="P909" s="46"/>
      <c r="R909" s="15">
        <v>1.54E-2</v>
      </c>
      <c r="S909" s="18">
        <f>(Tabela2[[#This Row],[FRETE]]+Tabela2[[#This Row],[DESPESAS]]+Tabela2[[#This Row],[IPI]]+Tabela2[[#This Row],[Vl. Produto]])*Tabela2[[#This Row],[Aliq.%]]</f>
        <v>0</v>
      </c>
    </row>
    <row r="910" spans="13:19" x14ac:dyDescent="0.25">
      <c r="M910" s="46"/>
      <c r="N910" s="46"/>
      <c r="O910" s="46"/>
      <c r="P910" s="46"/>
      <c r="R910" s="15">
        <v>1.54E-2</v>
      </c>
      <c r="S910" s="18">
        <f>(Tabela2[[#This Row],[FRETE]]+Tabela2[[#This Row],[DESPESAS]]+Tabela2[[#This Row],[IPI]]+Tabela2[[#This Row],[Vl. Produto]])*Tabela2[[#This Row],[Aliq.%]]</f>
        <v>0</v>
      </c>
    </row>
    <row r="911" spans="13:19" x14ac:dyDescent="0.25">
      <c r="M911" s="46"/>
      <c r="N911" s="46"/>
      <c r="O911" s="46"/>
      <c r="P911" s="46"/>
      <c r="R911" s="15">
        <v>1.54E-2</v>
      </c>
      <c r="S911" s="18">
        <f>(Tabela2[[#This Row],[FRETE]]+Tabela2[[#This Row],[DESPESAS]]+Tabela2[[#This Row],[IPI]]+Tabela2[[#This Row],[Vl. Produto]])*Tabela2[[#This Row],[Aliq.%]]</f>
        <v>0</v>
      </c>
    </row>
    <row r="912" spans="13:19" x14ac:dyDescent="0.25">
      <c r="M912" s="46"/>
      <c r="N912" s="46"/>
      <c r="O912" s="46"/>
      <c r="P912" s="46"/>
      <c r="R912" s="15">
        <v>1.54E-2</v>
      </c>
      <c r="S912" s="18">
        <f>(Tabela2[[#This Row],[FRETE]]+Tabela2[[#This Row],[DESPESAS]]+Tabela2[[#This Row],[IPI]]+Tabela2[[#This Row],[Vl. Produto]])*Tabela2[[#This Row],[Aliq.%]]</f>
        <v>0</v>
      </c>
    </row>
    <row r="913" spans="13:19" x14ac:dyDescent="0.25">
      <c r="M913" s="46"/>
      <c r="N913" s="46"/>
      <c r="O913" s="46"/>
      <c r="P913" s="46"/>
      <c r="R913" s="15">
        <v>1.54E-2</v>
      </c>
      <c r="S913" s="18">
        <f>(Tabela2[[#This Row],[FRETE]]+Tabela2[[#This Row],[DESPESAS]]+Tabela2[[#This Row],[IPI]]+Tabela2[[#This Row],[Vl. Produto]])*Tabela2[[#This Row],[Aliq.%]]</f>
        <v>0</v>
      </c>
    </row>
    <row r="914" spans="13:19" x14ac:dyDescent="0.25">
      <c r="M914" s="46"/>
      <c r="N914" s="46"/>
      <c r="O914" s="46"/>
      <c r="P914" s="46"/>
      <c r="R914" s="15">
        <v>1.54E-2</v>
      </c>
      <c r="S914" s="18">
        <f>(Tabela2[[#This Row],[FRETE]]+Tabela2[[#This Row],[DESPESAS]]+Tabela2[[#This Row],[IPI]]+Tabela2[[#This Row],[Vl. Produto]])*Tabela2[[#This Row],[Aliq.%]]</f>
        <v>0</v>
      </c>
    </row>
    <row r="915" spans="13:19" x14ac:dyDescent="0.25">
      <c r="M915" s="46"/>
      <c r="N915" s="46"/>
      <c r="O915" s="46"/>
      <c r="P915" s="46"/>
      <c r="R915" s="15">
        <v>1.54E-2</v>
      </c>
      <c r="S915" s="18">
        <f>(Tabela2[[#This Row],[FRETE]]+Tabela2[[#This Row],[DESPESAS]]+Tabela2[[#This Row],[IPI]]+Tabela2[[#This Row],[Vl. Produto]])*Tabela2[[#This Row],[Aliq.%]]</f>
        <v>0</v>
      </c>
    </row>
    <row r="916" spans="13:19" x14ac:dyDescent="0.25">
      <c r="M916" s="46"/>
      <c r="N916" s="46"/>
      <c r="O916" s="46"/>
      <c r="P916" s="46"/>
      <c r="R916" s="15">
        <v>1.54E-2</v>
      </c>
      <c r="S916" s="18">
        <f>(Tabela2[[#This Row],[FRETE]]+Tabela2[[#This Row],[DESPESAS]]+Tabela2[[#This Row],[IPI]]+Tabela2[[#This Row],[Vl. Produto]])*Tabela2[[#This Row],[Aliq.%]]</f>
        <v>0</v>
      </c>
    </row>
    <row r="917" spans="13:19" x14ac:dyDescent="0.25">
      <c r="M917" s="46"/>
      <c r="N917" s="46"/>
      <c r="O917" s="46"/>
      <c r="P917" s="46"/>
      <c r="R917" s="15">
        <v>1.54E-2</v>
      </c>
      <c r="S917" s="18">
        <f>(Tabela2[[#This Row],[FRETE]]+Tabela2[[#This Row],[DESPESAS]]+Tabela2[[#This Row],[IPI]]+Tabela2[[#This Row],[Vl. Produto]])*Tabela2[[#This Row],[Aliq.%]]</f>
        <v>0</v>
      </c>
    </row>
    <row r="918" spans="13:19" x14ac:dyDescent="0.25">
      <c r="M918" s="46"/>
      <c r="N918" s="46"/>
      <c r="O918" s="46"/>
      <c r="P918" s="46"/>
      <c r="R918" s="15">
        <v>1.54E-2</v>
      </c>
      <c r="S918" s="18">
        <f>(Tabela2[[#This Row],[FRETE]]+Tabela2[[#This Row],[DESPESAS]]+Tabela2[[#This Row],[IPI]]+Tabela2[[#This Row],[Vl. Produto]])*Tabela2[[#This Row],[Aliq.%]]</f>
        <v>0</v>
      </c>
    </row>
    <row r="919" spans="13:19" x14ac:dyDescent="0.25">
      <c r="M919" s="46"/>
      <c r="N919" s="46"/>
      <c r="O919" s="46"/>
      <c r="P919" s="46"/>
      <c r="R919" s="15">
        <v>1.54E-2</v>
      </c>
      <c r="S919" s="18">
        <f>(Tabela2[[#This Row],[FRETE]]+Tabela2[[#This Row],[DESPESAS]]+Tabela2[[#This Row],[IPI]]+Tabela2[[#This Row],[Vl. Produto]])*Tabela2[[#This Row],[Aliq.%]]</f>
        <v>0</v>
      </c>
    </row>
    <row r="920" spans="13:19" x14ac:dyDescent="0.25">
      <c r="M920" s="46"/>
      <c r="N920" s="46"/>
      <c r="O920" s="46"/>
      <c r="P920" s="46"/>
      <c r="R920" s="15">
        <v>1.54E-2</v>
      </c>
      <c r="S920" s="18">
        <f>(Tabela2[[#This Row],[FRETE]]+Tabela2[[#This Row],[DESPESAS]]+Tabela2[[#This Row],[IPI]]+Tabela2[[#This Row],[Vl. Produto]])*Tabela2[[#This Row],[Aliq.%]]</f>
        <v>0</v>
      </c>
    </row>
    <row r="921" spans="13:19" x14ac:dyDescent="0.25">
      <c r="M921" s="46"/>
      <c r="N921" s="46"/>
      <c r="O921" s="46"/>
      <c r="P921" s="46"/>
      <c r="R921" s="15">
        <v>1.54E-2</v>
      </c>
      <c r="S921" s="18">
        <f>(Tabela2[[#This Row],[FRETE]]+Tabela2[[#This Row],[DESPESAS]]+Tabela2[[#This Row],[IPI]]+Tabela2[[#This Row],[Vl. Produto]])*Tabela2[[#This Row],[Aliq.%]]</f>
        <v>0</v>
      </c>
    </row>
    <row r="922" spans="13:19" x14ac:dyDescent="0.25">
      <c r="M922" s="46"/>
      <c r="N922" s="46"/>
      <c r="O922" s="46"/>
      <c r="P922" s="46"/>
      <c r="R922" s="15">
        <v>1.54E-2</v>
      </c>
      <c r="S922" s="18">
        <f>(Tabela2[[#This Row],[FRETE]]+Tabela2[[#This Row],[DESPESAS]]+Tabela2[[#This Row],[IPI]]+Tabela2[[#This Row],[Vl. Produto]])*Tabela2[[#This Row],[Aliq.%]]</f>
        <v>0</v>
      </c>
    </row>
    <row r="923" spans="13:19" x14ac:dyDescent="0.25">
      <c r="M923" s="46"/>
      <c r="N923" s="46"/>
      <c r="O923" s="46"/>
      <c r="P923" s="46"/>
      <c r="R923" s="15">
        <v>1.54E-2</v>
      </c>
      <c r="S923" s="18">
        <f>(Tabela2[[#This Row],[FRETE]]+Tabela2[[#This Row],[DESPESAS]]+Tabela2[[#This Row],[IPI]]+Tabela2[[#This Row],[Vl. Produto]])*Tabela2[[#This Row],[Aliq.%]]</f>
        <v>0</v>
      </c>
    </row>
    <row r="924" spans="13:19" x14ac:dyDescent="0.25">
      <c r="M924" s="46"/>
      <c r="N924" s="46"/>
      <c r="O924" s="46"/>
      <c r="P924" s="46"/>
      <c r="R924" s="15">
        <v>1.54E-2</v>
      </c>
      <c r="S924" s="18">
        <f>(Tabela2[[#This Row],[FRETE]]+Tabela2[[#This Row],[DESPESAS]]+Tabela2[[#This Row],[IPI]]+Tabela2[[#This Row],[Vl. Produto]])*Tabela2[[#This Row],[Aliq.%]]</f>
        <v>0</v>
      </c>
    </row>
    <row r="925" spans="13:19" x14ac:dyDescent="0.25">
      <c r="M925" s="46"/>
      <c r="N925" s="46"/>
      <c r="O925" s="46"/>
      <c r="P925" s="46"/>
      <c r="R925" s="15">
        <v>1.54E-2</v>
      </c>
      <c r="S925" s="18">
        <f>(Tabela2[[#This Row],[FRETE]]+Tabela2[[#This Row],[DESPESAS]]+Tabela2[[#This Row],[IPI]]+Tabela2[[#This Row],[Vl. Produto]])*Tabela2[[#This Row],[Aliq.%]]</f>
        <v>0</v>
      </c>
    </row>
    <row r="926" spans="13:19" x14ac:dyDescent="0.25">
      <c r="M926" s="46"/>
      <c r="N926" s="46"/>
      <c r="O926" s="46"/>
      <c r="P926" s="46"/>
      <c r="R926" s="15">
        <v>1.54E-2</v>
      </c>
      <c r="S926" s="18">
        <f>(Tabela2[[#This Row],[FRETE]]+Tabela2[[#This Row],[DESPESAS]]+Tabela2[[#This Row],[IPI]]+Tabela2[[#This Row],[Vl. Produto]])*Tabela2[[#This Row],[Aliq.%]]</f>
        <v>0</v>
      </c>
    </row>
    <row r="927" spans="13:19" x14ac:dyDescent="0.25">
      <c r="M927" s="46"/>
      <c r="N927" s="46"/>
      <c r="O927" s="46"/>
      <c r="P927" s="46"/>
      <c r="R927" s="15">
        <v>1.54E-2</v>
      </c>
      <c r="S927" s="18">
        <f>(Tabela2[[#This Row],[FRETE]]+Tabela2[[#This Row],[DESPESAS]]+Tabela2[[#This Row],[IPI]]+Tabela2[[#This Row],[Vl. Produto]])*Tabela2[[#This Row],[Aliq.%]]</f>
        <v>0</v>
      </c>
    </row>
    <row r="928" spans="13:19" x14ac:dyDescent="0.25">
      <c r="M928" s="46"/>
      <c r="N928" s="46"/>
      <c r="O928" s="46"/>
      <c r="P928" s="46"/>
      <c r="R928" s="15">
        <v>1.54E-2</v>
      </c>
      <c r="S928" s="18">
        <f>(Tabela2[[#This Row],[FRETE]]+Tabela2[[#This Row],[DESPESAS]]+Tabela2[[#This Row],[IPI]]+Tabela2[[#This Row],[Vl. Produto]])*Tabela2[[#This Row],[Aliq.%]]</f>
        <v>0</v>
      </c>
    </row>
    <row r="929" spans="13:19" x14ac:dyDescent="0.25">
      <c r="M929" s="46"/>
      <c r="N929" s="46"/>
      <c r="O929" s="46"/>
      <c r="P929" s="46"/>
      <c r="R929" s="15">
        <v>1.54E-2</v>
      </c>
      <c r="S929" s="18">
        <f>(Tabela2[[#This Row],[FRETE]]+Tabela2[[#This Row],[DESPESAS]]+Tabela2[[#This Row],[IPI]]+Tabela2[[#This Row],[Vl. Produto]])*Tabela2[[#This Row],[Aliq.%]]</f>
        <v>0</v>
      </c>
    </row>
    <row r="930" spans="13:19" x14ac:dyDescent="0.25">
      <c r="M930" s="46"/>
      <c r="N930" s="46"/>
      <c r="O930" s="46"/>
      <c r="P930" s="46"/>
      <c r="R930" s="15">
        <v>1.54E-2</v>
      </c>
      <c r="S930" s="18">
        <f>(Tabela2[[#This Row],[FRETE]]+Tabela2[[#This Row],[DESPESAS]]+Tabela2[[#This Row],[IPI]]+Tabela2[[#This Row],[Vl. Produto]])*Tabela2[[#This Row],[Aliq.%]]</f>
        <v>0</v>
      </c>
    </row>
    <row r="931" spans="13:19" x14ac:dyDescent="0.25">
      <c r="M931" s="46"/>
      <c r="N931" s="46"/>
      <c r="O931" s="46"/>
      <c r="P931" s="46"/>
      <c r="R931" s="15">
        <v>1.54E-2</v>
      </c>
      <c r="S931" s="18">
        <f>(Tabela2[[#This Row],[FRETE]]+Tabela2[[#This Row],[DESPESAS]]+Tabela2[[#This Row],[IPI]]+Tabela2[[#This Row],[Vl. Produto]])*Tabela2[[#This Row],[Aliq.%]]</f>
        <v>0</v>
      </c>
    </row>
    <row r="932" spans="13:19" x14ac:dyDescent="0.25">
      <c r="M932" s="46"/>
      <c r="N932" s="46"/>
      <c r="O932" s="46"/>
      <c r="P932" s="46"/>
      <c r="R932" s="15">
        <v>1.54E-2</v>
      </c>
      <c r="S932" s="18">
        <f>(Tabela2[[#This Row],[FRETE]]+Tabela2[[#This Row],[DESPESAS]]+Tabela2[[#This Row],[IPI]]+Tabela2[[#This Row],[Vl. Produto]])*Tabela2[[#This Row],[Aliq.%]]</f>
        <v>0</v>
      </c>
    </row>
    <row r="933" spans="13:19" x14ac:dyDescent="0.25">
      <c r="M933" s="46"/>
      <c r="N933" s="46"/>
      <c r="O933" s="46"/>
      <c r="P933" s="46"/>
      <c r="R933" s="15">
        <v>1.54E-2</v>
      </c>
      <c r="S933" s="18">
        <f>(Tabela2[[#This Row],[FRETE]]+Tabela2[[#This Row],[DESPESAS]]+Tabela2[[#This Row],[IPI]]+Tabela2[[#This Row],[Vl. Produto]])*Tabela2[[#This Row],[Aliq.%]]</f>
        <v>0</v>
      </c>
    </row>
    <row r="934" spans="13:19" x14ac:dyDescent="0.25">
      <c r="M934" s="46"/>
      <c r="N934" s="46"/>
      <c r="O934" s="46"/>
      <c r="P934" s="46"/>
      <c r="R934" s="15">
        <v>1.54E-2</v>
      </c>
      <c r="S934" s="18">
        <f>(Tabela2[[#This Row],[FRETE]]+Tabela2[[#This Row],[DESPESAS]]+Tabela2[[#This Row],[IPI]]+Tabela2[[#This Row],[Vl. Produto]])*Tabela2[[#This Row],[Aliq.%]]</f>
        <v>0</v>
      </c>
    </row>
    <row r="935" spans="13:19" x14ac:dyDescent="0.25">
      <c r="M935" s="46"/>
      <c r="N935" s="46"/>
      <c r="O935" s="46"/>
      <c r="P935" s="46"/>
      <c r="R935" s="15">
        <v>1.54E-2</v>
      </c>
      <c r="S935" s="18">
        <f>(Tabela2[[#This Row],[FRETE]]+Tabela2[[#This Row],[DESPESAS]]+Tabela2[[#This Row],[IPI]]+Tabela2[[#This Row],[Vl. Produto]])*Tabela2[[#This Row],[Aliq.%]]</f>
        <v>0</v>
      </c>
    </row>
    <row r="936" spans="13:19" x14ac:dyDescent="0.25">
      <c r="M936" s="46"/>
      <c r="N936" s="46"/>
      <c r="O936" s="46"/>
      <c r="P936" s="46"/>
      <c r="R936" s="15">
        <v>1.54E-2</v>
      </c>
      <c r="S936" s="18">
        <f>(Tabela2[[#This Row],[FRETE]]+Tabela2[[#This Row],[DESPESAS]]+Tabela2[[#This Row],[IPI]]+Tabela2[[#This Row],[Vl. Produto]])*Tabela2[[#This Row],[Aliq.%]]</f>
        <v>0</v>
      </c>
    </row>
    <row r="937" spans="13:19" x14ac:dyDescent="0.25">
      <c r="M937" s="46"/>
      <c r="N937" s="46"/>
      <c r="O937" s="46"/>
      <c r="P937" s="46"/>
      <c r="R937" s="15">
        <v>1.54E-2</v>
      </c>
      <c r="S937" s="18">
        <f>(Tabela2[[#This Row],[FRETE]]+Tabela2[[#This Row],[DESPESAS]]+Tabela2[[#This Row],[IPI]]+Tabela2[[#This Row],[Vl. Produto]])*Tabela2[[#This Row],[Aliq.%]]</f>
        <v>0</v>
      </c>
    </row>
    <row r="938" spans="13:19" x14ac:dyDescent="0.25">
      <c r="M938" s="46"/>
      <c r="N938" s="46"/>
      <c r="O938" s="46"/>
      <c r="P938" s="46"/>
      <c r="R938" s="15">
        <v>1.54E-2</v>
      </c>
      <c r="S938" s="18">
        <f>(Tabela2[[#This Row],[FRETE]]+Tabela2[[#This Row],[DESPESAS]]+Tabela2[[#This Row],[IPI]]+Tabela2[[#This Row],[Vl. Produto]])*Tabela2[[#This Row],[Aliq.%]]</f>
        <v>0</v>
      </c>
    </row>
    <row r="939" spans="13:19" x14ac:dyDescent="0.25">
      <c r="M939" s="46"/>
      <c r="N939" s="46"/>
      <c r="O939" s="46"/>
      <c r="P939" s="46"/>
      <c r="R939" s="15">
        <v>1.54E-2</v>
      </c>
      <c r="S939" s="18">
        <f>(Tabela2[[#This Row],[FRETE]]+Tabela2[[#This Row],[DESPESAS]]+Tabela2[[#This Row],[IPI]]+Tabela2[[#This Row],[Vl. Produto]])*Tabela2[[#This Row],[Aliq.%]]</f>
        <v>0</v>
      </c>
    </row>
    <row r="940" spans="13:19" x14ac:dyDescent="0.25">
      <c r="M940" s="46"/>
      <c r="N940" s="46"/>
      <c r="O940" s="46"/>
      <c r="P940" s="46"/>
      <c r="R940" s="15">
        <v>1.54E-2</v>
      </c>
      <c r="S940" s="18">
        <f>(Tabela2[[#This Row],[FRETE]]+Tabela2[[#This Row],[DESPESAS]]+Tabela2[[#This Row],[IPI]]+Tabela2[[#This Row],[Vl. Produto]])*Tabela2[[#This Row],[Aliq.%]]</f>
        <v>0</v>
      </c>
    </row>
    <row r="941" spans="13:19" x14ac:dyDescent="0.25">
      <c r="M941" s="46"/>
      <c r="N941" s="46"/>
      <c r="O941" s="46"/>
      <c r="P941" s="46"/>
      <c r="R941" s="15">
        <v>1.54E-2</v>
      </c>
      <c r="S941" s="18">
        <f>(Tabela2[[#This Row],[FRETE]]+Tabela2[[#This Row],[DESPESAS]]+Tabela2[[#This Row],[IPI]]+Tabela2[[#This Row],[Vl. Produto]])*Tabela2[[#This Row],[Aliq.%]]</f>
        <v>0</v>
      </c>
    </row>
    <row r="942" spans="13:19" x14ac:dyDescent="0.25">
      <c r="M942" s="46"/>
      <c r="N942" s="46"/>
      <c r="O942" s="46"/>
      <c r="P942" s="46"/>
      <c r="R942" s="15">
        <v>1.54E-2</v>
      </c>
      <c r="S942" s="18">
        <f>(Tabela2[[#This Row],[FRETE]]+Tabela2[[#This Row],[DESPESAS]]+Tabela2[[#This Row],[IPI]]+Tabela2[[#This Row],[Vl. Produto]])*Tabela2[[#This Row],[Aliq.%]]</f>
        <v>0</v>
      </c>
    </row>
    <row r="943" spans="13:19" x14ac:dyDescent="0.25">
      <c r="M943" s="46"/>
      <c r="N943" s="46"/>
      <c r="O943" s="46"/>
      <c r="P943" s="46"/>
      <c r="R943" s="15">
        <v>1.54E-2</v>
      </c>
      <c r="S943" s="18">
        <f>(Tabela2[[#This Row],[FRETE]]+Tabela2[[#This Row],[DESPESAS]]+Tabela2[[#This Row],[IPI]]+Tabela2[[#This Row],[Vl. Produto]])*Tabela2[[#This Row],[Aliq.%]]</f>
        <v>0</v>
      </c>
    </row>
    <row r="944" spans="13:19" x14ac:dyDescent="0.25">
      <c r="M944" s="46"/>
      <c r="N944" s="46"/>
      <c r="O944" s="46"/>
      <c r="P944" s="46"/>
      <c r="R944" s="15">
        <v>1.54E-2</v>
      </c>
      <c r="S944" s="18">
        <f>(Tabela2[[#This Row],[FRETE]]+Tabela2[[#This Row],[DESPESAS]]+Tabela2[[#This Row],[IPI]]+Tabela2[[#This Row],[Vl. Produto]])*Tabela2[[#This Row],[Aliq.%]]</f>
        <v>0</v>
      </c>
    </row>
    <row r="945" spans="13:19" x14ac:dyDescent="0.25">
      <c r="M945" s="46"/>
      <c r="N945" s="46"/>
      <c r="O945" s="46"/>
      <c r="P945" s="46"/>
      <c r="R945" s="15">
        <v>1.54E-2</v>
      </c>
      <c r="S945" s="18">
        <f>(Tabela2[[#This Row],[FRETE]]+Tabela2[[#This Row],[DESPESAS]]+Tabela2[[#This Row],[IPI]]+Tabela2[[#This Row],[Vl. Produto]])*Tabela2[[#This Row],[Aliq.%]]</f>
        <v>0</v>
      </c>
    </row>
    <row r="946" spans="13:19" x14ac:dyDescent="0.25">
      <c r="M946" s="46"/>
      <c r="N946" s="46"/>
      <c r="O946" s="46"/>
      <c r="P946" s="46"/>
      <c r="R946" s="15">
        <v>1.54E-2</v>
      </c>
      <c r="S946" s="18">
        <f>(Tabela2[[#This Row],[FRETE]]+Tabela2[[#This Row],[DESPESAS]]+Tabela2[[#This Row],[IPI]]+Tabela2[[#This Row],[Vl. Produto]])*Tabela2[[#This Row],[Aliq.%]]</f>
        <v>0</v>
      </c>
    </row>
    <row r="947" spans="13:19" x14ac:dyDescent="0.25">
      <c r="M947" s="46"/>
      <c r="N947" s="46"/>
      <c r="O947" s="46"/>
      <c r="P947" s="46"/>
      <c r="R947" s="15">
        <v>1.54E-2</v>
      </c>
      <c r="S947" s="18">
        <f>(Tabela2[[#This Row],[FRETE]]+Tabela2[[#This Row],[DESPESAS]]+Tabela2[[#This Row],[IPI]]+Tabela2[[#This Row],[Vl. Produto]])*Tabela2[[#This Row],[Aliq.%]]</f>
        <v>0</v>
      </c>
    </row>
    <row r="948" spans="13:19" x14ac:dyDescent="0.25">
      <c r="M948" s="46"/>
      <c r="N948" s="46"/>
      <c r="O948" s="46"/>
      <c r="P948" s="46"/>
      <c r="R948" s="15">
        <v>1.54E-2</v>
      </c>
      <c r="S948" s="18">
        <f>(Tabela2[[#This Row],[FRETE]]+Tabela2[[#This Row],[DESPESAS]]+Tabela2[[#This Row],[IPI]]+Tabela2[[#This Row],[Vl. Produto]])*Tabela2[[#This Row],[Aliq.%]]</f>
        <v>0</v>
      </c>
    </row>
    <row r="949" spans="13:19" x14ac:dyDescent="0.25">
      <c r="M949" s="46"/>
      <c r="N949" s="46"/>
      <c r="O949" s="46"/>
      <c r="P949" s="46"/>
      <c r="R949" s="15">
        <v>1.54E-2</v>
      </c>
      <c r="S949" s="18">
        <f>(Tabela2[[#This Row],[FRETE]]+Tabela2[[#This Row],[DESPESAS]]+Tabela2[[#This Row],[IPI]]+Tabela2[[#This Row],[Vl. Produto]])*Tabela2[[#This Row],[Aliq.%]]</f>
        <v>0</v>
      </c>
    </row>
    <row r="950" spans="13:19" x14ac:dyDescent="0.25">
      <c r="M950" s="46"/>
      <c r="N950" s="46"/>
      <c r="O950" s="46"/>
      <c r="P950" s="46"/>
      <c r="R950" s="15">
        <v>1.54E-2</v>
      </c>
      <c r="S950" s="18">
        <f>(Tabela2[[#This Row],[FRETE]]+Tabela2[[#This Row],[DESPESAS]]+Tabela2[[#This Row],[IPI]]+Tabela2[[#This Row],[Vl. Produto]])*Tabela2[[#This Row],[Aliq.%]]</f>
        <v>0</v>
      </c>
    </row>
    <row r="951" spans="13:19" x14ac:dyDescent="0.25">
      <c r="M951" s="46"/>
      <c r="N951" s="46"/>
      <c r="O951" s="46"/>
      <c r="P951" s="46"/>
      <c r="R951" s="15">
        <v>1.54E-2</v>
      </c>
      <c r="S951" s="18">
        <f>(Tabela2[[#This Row],[FRETE]]+Tabela2[[#This Row],[DESPESAS]]+Tabela2[[#This Row],[IPI]]+Tabela2[[#This Row],[Vl. Produto]])*Tabela2[[#This Row],[Aliq.%]]</f>
        <v>0</v>
      </c>
    </row>
    <row r="952" spans="13:19" x14ac:dyDescent="0.25">
      <c r="M952" s="46"/>
      <c r="N952" s="46"/>
      <c r="O952" s="46"/>
      <c r="P952" s="46"/>
      <c r="R952" s="15">
        <v>1.54E-2</v>
      </c>
      <c r="S952" s="18">
        <f>(Tabela2[[#This Row],[FRETE]]+Tabela2[[#This Row],[DESPESAS]]+Tabela2[[#This Row],[IPI]]+Tabela2[[#This Row],[Vl. Produto]])*Tabela2[[#This Row],[Aliq.%]]</f>
        <v>0</v>
      </c>
    </row>
    <row r="953" spans="13:19" x14ac:dyDescent="0.25">
      <c r="M953" s="46"/>
      <c r="N953" s="46"/>
      <c r="O953" s="46"/>
      <c r="P953" s="46"/>
      <c r="R953" s="15">
        <v>1.54E-2</v>
      </c>
      <c r="S953" s="18">
        <f>(Tabela2[[#This Row],[FRETE]]+Tabela2[[#This Row],[DESPESAS]]+Tabela2[[#This Row],[IPI]]+Tabela2[[#This Row],[Vl. Produto]])*Tabela2[[#This Row],[Aliq.%]]</f>
        <v>0</v>
      </c>
    </row>
    <row r="954" spans="13:19" x14ac:dyDescent="0.25">
      <c r="M954" s="46"/>
      <c r="N954" s="46"/>
      <c r="O954" s="46"/>
      <c r="P954" s="46"/>
      <c r="R954" s="15">
        <v>1.54E-2</v>
      </c>
      <c r="S954" s="18">
        <f>(Tabela2[[#This Row],[FRETE]]+Tabela2[[#This Row],[DESPESAS]]+Tabela2[[#This Row],[IPI]]+Tabela2[[#This Row],[Vl. Produto]])*Tabela2[[#This Row],[Aliq.%]]</f>
        <v>0</v>
      </c>
    </row>
    <row r="955" spans="13:19" x14ac:dyDescent="0.25">
      <c r="M955" s="46"/>
      <c r="N955" s="46"/>
      <c r="O955" s="46"/>
      <c r="P955" s="46"/>
      <c r="R955" s="15">
        <v>1.54E-2</v>
      </c>
      <c r="S955" s="18">
        <f>(Tabela2[[#This Row],[FRETE]]+Tabela2[[#This Row],[DESPESAS]]+Tabela2[[#This Row],[IPI]]+Tabela2[[#This Row],[Vl. Produto]])*Tabela2[[#This Row],[Aliq.%]]</f>
        <v>0</v>
      </c>
    </row>
    <row r="956" spans="13:19" x14ac:dyDescent="0.25">
      <c r="M956" s="46"/>
      <c r="N956" s="46"/>
      <c r="O956" s="46"/>
      <c r="P956" s="46"/>
      <c r="R956" s="15">
        <v>1.54E-2</v>
      </c>
      <c r="S956" s="18">
        <f>(Tabela2[[#This Row],[FRETE]]+Tabela2[[#This Row],[DESPESAS]]+Tabela2[[#This Row],[IPI]]+Tabela2[[#This Row],[Vl. Produto]])*Tabela2[[#This Row],[Aliq.%]]</f>
        <v>0</v>
      </c>
    </row>
    <row r="957" spans="13:19" x14ac:dyDescent="0.25">
      <c r="M957" s="46"/>
      <c r="N957" s="46"/>
      <c r="O957" s="46"/>
      <c r="P957" s="46"/>
      <c r="R957" s="15">
        <v>1.54E-2</v>
      </c>
      <c r="S957" s="18">
        <f>(Tabela2[[#This Row],[FRETE]]+Tabela2[[#This Row],[DESPESAS]]+Tabela2[[#This Row],[IPI]]+Tabela2[[#This Row],[Vl. Produto]])*Tabela2[[#This Row],[Aliq.%]]</f>
        <v>0</v>
      </c>
    </row>
    <row r="958" spans="13:19" x14ac:dyDescent="0.25">
      <c r="M958" s="46"/>
      <c r="N958" s="46"/>
      <c r="O958" s="46"/>
      <c r="P958" s="46"/>
      <c r="R958" s="15">
        <v>1.54E-2</v>
      </c>
      <c r="S958" s="18">
        <f>(Tabela2[[#This Row],[FRETE]]+Tabela2[[#This Row],[DESPESAS]]+Tabela2[[#This Row],[IPI]]+Tabela2[[#This Row],[Vl. Produto]])*Tabela2[[#This Row],[Aliq.%]]</f>
        <v>0</v>
      </c>
    </row>
    <row r="959" spans="13:19" x14ac:dyDescent="0.25">
      <c r="M959" s="46"/>
      <c r="N959" s="46"/>
      <c r="O959" s="46"/>
      <c r="P959" s="46"/>
      <c r="R959" s="15">
        <v>1.54E-2</v>
      </c>
      <c r="S959" s="18">
        <f>(Tabela2[[#This Row],[FRETE]]+Tabela2[[#This Row],[DESPESAS]]+Tabela2[[#This Row],[IPI]]+Tabela2[[#This Row],[Vl. Produto]])*Tabela2[[#This Row],[Aliq.%]]</f>
        <v>0</v>
      </c>
    </row>
    <row r="960" spans="13:19" x14ac:dyDescent="0.25">
      <c r="M960" s="46"/>
      <c r="N960" s="46"/>
      <c r="O960" s="46"/>
      <c r="P960" s="46"/>
      <c r="R960" s="15">
        <v>1.54E-2</v>
      </c>
      <c r="S960" s="18">
        <f>(Tabela2[[#This Row],[FRETE]]+Tabela2[[#This Row],[DESPESAS]]+Tabela2[[#This Row],[IPI]]+Tabela2[[#This Row],[Vl. Produto]])*Tabela2[[#This Row],[Aliq.%]]</f>
        <v>0</v>
      </c>
    </row>
    <row r="961" spans="13:19" x14ac:dyDescent="0.25">
      <c r="M961" s="46"/>
      <c r="N961" s="46"/>
      <c r="O961" s="46"/>
      <c r="P961" s="46"/>
      <c r="R961" s="15">
        <v>1.54E-2</v>
      </c>
      <c r="S961" s="18">
        <f>(Tabela2[[#This Row],[FRETE]]+Tabela2[[#This Row],[DESPESAS]]+Tabela2[[#This Row],[IPI]]+Tabela2[[#This Row],[Vl. Produto]])*Tabela2[[#This Row],[Aliq.%]]</f>
        <v>0</v>
      </c>
    </row>
    <row r="962" spans="13:19" x14ac:dyDescent="0.25">
      <c r="M962" s="46"/>
      <c r="N962" s="46"/>
      <c r="O962" s="46"/>
      <c r="P962" s="46"/>
      <c r="R962" s="15">
        <v>1.54E-2</v>
      </c>
      <c r="S962" s="18">
        <f>(Tabela2[[#This Row],[FRETE]]+Tabela2[[#This Row],[DESPESAS]]+Tabela2[[#This Row],[IPI]]+Tabela2[[#This Row],[Vl. Produto]])*Tabela2[[#This Row],[Aliq.%]]</f>
        <v>0</v>
      </c>
    </row>
    <row r="963" spans="13:19" x14ac:dyDescent="0.25">
      <c r="M963" s="46"/>
      <c r="N963" s="46"/>
      <c r="O963" s="46"/>
      <c r="P963" s="46"/>
      <c r="R963" s="15">
        <v>1.54E-2</v>
      </c>
      <c r="S963" s="18">
        <f>(Tabela2[[#This Row],[FRETE]]+Tabela2[[#This Row],[DESPESAS]]+Tabela2[[#This Row],[IPI]]+Tabela2[[#This Row],[Vl. Produto]])*Tabela2[[#This Row],[Aliq.%]]</f>
        <v>0</v>
      </c>
    </row>
    <row r="964" spans="13:19" x14ac:dyDescent="0.25">
      <c r="M964" s="46"/>
      <c r="N964" s="46"/>
      <c r="O964" s="46"/>
      <c r="P964" s="46"/>
      <c r="R964" s="15">
        <v>1.54E-2</v>
      </c>
      <c r="S964" s="18">
        <f>(Tabela2[[#This Row],[FRETE]]+Tabela2[[#This Row],[DESPESAS]]+Tabela2[[#This Row],[IPI]]+Tabela2[[#This Row],[Vl. Produto]])*Tabela2[[#This Row],[Aliq.%]]</f>
        <v>0</v>
      </c>
    </row>
    <row r="965" spans="13:19" x14ac:dyDescent="0.25">
      <c r="M965" s="46"/>
      <c r="N965" s="46"/>
      <c r="O965" s="46"/>
      <c r="P965" s="46"/>
      <c r="R965" s="15">
        <v>1.54E-2</v>
      </c>
      <c r="S965" s="18">
        <f>(Tabela2[[#This Row],[FRETE]]+Tabela2[[#This Row],[DESPESAS]]+Tabela2[[#This Row],[IPI]]+Tabela2[[#This Row],[Vl. Produto]])*Tabela2[[#This Row],[Aliq.%]]</f>
        <v>0</v>
      </c>
    </row>
    <row r="966" spans="13:19" x14ac:dyDescent="0.25">
      <c r="M966" s="46"/>
      <c r="N966" s="46"/>
      <c r="O966" s="46"/>
      <c r="P966" s="46"/>
      <c r="R966" s="15">
        <v>1.54E-2</v>
      </c>
      <c r="S966" s="18">
        <f>(Tabela2[[#This Row],[FRETE]]+Tabela2[[#This Row],[DESPESAS]]+Tabela2[[#This Row],[IPI]]+Tabela2[[#This Row],[Vl. Produto]])*Tabela2[[#This Row],[Aliq.%]]</f>
        <v>0</v>
      </c>
    </row>
    <row r="967" spans="13:19" x14ac:dyDescent="0.25">
      <c r="M967" s="46"/>
      <c r="N967" s="46"/>
      <c r="O967" s="46"/>
      <c r="P967" s="46"/>
      <c r="R967" s="15">
        <v>1.54E-2</v>
      </c>
      <c r="S967" s="18">
        <f>(Tabela2[[#This Row],[FRETE]]+Tabela2[[#This Row],[DESPESAS]]+Tabela2[[#This Row],[IPI]]+Tabela2[[#This Row],[Vl. Produto]])*Tabela2[[#This Row],[Aliq.%]]</f>
        <v>0</v>
      </c>
    </row>
    <row r="968" spans="13:19" x14ac:dyDescent="0.25">
      <c r="M968" s="46"/>
      <c r="N968" s="46"/>
      <c r="O968" s="46"/>
      <c r="P968" s="46"/>
      <c r="R968" s="15">
        <v>1.54E-2</v>
      </c>
      <c r="S968" s="18">
        <f>(Tabela2[[#This Row],[FRETE]]+Tabela2[[#This Row],[DESPESAS]]+Tabela2[[#This Row],[IPI]]+Tabela2[[#This Row],[Vl. Produto]])*Tabela2[[#This Row],[Aliq.%]]</f>
        <v>0</v>
      </c>
    </row>
    <row r="969" spans="13:19" x14ac:dyDescent="0.25">
      <c r="M969" s="46"/>
      <c r="N969" s="46"/>
      <c r="O969" s="46"/>
      <c r="P969" s="46"/>
      <c r="R969" s="15">
        <v>1.54E-2</v>
      </c>
      <c r="S969" s="18">
        <f>(Tabela2[[#This Row],[FRETE]]+Tabela2[[#This Row],[DESPESAS]]+Tabela2[[#This Row],[IPI]]+Tabela2[[#This Row],[Vl. Produto]])*Tabela2[[#This Row],[Aliq.%]]</f>
        <v>0</v>
      </c>
    </row>
    <row r="970" spans="13:19" x14ac:dyDescent="0.25">
      <c r="M970" s="46"/>
      <c r="N970" s="46"/>
      <c r="O970" s="46"/>
      <c r="P970" s="46"/>
      <c r="R970" s="15">
        <v>1.54E-2</v>
      </c>
      <c r="S970" s="18">
        <f>(Tabela2[[#This Row],[FRETE]]+Tabela2[[#This Row],[DESPESAS]]+Tabela2[[#This Row],[IPI]]+Tabela2[[#This Row],[Vl. Produto]])*Tabela2[[#This Row],[Aliq.%]]</f>
        <v>0</v>
      </c>
    </row>
    <row r="971" spans="13:19" x14ac:dyDescent="0.25">
      <c r="M971" s="46"/>
      <c r="N971" s="46"/>
      <c r="O971" s="46"/>
      <c r="P971" s="46"/>
      <c r="R971" s="15">
        <v>1.54E-2</v>
      </c>
      <c r="S971" s="18">
        <f>(Tabela2[[#This Row],[FRETE]]+Tabela2[[#This Row],[DESPESAS]]+Tabela2[[#This Row],[IPI]]+Tabela2[[#This Row],[Vl. Produto]])*Tabela2[[#This Row],[Aliq.%]]</f>
        <v>0</v>
      </c>
    </row>
    <row r="972" spans="13:19" x14ac:dyDescent="0.25">
      <c r="M972" s="46"/>
      <c r="N972" s="46"/>
      <c r="O972" s="46"/>
      <c r="P972" s="46"/>
      <c r="R972" s="15">
        <v>1.54E-2</v>
      </c>
      <c r="S972" s="18">
        <f>(Tabela2[[#This Row],[FRETE]]+Tabela2[[#This Row],[DESPESAS]]+Tabela2[[#This Row],[IPI]]+Tabela2[[#This Row],[Vl. Produto]])*Tabela2[[#This Row],[Aliq.%]]</f>
        <v>0</v>
      </c>
    </row>
    <row r="973" spans="13:19" x14ac:dyDescent="0.25">
      <c r="M973" s="46"/>
      <c r="N973" s="46"/>
      <c r="O973" s="46"/>
      <c r="P973" s="46"/>
      <c r="R973" s="15">
        <v>1.54E-2</v>
      </c>
      <c r="S973" s="18">
        <f>(Tabela2[[#This Row],[FRETE]]+Tabela2[[#This Row],[DESPESAS]]+Tabela2[[#This Row],[IPI]]+Tabela2[[#This Row],[Vl. Produto]])*Tabela2[[#This Row],[Aliq.%]]</f>
        <v>0</v>
      </c>
    </row>
    <row r="974" spans="13:19" x14ac:dyDescent="0.25">
      <c r="M974" s="46"/>
      <c r="N974" s="46"/>
      <c r="O974" s="46"/>
      <c r="P974" s="46"/>
      <c r="R974" s="15">
        <v>1.54E-2</v>
      </c>
      <c r="S974" s="18">
        <f>(Tabela2[[#This Row],[FRETE]]+Tabela2[[#This Row],[DESPESAS]]+Tabela2[[#This Row],[IPI]]+Tabela2[[#This Row],[Vl. Produto]])*Tabela2[[#This Row],[Aliq.%]]</f>
        <v>0</v>
      </c>
    </row>
    <row r="975" spans="13:19" x14ac:dyDescent="0.25">
      <c r="M975" s="46"/>
      <c r="N975" s="46"/>
      <c r="O975" s="46"/>
      <c r="P975" s="46"/>
      <c r="R975" s="15">
        <v>1.54E-2</v>
      </c>
      <c r="S975" s="18">
        <f>(Tabela2[[#This Row],[FRETE]]+Tabela2[[#This Row],[DESPESAS]]+Tabela2[[#This Row],[IPI]]+Tabela2[[#This Row],[Vl. Produto]])*Tabela2[[#This Row],[Aliq.%]]</f>
        <v>0</v>
      </c>
    </row>
    <row r="976" spans="13:19" x14ac:dyDescent="0.25">
      <c r="M976" s="46"/>
      <c r="N976" s="46"/>
      <c r="O976" s="46"/>
      <c r="P976" s="46"/>
      <c r="R976" s="15">
        <v>1.54E-2</v>
      </c>
      <c r="S976" s="18">
        <f>(Tabela2[[#This Row],[FRETE]]+Tabela2[[#This Row],[DESPESAS]]+Tabela2[[#This Row],[IPI]]+Tabela2[[#This Row],[Vl. Produto]])*Tabela2[[#This Row],[Aliq.%]]</f>
        <v>0</v>
      </c>
    </row>
    <row r="977" spans="13:19" x14ac:dyDescent="0.25">
      <c r="M977" s="46"/>
      <c r="N977" s="46"/>
      <c r="O977" s="46"/>
      <c r="P977" s="46"/>
      <c r="R977" s="15">
        <v>1.54E-2</v>
      </c>
      <c r="S977" s="18">
        <f>(Tabela2[[#This Row],[FRETE]]+Tabela2[[#This Row],[DESPESAS]]+Tabela2[[#This Row],[IPI]]+Tabela2[[#This Row],[Vl. Produto]])*Tabela2[[#This Row],[Aliq.%]]</f>
        <v>0</v>
      </c>
    </row>
    <row r="978" spans="13:19" x14ac:dyDescent="0.25">
      <c r="M978" s="46"/>
      <c r="N978" s="46"/>
      <c r="O978" s="46"/>
      <c r="P978" s="46"/>
      <c r="R978" s="15">
        <v>1.54E-2</v>
      </c>
      <c r="S978" s="18">
        <f>(Tabela2[[#This Row],[FRETE]]+Tabela2[[#This Row],[DESPESAS]]+Tabela2[[#This Row],[IPI]]+Tabela2[[#This Row],[Vl. Produto]])*Tabela2[[#This Row],[Aliq.%]]</f>
        <v>0</v>
      </c>
    </row>
    <row r="979" spans="13:19" x14ac:dyDescent="0.25">
      <c r="M979" s="46"/>
      <c r="N979" s="46"/>
      <c r="O979" s="46"/>
      <c r="P979" s="46"/>
      <c r="R979" s="15">
        <v>1.54E-2</v>
      </c>
      <c r="S979" s="18">
        <f>(Tabela2[[#This Row],[FRETE]]+Tabela2[[#This Row],[DESPESAS]]+Tabela2[[#This Row],[IPI]]+Tabela2[[#This Row],[Vl. Produto]])*Tabela2[[#This Row],[Aliq.%]]</f>
        <v>0</v>
      </c>
    </row>
    <row r="980" spans="13:19" x14ac:dyDescent="0.25">
      <c r="M980" s="46"/>
      <c r="N980" s="46"/>
      <c r="O980" s="46"/>
      <c r="P980" s="46"/>
      <c r="R980" s="15">
        <v>1.54E-2</v>
      </c>
      <c r="S980" s="18">
        <f>(Tabela2[[#This Row],[FRETE]]+Tabela2[[#This Row],[DESPESAS]]+Tabela2[[#This Row],[IPI]]+Tabela2[[#This Row],[Vl. Produto]])*Tabela2[[#This Row],[Aliq.%]]</f>
        <v>0</v>
      </c>
    </row>
    <row r="981" spans="13:19" x14ac:dyDescent="0.25">
      <c r="M981" s="46"/>
      <c r="N981" s="46"/>
      <c r="O981" s="46"/>
      <c r="P981" s="46"/>
      <c r="R981" s="15">
        <v>1.54E-2</v>
      </c>
      <c r="S981" s="18">
        <f>(Tabela2[[#This Row],[FRETE]]+Tabela2[[#This Row],[DESPESAS]]+Tabela2[[#This Row],[IPI]]+Tabela2[[#This Row],[Vl. Produto]])*Tabela2[[#This Row],[Aliq.%]]</f>
        <v>0</v>
      </c>
    </row>
    <row r="982" spans="13:19" x14ac:dyDescent="0.25">
      <c r="M982" s="46"/>
      <c r="N982" s="46"/>
      <c r="O982" s="46"/>
      <c r="P982" s="46"/>
      <c r="R982" s="15">
        <v>1.54E-2</v>
      </c>
      <c r="S982" s="18">
        <f>(Tabela2[[#This Row],[FRETE]]+Tabela2[[#This Row],[DESPESAS]]+Tabela2[[#This Row],[IPI]]+Tabela2[[#This Row],[Vl. Produto]])*Tabela2[[#This Row],[Aliq.%]]</f>
        <v>0</v>
      </c>
    </row>
    <row r="983" spans="13:19" x14ac:dyDescent="0.25">
      <c r="M983" s="46"/>
      <c r="N983" s="46"/>
      <c r="O983" s="46"/>
      <c r="P983" s="46"/>
      <c r="R983" s="15">
        <v>1.54E-2</v>
      </c>
      <c r="S983" s="18">
        <f>(Tabela2[[#This Row],[FRETE]]+Tabela2[[#This Row],[DESPESAS]]+Tabela2[[#This Row],[IPI]]+Tabela2[[#This Row],[Vl. Produto]])*Tabela2[[#This Row],[Aliq.%]]</f>
        <v>0</v>
      </c>
    </row>
    <row r="984" spans="13:19" x14ac:dyDescent="0.25">
      <c r="M984" s="46"/>
      <c r="N984" s="46"/>
      <c r="O984" s="46"/>
      <c r="P984" s="46"/>
      <c r="R984" s="15">
        <v>1.54E-2</v>
      </c>
      <c r="S984" s="18">
        <f>(Tabela2[[#This Row],[FRETE]]+Tabela2[[#This Row],[DESPESAS]]+Tabela2[[#This Row],[IPI]]+Tabela2[[#This Row],[Vl. Produto]])*Tabela2[[#This Row],[Aliq.%]]</f>
        <v>0</v>
      </c>
    </row>
    <row r="985" spans="13:19" x14ac:dyDescent="0.25">
      <c r="M985" s="46"/>
      <c r="N985" s="46"/>
      <c r="O985" s="46"/>
      <c r="P985" s="46"/>
      <c r="R985" s="15">
        <v>1.54E-2</v>
      </c>
      <c r="S985" s="18">
        <f>(Tabela2[[#This Row],[FRETE]]+Tabela2[[#This Row],[DESPESAS]]+Tabela2[[#This Row],[IPI]]+Tabela2[[#This Row],[Vl. Produto]])*Tabela2[[#This Row],[Aliq.%]]</f>
        <v>0</v>
      </c>
    </row>
    <row r="986" spans="13:19" x14ac:dyDescent="0.25">
      <c r="M986" s="46"/>
      <c r="N986" s="46"/>
      <c r="O986" s="46"/>
      <c r="P986" s="46"/>
      <c r="R986" s="15">
        <v>1.54E-2</v>
      </c>
      <c r="S986" s="18">
        <f>(Tabela2[[#This Row],[FRETE]]+Tabela2[[#This Row],[DESPESAS]]+Tabela2[[#This Row],[IPI]]+Tabela2[[#This Row],[Vl. Produto]])*Tabela2[[#This Row],[Aliq.%]]</f>
        <v>0</v>
      </c>
    </row>
    <row r="987" spans="13:19" x14ac:dyDescent="0.25">
      <c r="M987" s="46"/>
      <c r="N987" s="46"/>
      <c r="O987" s="46"/>
      <c r="P987" s="46"/>
      <c r="R987" s="15">
        <v>1.54E-2</v>
      </c>
      <c r="S987" s="18">
        <f>(Tabela2[[#This Row],[FRETE]]+Tabela2[[#This Row],[DESPESAS]]+Tabela2[[#This Row],[IPI]]+Tabela2[[#This Row],[Vl. Produto]])*Tabela2[[#This Row],[Aliq.%]]</f>
        <v>0</v>
      </c>
    </row>
    <row r="988" spans="13:19" x14ac:dyDescent="0.25">
      <c r="M988" s="46"/>
      <c r="N988" s="46"/>
      <c r="O988" s="46"/>
      <c r="P988" s="46"/>
      <c r="R988" s="15">
        <v>1.54E-2</v>
      </c>
      <c r="S988" s="18">
        <f>(Tabela2[[#This Row],[FRETE]]+Tabela2[[#This Row],[DESPESAS]]+Tabela2[[#This Row],[IPI]]+Tabela2[[#This Row],[Vl. Produto]])*Tabela2[[#This Row],[Aliq.%]]</f>
        <v>0</v>
      </c>
    </row>
    <row r="989" spans="13:19" x14ac:dyDescent="0.25">
      <c r="M989" s="46"/>
      <c r="N989" s="46"/>
      <c r="O989" s="46"/>
      <c r="P989" s="46"/>
      <c r="R989" s="15">
        <v>1.54E-2</v>
      </c>
      <c r="S989" s="18">
        <f>(Tabela2[[#This Row],[FRETE]]+Tabela2[[#This Row],[DESPESAS]]+Tabela2[[#This Row],[IPI]]+Tabela2[[#This Row],[Vl. Produto]])*Tabela2[[#This Row],[Aliq.%]]</f>
        <v>0</v>
      </c>
    </row>
    <row r="990" spans="13:19" x14ac:dyDescent="0.25">
      <c r="M990" s="46"/>
      <c r="N990" s="46"/>
      <c r="O990" s="46"/>
      <c r="P990" s="46"/>
      <c r="R990" s="15">
        <v>1.54E-2</v>
      </c>
      <c r="S990" s="18">
        <f>(Tabela2[[#This Row],[FRETE]]+Tabela2[[#This Row],[DESPESAS]]+Tabela2[[#This Row],[IPI]]+Tabela2[[#This Row],[Vl. Produto]])*Tabela2[[#This Row],[Aliq.%]]</f>
        <v>0</v>
      </c>
    </row>
    <row r="991" spans="13:19" x14ac:dyDescent="0.25">
      <c r="M991" s="46"/>
      <c r="N991" s="46"/>
      <c r="O991" s="46"/>
      <c r="P991" s="46"/>
      <c r="R991" s="15">
        <v>1.54E-2</v>
      </c>
      <c r="S991" s="18">
        <f>(Tabela2[[#This Row],[FRETE]]+Tabela2[[#This Row],[DESPESAS]]+Tabela2[[#This Row],[IPI]]+Tabela2[[#This Row],[Vl. Produto]])*Tabela2[[#This Row],[Aliq.%]]</f>
        <v>0</v>
      </c>
    </row>
    <row r="992" spans="13:19" x14ac:dyDescent="0.25">
      <c r="M992" s="46"/>
      <c r="N992" s="46"/>
      <c r="O992" s="46"/>
      <c r="P992" s="46"/>
      <c r="R992" s="15">
        <v>1.54E-2</v>
      </c>
      <c r="S992" s="18">
        <f>(Tabela2[[#This Row],[FRETE]]+Tabela2[[#This Row],[DESPESAS]]+Tabela2[[#This Row],[IPI]]+Tabela2[[#This Row],[Vl. Produto]])*Tabela2[[#This Row],[Aliq.%]]</f>
        <v>0</v>
      </c>
    </row>
    <row r="993" spans="13:19" x14ac:dyDescent="0.25">
      <c r="M993" s="46"/>
      <c r="N993" s="46"/>
      <c r="O993" s="46"/>
      <c r="P993" s="46"/>
      <c r="R993" s="15">
        <v>1.54E-2</v>
      </c>
      <c r="S993" s="18">
        <f>(Tabela2[[#This Row],[FRETE]]+Tabela2[[#This Row],[DESPESAS]]+Tabela2[[#This Row],[IPI]]+Tabela2[[#This Row],[Vl. Produto]])*Tabela2[[#This Row],[Aliq.%]]</f>
        <v>0</v>
      </c>
    </row>
    <row r="994" spans="13:19" x14ac:dyDescent="0.25">
      <c r="M994" s="46"/>
      <c r="N994" s="46"/>
      <c r="O994" s="46"/>
      <c r="P994" s="46"/>
      <c r="R994" s="15">
        <v>1.54E-2</v>
      </c>
      <c r="S994" s="18">
        <f>(Tabela2[[#This Row],[FRETE]]+Tabela2[[#This Row],[DESPESAS]]+Tabela2[[#This Row],[IPI]]+Tabela2[[#This Row],[Vl. Produto]])*Tabela2[[#This Row],[Aliq.%]]</f>
        <v>0</v>
      </c>
    </row>
    <row r="995" spans="13:19" x14ac:dyDescent="0.25">
      <c r="M995" s="46"/>
      <c r="N995" s="46"/>
      <c r="O995" s="46"/>
      <c r="P995" s="46"/>
      <c r="R995" s="15">
        <v>1.54E-2</v>
      </c>
      <c r="S995" s="18">
        <f>(Tabela2[[#This Row],[FRETE]]+Tabela2[[#This Row],[DESPESAS]]+Tabela2[[#This Row],[IPI]]+Tabela2[[#This Row],[Vl. Produto]])*Tabela2[[#This Row],[Aliq.%]]</f>
        <v>0</v>
      </c>
    </row>
    <row r="996" spans="13:19" x14ac:dyDescent="0.25">
      <c r="M996" s="46"/>
      <c r="N996" s="46"/>
      <c r="O996" s="46"/>
      <c r="P996" s="46"/>
      <c r="R996" s="15">
        <v>1.54E-2</v>
      </c>
      <c r="S996" s="18">
        <f>(Tabela2[[#This Row],[FRETE]]+Tabela2[[#This Row],[DESPESAS]]+Tabela2[[#This Row],[IPI]]+Tabela2[[#This Row],[Vl. Produto]])*Tabela2[[#This Row],[Aliq.%]]</f>
        <v>0</v>
      </c>
    </row>
    <row r="997" spans="13:19" x14ac:dyDescent="0.25">
      <c r="M997" s="46"/>
      <c r="N997" s="46"/>
      <c r="O997" s="46"/>
      <c r="P997" s="46"/>
      <c r="R997" s="15">
        <v>1.54E-2</v>
      </c>
      <c r="S997" s="18">
        <f>(Tabela2[[#This Row],[FRETE]]+Tabela2[[#This Row],[DESPESAS]]+Tabela2[[#This Row],[IPI]]+Tabela2[[#This Row],[Vl. Produto]])*Tabela2[[#This Row],[Aliq.%]]</f>
        <v>0</v>
      </c>
    </row>
    <row r="998" spans="13:19" x14ac:dyDescent="0.25">
      <c r="M998" s="46"/>
      <c r="N998" s="46"/>
      <c r="O998" s="46"/>
      <c r="P998" s="46"/>
      <c r="R998" s="15">
        <v>1.54E-2</v>
      </c>
      <c r="S998" s="18">
        <f>(Tabela2[[#This Row],[FRETE]]+Tabela2[[#This Row],[DESPESAS]]+Tabela2[[#This Row],[IPI]]+Tabela2[[#This Row],[Vl. Produto]])*Tabela2[[#This Row],[Aliq.%]]</f>
        <v>0</v>
      </c>
    </row>
    <row r="999" spans="13:19" x14ac:dyDescent="0.25">
      <c r="M999" s="46"/>
      <c r="N999" s="46"/>
      <c r="O999" s="46"/>
      <c r="P999" s="46"/>
      <c r="R999" s="15">
        <v>1.54E-2</v>
      </c>
      <c r="S999" s="18">
        <f>(Tabela2[[#This Row],[FRETE]]+Tabela2[[#This Row],[DESPESAS]]+Tabela2[[#This Row],[IPI]]+Tabela2[[#This Row],[Vl. Produto]])*Tabela2[[#This Row],[Aliq.%]]</f>
        <v>0</v>
      </c>
    </row>
    <row r="1000" spans="13:19" x14ac:dyDescent="0.25">
      <c r="M1000" s="46"/>
      <c r="N1000" s="46"/>
      <c r="O1000" s="46"/>
      <c r="P1000" s="46"/>
      <c r="R1000" s="15">
        <v>1.54E-2</v>
      </c>
      <c r="S1000" s="18">
        <f>(Tabela2[[#This Row],[FRETE]]+Tabela2[[#This Row],[DESPESAS]]+Tabela2[[#This Row],[IPI]]+Tabela2[[#This Row],[Vl. Produto]])*Tabela2[[#This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381F-3209-4761-970A-108E57FFD6A4}"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7" width="10.7109375" style="17" customWidth="1"/>
    <col min="18" max="18" width="10.7109375" style="3" customWidth="1"/>
    <col min="19" max="19" width="20.7109375" style="4" customWidth="1"/>
    <col min="20" max="20" width="1.85546875" style="1" customWidth="1"/>
    <col min="21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34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35</v>
      </c>
      <c r="R1" s="13" t="s">
        <v>1</v>
      </c>
      <c r="S1" s="14" t="s">
        <v>2</v>
      </c>
      <c r="U1" s="47">
        <f>SUBTOTAL(109,Tabela25[ICMS ST a Recolher])</f>
        <v>0</v>
      </c>
      <c r="V1" s="58">
        <f>SUBTOTAL(109,Q:Q)</f>
        <v>0</v>
      </c>
    </row>
    <row r="2" spans="2:22" x14ac:dyDescent="0.25">
      <c r="B2" s="9"/>
      <c r="C2" s="6"/>
      <c r="M2" s="46"/>
      <c r="N2" s="46"/>
      <c r="O2" s="46"/>
      <c r="P2" s="46"/>
      <c r="R2" s="15">
        <v>1.54E-2</v>
      </c>
      <c r="S2" s="18">
        <f>(Tabela25[[#This Row],[FRETE]]+Tabela25[[#This Row],[DESPESAS]]+Tabela25[[#This Row],[IPI]]+Tabela25[[#This Row],[Vl. Produto]])*Tabela25[[#This Row],[Aliq.%]]</f>
        <v>0</v>
      </c>
    </row>
    <row r="3" spans="2:22" x14ac:dyDescent="0.25">
      <c r="B3" s="9"/>
      <c r="C3" s="6"/>
      <c r="M3" s="46"/>
      <c r="N3" s="46"/>
      <c r="O3" s="46"/>
      <c r="P3" s="46"/>
      <c r="R3" s="15">
        <v>1.54E-2</v>
      </c>
      <c r="S3" s="18">
        <f>(Tabela25[[#This Row],[FRETE]]+Tabela25[[#This Row],[DESPESAS]]+Tabela25[[#This Row],[IPI]]+Tabela25[[#This Row],[Vl. Produto]])*Tabela25[[#This Row],[Aliq.%]]</f>
        <v>0</v>
      </c>
    </row>
    <row r="4" spans="2:22" x14ac:dyDescent="0.25">
      <c r="B4" s="9"/>
      <c r="C4" s="6"/>
      <c r="M4" s="46"/>
      <c r="N4" s="46"/>
      <c r="O4" s="46"/>
      <c r="P4" s="46"/>
      <c r="R4" s="15">
        <v>1.54E-2</v>
      </c>
      <c r="S4" s="18">
        <f>(Tabela25[[#This Row],[FRETE]]+Tabela25[[#This Row],[DESPESAS]]+Tabela25[[#This Row],[IPI]]+Tabela25[[#This Row],[Vl. Produto]])*Tabela25[[#This Row],[Aliq.%]]</f>
        <v>0</v>
      </c>
    </row>
    <row r="5" spans="2:22" x14ac:dyDescent="0.25">
      <c r="B5" s="9"/>
      <c r="C5" s="6"/>
      <c r="M5" s="46"/>
      <c r="N5" s="46"/>
      <c r="O5" s="46"/>
      <c r="P5" s="46"/>
      <c r="R5" s="15">
        <v>1.54E-2</v>
      </c>
      <c r="S5" s="18">
        <f>(Tabela25[[#This Row],[FRETE]]+Tabela25[[#This Row],[DESPESAS]]+Tabela25[[#This Row],[IPI]]+Tabela25[[#This Row],[Vl. Produto]])*Tabela25[[#This Row],[Aliq.%]]</f>
        <v>0</v>
      </c>
    </row>
    <row r="6" spans="2:22" x14ac:dyDescent="0.25">
      <c r="B6" s="9"/>
      <c r="C6" s="6"/>
      <c r="M6" s="46"/>
      <c r="N6" s="46"/>
      <c r="O6" s="46"/>
      <c r="P6" s="46"/>
      <c r="R6" s="15">
        <v>1.54E-2</v>
      </c>
      <c r="S6" s="18">
        <f>(Tabela25[[#This Row],[FRETE]]+Tabela25[[#This Row],[DESPESAS]]+Tabela25[[#This Row],[IPI]]+Tabela25[[#This Row],[Vl. Produto]])*Tabela25[[#This Row],[Aliq.%]]</f>
        <v>0</v>
      </c>
    </row>
    <row r="7" spans="2:22" x14ac:dyDescent="0.25">
      <c r="B7" s="9"/>
      <c r="C7" s="6"/>
      <c r="M7" s="46"/>
      <c r="N7" s="46"/>
      <c r="O7" s="46"/>
      <c r="P7" s="46"/>
      <c r="R7" s="15">
        <v>1.54E-2</v>
      </c>
      <c r="S7" s="18">
        <f>(Tabela25[[#This Row],[FRETE]]+Tabela25[[#This Row],[DESPESAS]]+Tabela25[[#This Row],[IPI]]+Tabela25[[#This Row],[Vl. Produto]])*Tabela25[[#This Row],[Aliq.%]]</f>
        <v>0</v>
      </c>
    </row>
    <row r="8" spans="2:22" x14ac:dyDescent="0.25">
      <c r="B8" s="9"/>
      <c r="C8" s="6"/>
      <c r="M8" s="46"/>
      <c r="N8" s="46"/>
      <c r="O8" s="46"/>
      <c r="P8" s="46"/>
      <c r="R8" s="15">
        <v>1.54E-2</v>
      </c>
      <c r="S8" s="18">
        <f>(Tabela25[[#This Row],[FRETE]]+Tabela25[[#This Row],[DESPESAS]]+Tabela25[[#This Row],[IPI]]+Tabela25[[#This Row],[Vl. Produto]])*Tabela25[[#This Row],[Aliq.%]]</f>
        <v>0</v>
      </c>
    </row>
    <row r="9" spans="2:22" x14ac:dyDescent="0.25">
      <c r="B9" s="62" t="s">
        <v>13</v>
      </c>
      <c r="C9" s="6"/>
      <c r="M9" s="46"/>
      <c r="N9" s="46"/>
      <c r="O9" s="46"/>
      <c r="P9" s="46"/>
      <c r="R9" s="15">
        <v>1.54E-2</v>
      </c>
      <c r="S9" s="18">
        <f>(Tabela25[[#This Row],[FRETE]]+Tabela25[[#This Row],[DESPESAS]]+Tabela25[[#This Row],[IPI]]+Tabela25[[#This Row],[Vl. Produto]])*Tabela25[[#This Row],[Aliq.%]]</f>
        <v>0</v>
      </c>
    </row>
    <row r="10" spans="2:22" x14ac:dyDescent="0.25">
      <c r="B10" s="62"/>
      <c r="C10" s="6"/>
      <c r="M10" s="46"/>
      <c r="N10" s="46"/>
      <c r="O10" s="46"/>
      <c r="P10" s="46"/>
      <c r="R10" s="15">
        <v>1.54E-2</v>
      </c>
      <c r="S10" s="18">
        <f>(Tabela25[[#This Row],[FRETE]]+Tabela25[[#This Row],[DESPESAS]]+Tabela25[[#This Row],[IPI]]+Tabela25[[#This Row],[Vl. Produto]])*Tabela25[[#This Row],[Aliq.%]]</f>
        <v>0</v>
      </c>
    </row>
    <row r="11" spans="2:22" x14ac:dyDescent="0.25">
      <c r="B11" s="62"/>
      <c r="C11" s="6"/>
      <c r="M11" s="46"/>
      <c r="N11" s="46"/>
      <c r="O11" s="46"/>
      <c r="P11" s="46"/>
      <c r="R11" s="15">
        <v>1.54E-2</v>
      </c>
      <c r="S11" s="18">
        <f>(Tabela25[[#This Row],[FRETE]]+Tabela25[[#This Row],[DESPESAS]]+Tabela25[[#This Row],[IPI]]+Tabela25[[#This Row],[Vl. Produto]])*Tabela25[[#This Row],[Aliq.%]]</f>
        <v>0</v>
      </c>
    </row>
    <row r="12" spans="2:22" x14ac:dyDescent="0.25">
      <c r="B12" s="62"/>
      <c r="C12" s="6"/>
      <c r="M12" s="46"/>
      <c r="N12" s="46"/>
      <c r="O12" s="46"/>
      <c r="P12" s="46"/>
      <c r="R12" s="15">
        <v>1.54E-2</v>
      </c>
      <c r="S12" s="18">
        <f>(Tabela25[[#This Row],[FRETE]]+Tabela25[[#This Row],[DESPESAS]]+Tabela25[[#This Row],[IPI]]+Tabela25[[#This Row],[Vl. Produto]])*Tabela25[[#This Row],[Aliq.%]]</f>
        <v>0</v>
      </c>
    </row>
    <row r="13" spans="2:22" x14ac:dyDescent="0.25">
      <c r="B13" s="62"/>
      <c r="C13" s="6"/>
      <c r="M13" s="46"/>
      <c r="N13" s="46"/>
      <c r="O13" s="46"/>
      <c r="P13" s="46"/>
      <c r="R13" s="15">
        <v>1.54E-2</v>
      </c>
      <c r="S13" s="18">
        <f>(Tabela25[[#This Row],[FRETE]]+Tabela25[[#This Row],[DESPESAS]]+Tabela25[[#This Row],[IPI]]+Tabela25[[#This Row],[Vl. Produto]])*Tabela25[[#This Row],[Aliq.%]]</f>
        <v>0</v>
      </c>
    </row>
    <row r="14" spans="2:22" x14ac:dyDescent="0.25">
      <c r="B14" s="62"/>
      <c r="C14" s="6"/>
      <c r="M14" s="46"/>
      <c r="N14" s="46"/>
      <c r="O14" s="46"/>
      <c r="P14" s="46"/>
      <c r="R14" s="15">
        <v>1.54E-2</v>
      </c>
      <c r="S14" s="18">
        <f>(Tabela25[[#This Row],[FRETE]]+Tabela25[[#This Row],[DESPESAS]]+Tabela25[[#This Row],[IPI]]+Tabela25[[#This Row],[Vl. Produto]])*Tabela25[[#This Row],[Aliq.%]]</f>
        <v>0</v>
      </c>
    </row>
    <row r="15" spans="2:22" x14ac:dyDescent="0.25">
      <c r="B15" s="62"/>
      <c r="C15" s="6"/>
      <c r="M15" s="46"/>
      <c r="N15" s="46"/>
      <c r="O15" s="46"/>
      <c r="P15" s="46"/>
      <c r="R15" s="15">
        <v>1.54E-2</v>
      </c>
      <c r="S15" s="18">
        <f>(Tabela25[[#This Row],[FRETE]]+Tabela25[[#This Row],[DESPESAS]]+Tabela25[[#This Row],[IPI]]+Tabela25[[#This Row],[Vl. Produto]])*Tabela25[[#This Row],[Aliq.%]]</f>
        <v>0</v>
      </c>
    </row>
    <row r="16" spans="2:22" x14ac:dyDescent="0.25">
      <c r="B16" s="62"/>
      <c r="C16" s="6"/>
      <c r="M16" s="46"/>
      <c r="N16" s="46"/>
      <c r="O16" s="46"/>
      <c r="P16" s="46"/>
      <c r="R16" s="15">
        <v>1.54E-2</v>
      </c>
      <c r="S16" s="18">
        <f>(Tabela25[[#This Row],[FRETE]]+Tabela25[[#This Row],[DESPESAS]]+Tabela25[[#This Row],[IPI]]+Tabela25[[#This Row],[Vl. Produto]])*Tabela25[[#This Row],[Aliq.%]]</f>
        <v>0</v>
      </c>
    </row>
    <row r="17" spans="2:19" x14ac:dyDescent="0.25">
      <c r="B17" s="62"/>
      <c r="C17" s="6"/>
      <c r="M17" s="46"/>
      <c r="N17" s="46"/>
      <c r="O17" s="46"/>
      <c r="P17" s="46"/>
      <c r="R17" s="15">
        <v>1.54E-2</v>
      </c>
      <c r="S17" s="18">
        <f>(Tabela25[[#This Row],[FRETE]]+Tabela25[[#This Row],[DESPESAS]]+Tabela25[[#This Row],[IPI]]+Tabela25[[#This Row],[Vl. Produto]])*Tabela25[[#This Row],[Aliq.%]]</f>
        <v>0</v>
      </c>
    </row>
    <row r="18" spans="2:19" x14ac:dyDescent="0.25">
      <c r="B18" s="9"/>
      <c r="C18" s="6"/>
      <c r="M18" s="46"/>
      <c r="N18" s="46"/>
      <c r="O18" s="46"/>
      <c r="P18" s="46"/>
      <c r="R18" s="15">
        <v>1.54E-2</v>
      </c>
      <c r="S18" s="18">
        <f>(Tabela25[[#This Row],[FRETE]]+Tabela25[[#This Row],[DESPESAS]]+Tabela25[[#This Row],[IPI]]+Tabela25[[#This Row],[Vl. Produto]])*Tabela25[[#This Row],[Aliq.%]]</f>
        <v>0</v>
      </c>
    </row>
    <row r="19" spans="2:19" x14ac:dyDescent="0.25">
      <c r="B19" s="9"/>
      <c r="C19" s="6"/>
      <c r="M19" s="46"/>
      <c r="N19" s="46"/>
      <c r="O19" s="46"/>
      <c r="P19" s="46"/>
      <c r="R19" s="15">
        <v>1.54E-2</v>
      </c>
      <c r="S19" s="18">
        <f>(Tabela25[[#This Row],[FRETE]]+Tabela25[[#This Row],[DESPESAS]]+Tabela25[[#This Row],[IPI]]+Tabela25[[#This Row],[Vl. Produto]])*Tabela25[[#This Row],[Aliq.%]]</f>
        <v>0</v>
      </c>
    </row>
    <row r="20" spans="2:19" x14ac:dyDescent="0.25">
      <c r="B20" s="9"/>
      <c r="C20" s="6"/>
      <c r="M20" s="46"/>
      <c r="N20" s="46"/>
      <c r="O20" s="46"/>
      <c r="P20" s="46"/>
      <c r="R20" s="15">
        <v>1.54E-2</v>
      </c>
      <c r="S20" s="18">
        <f>(Tabela25[[#This Row],[FRETE]]+Tabela25[[#This Row],[DESPESAS]]+Tabela25[[#This Row],[IPI]]+Tabela25[[#This Row],[Vl. Produto]])*Tabela25[[#This Row],[Aliq.%]]</f>
        <v>0</v>
      </c>
    </row>
    <row r="21" spans="2:19" x14ac:dyDescent="0.25">
      <c r="B21" s="9"/>
      <c r="C21" s="6"/>
      <c r="M21" s="46"/>
      <c r="N21" s="46"/>
      <c r="O21" s="46"/>
      <c r="P21" s="46"/>
      <c r="R21" s="15">
        <v>1.54E-2</v>
      </c>
      <c r="S21" s="18">
        <f>(Tabela25[[#This Row],[FRETE]]+Tabela25[[#This Row],[DESPESAS]]+Tabela25[[#This Row],[IPI]]+Tabela25[[#This Row],[Vl. Produto]])*Tabela25[[#This Row],[Aliq.%]]</f>
        <v>0</v>
      </c>
    </row>
    <row r="22" spans="2:19" x14ac:dyDescent="0.25">
      <c r="B22" s="9"/>
      <c r="C22" s="6"/>
      <c r="M22" s="46"/>
      <c r="N22" s="46"/>
      <c r="O22" s="46"/>
      <c r="P22" s="46"/>
      <c r="R22" s="15">
        <v>1.54E-2</v>
      </c>
      <c r="S22" s="18">
        <f>(Tabela25[[#This Row],[FRETE]]+Tabela25[[#This Row],[DESPESAS]]+Tabela25[[#This Row],[IPI]]+Tabela25[[#This Row],[Vl. Produto]])*Tabela25[[#This Row],[Aliq.%]]</f>
        <v>0</v>
      </c>
    </row>
    <row r="23" spans="2:19" x14ac:dyDescent="0.25">
      <c r="B23" s="9"/>
      <c r="C23" s="6"/>
      <c r="M23" s="46"/>
      <c r="N23" s="46"/>
      <c r="O23" s="46"/>
      <c r="P23" s="46"/>
      <c r="R23" s="15">
        <v>1.54E-2</v>
      </c>
      <c r="S23" s="18">
        <f>(Tabela25[[#This Row],[FRETE]]+Tabela25[[#This Row],[DESPESAS]]+Tabela25[[#This Row],[IPI]]+Tabela25[[#This Row],[Vl. Produto]])*Tabela25[[#This Row],[Aliq.%]]</f>
        <v>0</v>
      </c>
    </row>
    <row r="24" spans="2:19" x14ac:dyDescent="0.25">
      <c r="B24" s="9"/>
      <c r="C24" s="6"/>
      <c r="M24" s="46"/>
      <c r="N24" s="46"/>
      <c r="O24" s="46"/>
      <c r="P24" s="46"/>
      <c r="R24" s="15">
        <v>1.54E-2</v>
      </c>
      <c r="S24" s="18">
        <f>(Tabela25[[#This Row],[FRETE]]+Tabela25[[#This Row],[DESPESAS]]+Tabela25[[#This Row],[IPI]]+Tabela25[[#This Row],[Vl. Produto]])*Tabela25[[#This Row],[Aliq.%]]</f>
        <v>0</v>
      </c>
    </row>
    <row r="25" spans="2:19" x14ac:dyDescent="0.25">
      <c r="B25" s="9"/>
      <c r="C25" s="6"/>
      <c r="M25" s="46"/>
      <c r="N25" s="46"/>
      <c r="O25" s="46"/>
      <c r="P25" s="46"/>
      <c r="R25" s="15">
        <v>1.54E-2</v>
      </c>
      <c r="S25" s="18">
        <f>(Tabela25[[#This Row],[FRETE]]+Tabela25[[#This Row],[DESPESAS]]+Tabela25[[#This Row],[IPI]]+Tabela25[[#This Row],[Vl. Produto]])*Tabela25[[#This Row],[Aliq.%]]</f>
        <v>0</v>
      </c>
    </row>
    <row r="26" spans="2:19" x14ac:dyDescent="0.25">
      <c r="B26" s="9"/>
      <c r="C26" s="6"/>
      <c r="M26" s="46"/>
      <c r="N26" s="46"/>
      <c r="O26" s="46"/>
      <c r="P26" s="46"/>
      <c r="R26" s="15">
        <v>1.54E-2</v>
      </c>
      <c r="S26" s="18">
        <f>(Tabela25[[#This Row],[FRETE]]+Tabela25[[#This Row],[DESPESAS]]+Tabela25[[#This Row],[IPI]]+Tabela25[[#This Row],[Vl. Produto]])*Tabela25[[#This Row],[Aliq.%]]</f>
        <v>0</v>
      </c>
    </row>
    <row r="27" spans="2:19" x14ac:dyDescent="0.25">
      <c r="B27" s="9"/>
      <c r="C27" s="6"/>
      <c r="M27" s="46"/>
      <c r="N27" s="46"/>
      <c r="O27" s="46"/>
      <c r="P27" s="46"/>
      <c r="R27" s="15">
        <v>1.54E-2</v>
      </c>
      <c r="S27" s="18">
        <f>(Tabela25[[#This Row],[FRETE]]+Tabela25[[#This Row],[DESPESAS]]+Tabela25[[#This Row],[IPI]]+Tabela25[[#This Row],[Vl. Produto]])*Tabela25[[#This Row],[Aliq.%]]</f>
        <v>0</v>
      </c>
    </row>
    <row r="28" spans="2:19" x14ac:dyDescent="0.25">
      <c r="M28" s="46"/>
      <c r="N28" s="46"/>
      <c r="O28" s="46"/>
      <c r="P28" s="46"/>
      <c r="R28" s="15">
        <v>1.54E-2</v>
      </c>
      <c r="S28" s="18">
        <f>(Tabela25[[#This Row],[FRETE]]+Tabela25[[#This Row],[DESPESAS]]+Tabela25[[#This Row],[IPI]]+Tabela25[[#This Row],[Vl. Produto]])*Tabela25[[#This Row],[Aliq.%]]</f>
        <v>0</v>
      </c>
    </row>
    <row r="29" spans="2:19" x14ac:dyDescent="0.25">
      <c r="M29" s="46"/>
      <c r="N29" s="46"/>
      <c r="O29" s="46"/>
      <c r="P29" s="46"/>
      <c r="R29" s="15">
        <v>1.54E-2</v>
      </c>
      <c r="S29" s="18">
        <f>(Tabela25[[#This Row],[FRETE]]+Tabela25[[#This Row],[DESPESAS]]+Tabela25[[#This Row],[IPI]]+Tabela25[[#This Row],[Vl. Produto]])*Tabela25[[#This Row],[Aliq.%]]</f>
        <v>0</v>
      </c>
    </row>
    <row r="30" spans="2:19" x14ac:dyDescent="0.25">
      <c r="M30" s="46"/>
      <c r="N30" s="46"/>
      <c r="O30" s="46"/>
      <c r="P30" s="46"/>
      <c r="R30" s="15">
        <v>1.54E-2</v>
      </c>
      <c r="S30" s="18">
        <f>(Tabela25[[#This Row],[FRETE]]+Tabela25[[#This Row],[DESPESAS]]+Tabela25[[#This Row],[IPI]]+Tabela25[[#This Row],[Vl. Produto]])*Tabela25[[#This Row],[Aliq.%]]</f>
        <v>0</v>
      </c>
    </row>
    <row r="31" spans="2:19" x14ac:dyDescent="0.25">
      <c r="M31" s="46"/>
      <c r="N31" s="46"/>
      <c r="O31" s="46"/>
      <c r="P31" s="46"/>
      <c r="R31" s="15">
        <v>1.54E-2</v>
      </c>
      <c r="S31" s="18">
        <f>(Tabela25[[#This Row],[FRETE]]+Tabela25[[#This Row],[DESPESAS]]+Tabela25[[#This Row],[IPI]]+Tabela25[[#This Row],[Vl. Produto]])*Tabela25[[#This Row],[Aliq.%]]</f>
        <v>0</v>
      </c>
    </row>
    <row r="32" spans="2:19" x14ac:dyDescent="0.25">
      <c r="M32" s="46"/>
      <c r="N32" s="46"/>
      <c r="O32" s="46"/>
      <c r="P32" s="46"/>
      <c r="R32" s="15">
        <v>1.54E-2</v>
      </c>
      <c r="S32" s="18">
        <f>(Tabela25[[#This Row],[FRETE]]+Tabela25[[#This Row],[DESPESAS]]+Tabela25[[#This Row],[IPI]]+Tabela25[[#This Row],[Vl. Produto]])*Tabela25[[#This Row],[Aliq.%]]</f>
        <v>0</v>
      </c>
    </row>
    <row r="33" spans="13:19" x14ac:dyDescent="0.25">
      <c r="M33" s="46"/>
      <c r="N33" s="46"/>
      <c r="O33" s="46"/>
      <c r="P33" s="46"/>
      <c r="R33" s="15">
        <v>1.54E-2</v>
      </c>
      <c r="S33" s="18">
        <f>(Tabela25[[#This Row],[FRETE]]+Tabela25[[#This Row],[DESPESAS]]+Tabela25[[#This Row],[IPI]]+Tabela25[[#This Row],[Vl. Produto]])*Tabela25[[#This Row],[Aliq.%]]</f>
        <v>0</v>
      </c>
    </row>
    <row r="34" spans="13:19" x14ac:dyDescent="0.25">
      <c r="M34" s="46"/>
      <c r="N34" s="46"/>
      <c r="O34" s="46"/>
      <c r="P34" s="46"/>
      <c r="R34" s="15">
        <v>1.54E-2</v>
      </c>
      <c r="S34" s="18">
        <f>(Tabela25[[#This Row],[FRETE]]+Tabela25[[#This Row],[DESPESAS]]+Tabela25[[#This Row],[IPI]]+Tabela25[[#This Row],[Vl. Produto]])*Tabela25[[#This Row],[Aliq.%]]</f>
        <v>0</v>
      </c>
    </row>
    <row r="35" spans="13:19" x14ac:dyDescent="0.25">
      <c r="M35" s="46"/>
      <c r="N35" s="46"/>
      <c r="O35" s="46"/>
      <c r="P35" s="46"/>
      <c r="R35" s="15">
        <v>1.54E-2</v>
      </c>
      <c r="S35" s="18">
        <f>(Tabela25[[#This Row],[FRETE]]+Tabela25[[#This Row],[DESPESAS]]+Tabela25[[#This Row],[IPI]]+Tabela25[[#This Row],[Vl. Produto]])*Tabela25[[#This Row],[Aliq.%]]</f>
        <v>0</v>
      </c>
    </row>
    <row r="36" spans="13:19" x14ac:dyDescent="0.25">
      <c r="M36" s="46"/>
      <c r="N36" s="46"/>
      <c r="O36" s="46"/>
      <c r="P36" s="46"/>
      <c r="R36" s="15">
        <v>1.54E-2</v>
      </c>
      <c r="S36" s="18">
        <f>(Tabela25[[#This Row],[FRETE]]+Tabela25[[#This Row],[DESPESAS]]+Tabela25[[#This Row],[IPI]]+Tabela25[[#This Row],[Vl. Produto]])*Tabela25[[#This Row],[Aliq.%]]</f>
        <v>0</v>
      </c>
    </row>
    <row r="37" spans="13:19" x14ac:dyDescent="0.25">
      <c r="M37" s="46"/>
      <c r="N37" s="46"/>
      <c r="O37" s="46"/>
      <c r="P37" s="46"/>
      <c r="R37" s="15">
        <v>1.54E-2</v>
      </c>
      <c r="S37" s="18">
        <f>(Tabela25[[#This Row],[FRETE]]+Tabela25[[#This Row],[DESPESAS]]+Tabela25[[#This Row],[IPI]]+Tabela25[[#This Row],[Vl. Produto]])*Tabela25[[#This Row],[Aliq.%]]</f>
        <v>0</v>
      </c>
    </row>
    <row r="38" spans="13:19" x14ac:dyDescent="0.25">
      <c r="M38" s="46"/>
      <c r="N38" s="46"/>
      <c r="O38" s="46"/>
      <c r="P38" s="46"/>
      <c r="R38" s="15">
        <v>1.54E-2</v>
      </c>
      <c r="S38" s="18">
        <f>(Tabela25[[#This Row],[FRETE]]+Tabela25[[#This Row],[DESPESAS]]+Tabela25[[#This Row],[IPI]]+Tabela25[[#This Row],[Vl. Produto]])*Tabela25[[#This Row],[Aliq.%]]</f>
        <v>0</v>
      </c>
    </row>
    <row r="39" spans="13:19" x14ac:dyDescent="0.25">
      <c r="M39" s="46"/>
      <c r="N39" s="46"/>
      <c r="O39" s="46"/>
      <c r="P39" s="46"/>
      <c r="R39" s="15">
        <v>1.54E-2</v>
      </c>
      <c r="S39" s="18">
        <f>(Tabela25[[#This Row],[FRETE]]+Tabela25[[#This Row],[DESPESAS]]+Tabela25[[#This Row],[IPI]]+Tabela25[[#This Row],[Vl. Produto]])*Tabela25[[#This Row],[Aliq.%]]</f>
        <v>0</v>
      </c>
    </row>
    <row r="40" spans="13:19" x14ac:dyDescent="0.25">
      <c r="M40" s="46"/>
      <c r="N40" s="46"/>
      <c r="O40" s="46"/>
      <c r="P40" s="46"/>
      <c r="R40" s="15">
        <v>1.54E-2</v>
      </c>
      <c r="S40" s="18">
        <f>(Tabela25[[#This Row],[FRETE]]+Tabela25[[#This Row],[DESPESAS]]+Tabela25[[#This Row],[IPI]]+Tabela25[[#This Row],[Vl. Produto]])*Tabela25[[#This Row],[Aliq.%]]</f>
        <v>0</v>
      </c>
    </row>
    <row r="41" spans="13:19" x14ac:dyDescent="0.25">
      <c r="M41" s="46"/>
      <c r="N41" s="46"/>
      <c r="O41" s="46"/>
      <c r="P41" s="46"/>
      <c r="R41" s="15">
        <v>1.54E-2</v>
      </c>
      <c r="S41" s="18">
        <f>(Tabela25[[#This Row],[FRETE]]+Tabela25[[#This Row],[DESPESAS]]+Tabela25[[#This Row],[IPI]]+Tabela25[[#This Row],[Vl. Produto]])*Tabela25[[#This Row],[Aliq.%]]</f>
        <v>0</v>
      </c>
    </row>
    <row r="42" spans="13:19" x14ac:dyDescent="0.25">
      <c r="M42" s="46"/>
      <c r="N42" s="46"/>
      <c r="O42" s="46"/>
      <c r="P42" s="46"/>
      <c r="R42" s="15">
        <v>1.54E-2</v>
      </c>
      <c r="S42" s="18">
        <f>(Tabela25[[#This Row],[FRETE]]+Tabela25[[#This Row],[DESPESAS]]+Tabela25[[#This Row],[IPI]]+Tabela25[[#This Row],[Vl. Produto]])*Tabela25[[#This Row],[Aliq.%]]</f>
        <v>0</v>
      </c>
    </row>
    <row r="43" spans="13:19" x14ac:dyDescent="0.25">
      <c r="M43" s="46"/>
      <c r="N43" s="46"/>
      <c r="O43" s="46"/>
      <c r="P43" s="46"/>
      <c r="R43" s="15">
        <v>1.54E-2</v>
      </c>
      <c r="S43" s="18">
        <f>(Tabela25[[#This Row],[FRETE]]+Tabela25[[#This Row],[DESPESAS]]+Tabela25[[#This Row],[IPI]]+Tabela25[[#This Row],[Vl. Produto]])*Tabela25[[#This Row],[Aliq.%]]</f>
        <v>0</v>
      </c>
    </row>
    <row r="44" spans="13:19" x14ac:dyDescent="0.25">
      <c r="M44" s="46"/>
      <c r="N44" s="46"/>
      <c r="O44" s="46"/>
      <c r="P44" s="46"/>
      <c r="R44" s="15">
        <v>1.54E-2</v>
      </c>
      <c r="S44" s="18">
        <f>(Tabela25[[#This Row],[FRETE]]+Tabela25[[#This Row],[DESPESAS]]+Tabela25[[#This Row],[IPI]]+Tabela25[[#This Row],[Vl. Produto]])*Tabela25[[#This Row],[Aliq.%]]</f>
        <v>0</v>
      </c>
    </row>
    <row r="45" spans="13:19" x14ac:dyDescent="0.25">
      <c r="M45" s="46"/>
      <c r="N45" s="46"/>
      <c r="O45" s="46"/>
      <c r="P45" s="46"/>
      <c r="R45" s="15">
        <v>1.54E-2</v>
      </c>
      <c r="S45" s="18">
        <f>(Tabela25[[#This Row],[FRETE]]+Tabela25[[#This Row],[DESPESAS]]+Tabela25[[#This Row],[IPI]]+Tabela25[[#This Row],[Vl. Produto]])*Tabela25[[#This Row],[Aliq.%]]</f>
        <v>0</v>
      </c>
    </row>
    <row r="46" spans="13:19" x14ac:dyDescent="0.25">
      <c r="M46" s="46"/>
      <c r="N46" s="46"/>
      <c r="O46" s="46"/>
      <c r="P46" s="46"/>
      <c r="R46" s="15">
        <v>1.54E-2</v>
      </c>
      <c r="S46" s="18">
        <f>(Tabela25[[#This Row],[FRETE]]+Tabela25[[#This Row],[DESPESAS]]+Tabela25[[#This Row],[IPI]]+Tabela25[[#This Row],[Vl. Produto]])*Tabela25[[#This Row],[Aliq.%]]</f>
        <v>0</v>
      </c>
    </row>
    <row r="47" spans="13:19" x14ac:dyDescent="0.25">
      <c r="M47" s="46"/>
      <c r="N47" s="46"/>
      <c r="O47" s="46"/>
      <c r="P47" s="46"/>
      <c r="R47" s="15">
        <v>1.54E-2</v>
      </c>
      <c r="S47" s="18">
        <f>(Tabela25[[#This Row],[FRETE]]+Tabela25[[#This Row],[DESPESAS]]+Tabela25[[#This Row],[IPI]]+Tabela25[[#This Row],[Vl. Produto]])*Tabela25[[#This Row],[Aliq.%]]</f>
        <v>0</v>
      </c>
    </row>
    <row r="48" spans="13:19" x14ac:dyDescent="0.25">
      <c r="M48" s="46"/>
      <c r="N48" s="46"/>
      <c r="O48" s="46"/>
      <c r="P48" s="46"/>
      <c r="R48" s="15">
        <v>1.54E-2</v>
      </c>
      <c r="S48" s="18">
        <f>(Tabela25[[#This Row],[FRETE]]+Tabela25[[#This Row],[DESPESAS]]+Tabela25[[#This Row],[IPI]]+Tabela25[[#This Row],[Vl. Produto]])*Tabela25[[#This Row],[Aliq.%]]</f>
        <v>0</v>
      </c>
    </row>
    <row r="49" spans="13:19" x14ac:dyDescent="0.25">
      <c r="M49" s="46"/>
      <c r="N49" s="46"/>
      <c r="O49" s="46"/>
      <c r="P49" s="46"/>
      <c r="R49" s="15">
        <v>1.54E-2</v>
      </c>
      <c r="S49" s="18">
        <f>(Tabela25[[#This Row],[FRETE]]+Tabela25[[#This Row],[DESPESAS]]+Tabela25[[#This Row],[IPI]]+Tabela25[[#This Row],[Vl. Produto]])*Tabela25[[#This Row],[Aliq.%]]</f>
        <v>0</v>
      </c>
    </row>
    <row r="50" spans="13:19" x14ac:dyDescent="0.25">
      <c r="M50" s="46"/>
      <c r="N50" s="46"/>
      <c r="O50" s="46"/>
      <c r="P50" s="46"/>
      <c r="R50" s="15">
        <v>1.54E-2</v>
      </c>
      <c r="S50" s="18">
        <f>(Tabela25[[#This Row],[FRETE]]+Tabela25[[#This Row],[DESPESAS]]+Tabela25[[#This Row],[IPI]]+Tabela25[[#This Row],[Vl. Produto]])*Tabela25[[#This Row],[Aliq.%]]</f>
        <v>0</v>
      </c>
    </row>
    <row r="51" spans="13:19" x14ac:dyDescent="0.25">
      <c r="M51" s="46"/>
      <c r="N51" s="46"/>
      <c r="O51" s="46"/>
      <c r="P51" s="46"/>
      <c r="R51" s="15">
        <v>1.54E-2</v>
      </c>
      <c r="S51" s="18">
        <f>(Tabela25[[#This Row],[FRETE]]+Tabela25[[#This Row],[DESPESAS]]+Tabela25[[#This Row],[IPI]]+Tabela25[[#This Row],[Vl. Produto]])*Tabela25[[#This Row],[Aliq.%]]</f>
        <v>0</v>
      </c>
    </row>
    <row r="52" spans="13:19" x14ac:dyDescent="0.25">
      <c r="M52" s="46"/>
      <c r="N52" s="46"/>
      <c r="O52" s="46"/>
      <c r="P52" s="46"/>
      <c r="R52" s="15">
        <v>1.54E-2</v>
      </c>
      <c r="S52" s="18">
        <f>(Tabela25[[#This Row],[FRETE]]+Tabela25[[#This Row],[DESPESAS]]+Tabela25[[#This Row],[IPI]]+Tabela25[[#This Row],[Vl. Produto]])*Tabela25[[#This Row],[Aliq.%]]</f>
        <v>0</v>
      </c>
    </row>
    <row r="53" spans="13:19" x14ac:dyDescent="0.25">
      <c r="M53" s="46"/>
      <c r="N53" s="46"/>
      <c r="O53" s="46"/>
      <c r="P53" s="46"/>
      <c r="R53" s="15">
        <v>1.54E-2</v>
      </c>
      <c r="S53" s="18">
        <f>(Tabela25[[#This Row],[FRETE]]+Tabela25[[#This Row],[DESPESAS]]+Tabela25[[#This Row],[IPI]]+Tabela25[[#This Row],[Vl. Produto]])*Tabela25[[#This Row],[Aliq.%]]</f>
        <v>0</v>
      </c>
    </row>
    <row r="54" spans="13:19" x14ac:dyDescent="0.25">
      <c r="M54" s="46"/>
      <c r="N54" s="46"/>
      <c r="O54" s="46"/>
      <c r="P54" s="46"/>
      <c r="R54" s="15">
        <v>1.54E-2</v>
      </c>
      <c r="S54" s="18">
        <f>(Tabela25[[#This Row],[FRETE]]+Tabela25[[#This Row],[DESPESAS]]+Tabela25[[#This Row],[IPI]]+Tabela25[[#This Row],[Vl. Produto]])*Tabela25[[#This Row],[Aliq.%]]</f>
        <v>0</v>
      </c>
    </row>
    <row r="55" spans="13:19" x14ac:dyDescent="0.25">
      <c r="M55" s="46"/>
      <c r="N55" s="46"/>
      <c r="O55" s="46"/>
      <c r="P55" s="46"/>
      <c r="R55" s="15">
        <v>1.54E-2</v>
      </c>
      <c r="S55" s="18">
        <f>(Tabela25[[#This Row],[FRETE]]+Tabela25[[#This Row],[DESPESAS]]+Tabela25[[#This Row],[IPI]]+Tabela25[[#This Row],[Vl. Produto]])*Tabela25[[#This Row],[Aliq.%]]</f>
        <v>0</v>
      </c>
    </row>
    <row r="56" spans="13:19" x14ac:dyDescent="0.25">
      <c r="M56" s="46"/>
      <c r="N56" s="46"/>
      <c r="O56" s="46"/>
      <c r="P56" s="46"/>
      <c r="R56" s="15">
        <v>1.54E-2</v>
      </c>
      <c r="S56" s="18">
        <f>(Tabela25[[#This Row],[FRETE]]+Tabela25[[#This Row],[DESPESAS]]+Tabela25[[#This Row],[IPI]]+Tabela25[[#This Row],[Vl. Produto]])*Tabela25[[#This Row],[Aliq.%]]</f>
        <v>0</v>
      </c>
    </row>
    <row r="57" spans="13:19" x14ac:dyDescent="0.25">
      <c r="M57" s="46"/>
      <c r="N57" s="46"/>
      <c r="O57" s="46"/>
      <c r="P57" s="46"/>
      <c r="R57" s="15">
        <v>1.54E-2</v>
      </c>
      <c r="S57" s="18">
        <f>(Tabela25[[#This Row],[FRETE]]+Tabela25[[#This Row],[DESPESAS]]+Tabela25[[#This Row],[IPI]]+Tabela25[[#This Row],[Vl. Produto]])*Tabela25[[#This Row],[Aliq.%]]</f>
        <v>0</v>
      </c>
    </row>
    <row r="58" spans="13:19" x14ac:dyDescent="0.25">
      <c r="M58" s="46"/>
      <c r="N58" s="46"/>
      <c r="O58" s="46"/>
      <c r="P58" s="46"/>
      <c r="R58" s="15">
        <v>1.54E-2</v>
      </c>
      <c r="S58" s="18">
        <f>(Tabela25[[#This Row],[FRETE]]+Tabela25[[#This Row],[DESPESAS]]+Tabela25[[#This Row],[IPI]]+Tabela25[[#This Row],[Vl. Produto]])*Tabela25[[#This Row],[Aliq.%]]</f>
        <v>0</v>
      </c>
    </row>
    <row r="59" spans="13:19" x14ac:dyDescent="0.25">
      <c r="M59" s="46"/>
      <c r="N59" s="46"/>
      <c r="O59" s="46"/>
      <c r="P59" s="46"/>
      <c r="R59" s="15">
        <v>1.54E-2</v>
      </c>
      <c r="S59" s="18">
        <f>(Tabela25[[#This Row],[FRETE]]+Tabela25[[#This Row],[DESPESAS]]+Tabela25[[#This Row],[IPI]]+Tabela25[[#This Row],[Vl. Produto]])*Tabela25[[#This Row],[Aliq.%]]</f>
        <v>0</v>
      </c>
    </row>
    <row r="60" spans="13:19" x14ac:dyDescent="0.25">
      <c r="M60" s="46"/>
      <c r="N60" s="46"/>
      <c r="O60" s="46"/>
      <c r="P60" s="46"/>
      <c r="R60" s="15">
        <v>1.54E-2</v>
      </c>
      <c r="S60" s="18">
        <f>(Tabela25[[#This Row],[FRETE]]+Tabela25[[#This Row],[DESPESAS]]+Tabela25[[#This Row],[IPI]]+Tabela25[[#This Row],[Vl. Produto]])*Tabela25[[#This Row],[Aliq.%]]</f>
        <v>0</v>
      </c>
    </row>
    <row r="61" spans="13:19" x14ac:dyDescent="0.25">
      <c r="M61" s="46"/>
      <c r="N61" s="46"/>
      <c r="O61" s="46"/>
      <c r="P61" s="46"/>
      <c r="R61" s="15">
        <v>1.54E-2</v>
      </c>
      <c r="S61" s="18">
        <f>(Tabela25[[#This Row],[FRETE]]+Tabela25[[#This Row],[DESPESAS]]+Tabela25[[#This Row],[IPI]]+Tabela25[[#This Row],[Vl. Produto]])*Tabela25[[#This Row],[Aliq.%]]</f>
        <v>0</v>
      </c>
    </row>
    <row r="62" spans="13:19" x14ac:dyDescent="0.25">
      <c r="M62" s="46"/>
      <c r="N62" s="46"/>
      <c r="O62" s="46"/>
      <c r="P62" s="46"/>
      <c r="R62" s="15">
        <v>1.54E-2</v>
      </c>
      <c r="S62" s="18">
        <f>(Tabela25[[#This Row],[FRETE]]+Tabela25[[#This Row],[DESPESAS]]+Tabela25[[#This Row],[IPI]]+Tabela25[[#This Row],[Vl. Produto]])*Tabela25[[#This Row],[Aliq.%]]</f>
        <v>0</v>
      </c>
    </row>
    <row r="63" spans="13:19" x14ac:dyDescent="0.25">
      <c r="M63" s="46"/>
      <c r="N63" s="46"/>
      <c r="O63" s="46"/>
      <c r="P63" s="46"/>
      <c r="R63" s="15">
        <v>1.54E-2</v>
      </c>
      <c r="S63" s="18">
        <f>(Tabela25[[#This Row],[FRETE]]+Tabela25[[#This Row],[DESPESAS]]+Tabela25[[#This Row],[IPI]]+Tabela25[[#This Row],[Vl. Produto]])*Tabela25[[#This Row],[Aliq.%]]</f>
        <v>0</v>
      </c>
    </row>
    <row r="64" spans="13:19" x14ac:dyDescent="0.25">
      <c r="M64" s="46"/>
      <c r="N64" s="46"/>
      <c r="O64" s="46"/>
      <c r="P64" s="46"/>
      <c r="R64" s="15">
        <v>1.54E-2</v>
      </c>
      <c r="S64" s="18">
        <f>(Tabela25[[#This Row],[FRETE]]+Tabela25[[#This Row],[DESPESAS]]+Tabela25[[#This Row],[IPI]]+Tabela25[[#This Row],[Vl. Produto]])*Tabela25[[#This Row],[Aliq.%]]</f>
        <v>0</v>
      </c>
    </row>
    <row r="65" spans="13:19" x14ac:dyDescent="0.25">
      <c r="M65" s="46"/>
      <c r="N65" s="46"/>
      <c r="O65" s="46"/>
      <c r="P65" s="46"/>
      <c r="R65" s="15">
        <v>1.54E-2</v>
      </c>
      <c r="S65" s="18">
        <f>(Tabela25[[#This Row],[FRETE]]+Tabela25[[#This Row],[DESPESAS]]+Tabela25[[#This Row],[IPI]]+Tabela25[[#This Row],[Vl. Produto]])*Tabela25[[#This Row],[Aliq.%]]</f>
        <v>0</v>
      </c>
    </row>
    <row r="66" spans="13:19" x14ac:dyDescent="0.25">
      <c r="M66" s="46"/>
      <c r="N66" s="46"/>
      <c r="O66" s="46"/>
      <c r="P66" s="46"/>
      <c r="R66" s="15">
        <v>1.54E-2</v>
      </c>
      <c r="S66" s="18">
        <f>(Tabela25[[#This Row],[FRETE]]+Tabela25[[#This Row],[DESPESAS]]+Tabela25[[#This Row],[IPI]]+Tabela25[[#This Row],[Vl. Produto]])*Tabela25[[#This Row],[Aliq.%]]</f>
        <v>0</v>
      </c>
    </row>
    <row r="67" spans="13:19" x14ac:dyDescent="0.25">
      <c r="M67" s="46"/>
      <c r="N67" s="46"/>
      <c r="O67" s="46"/>
      <c r="P67" s="46"/>
      <c r="R67" s="15">
        <v>1.54E-2</v>
      </c>
      <c r="S67" s="18">
        <f>(Tabela25[[#This Row],[FRETE]]+Tabela25[[#This Row],[DESPESAS]]+Tabela25[[#This Row],[IPI]]+Tabela25[[#This Row],[Vl. Produto]])*Tabela25[[#This Row],[Aliq.%]]</f>
        <v>0</v>
      </c>
    </row>
    <row r="68" spans="13:19" x14ac:dyDescent="0.25">
      <c r="M68" s="46"/>
      <c r="N68" s="46"/>
      <c r="O68" s="46"/>
      <c r="P68" s="46"/>
      <c r="R68" s="15">
        <v>1.54E-2</v>
      </c>
      <c r="S68" s="18">
        <f>(Tabela25[[#This Row],[FRETE]]+Tabela25[[#This Row],[DESPESAS]]+Tabela25[[#This Row],[IPI]]+Tabela25[[#This Row],[Vl. Produto]])*Tabela25[[#This Row],[Aliq.%]]</f>
        <v>0</v>
      </c>
    </row>
    <row r="69" spans="13:19" x14ac:dyDescent="0.25">
      <c r="M69" s="46"/>
      <c r="N69" s="46"/>
      <c r="O69" s="46"/>
      <c r="P69" s="46"/>
      <c r="R69" s="15">
        <v>1.54E-2</v>
      </c>
      <c r="S69" s="18">
        <f>(Tabela25[[#This Row],[FRETE]]+Tabela25[[#This Row],[DESPESAS]]+Tabela25[[#This Row],[IPI]]+Tabela25[[#This Row],[Vl. Produto]])*Tabela25[[#This Row],[Aliq.%]]</f>
        <v>0</v>
      </c>
    </row>
    <row r="70" spans="13:19" x14ac:dyDescent="0.25">
      <c r="M70" s="46"/>
      <c r="N70" s="46"/>
      <c r="O70" s="46"/>
      <c r="P70" s="46"/>
      <c r="R70" s="15">
        <v>1.54E-2</v>
      </c>
      <c r="S70" s="18">
        <f>(Tabela25[[#This Row],[FRETE]]+Tabela25[[#This Row],[DESPESAS]]+Tabela25[[#This Row],[IPI]]+Tabela25[[#This Row],[Vl. Produto]])*Tabela25[[#This Row],[Aliq.%]]</f>
        <v>0</v>
      </c>
    </row>
    <row r="71" spans="13:19" x14ac:dyDescent="0.25">
      <c r="M71" s="46"/>
      <c r="N71" s="46"/>
      <c r="O71" s="46"/>
      <c r="P71" s="46"/>
      <c r="R71" s="15">
        <v>1.54E-2</v>
      </c>
      <c r="S71" s="18">
        <f>(Tabela25[[#This Row],[FRETE]]+Tabela25[[#This Row],[DESPESAS]]+Tabela25[[#This Row],[IPI]]+Tabela25[[#This Row],[Vl. Produto]])*Tabela25[[#This Row],[Aliq.%]]</f>
        <v>0</v>
      </c>
    </row>
    <row r="72" spans="13:19" x14ac:dyDescent="0.25">
      <c r="M72" s="46"/>
      <c r="N72" s="46"/>
      <c r="O72" s="46"/>
      <c r="P72" s="46"/>
      <c r="R72" s="15">
        <v>1.54E-2</v>
      </c>
      <c r="S72" s="18">
        <f>(Tabela25[[#This Row],[FRETE]]+Tabela25[[#This Row],[DESPESAS]]+Tabela25[[#This Row],[IPI]]+Tabela25[[#This Row],[Vl. Produto]])*Tabela25[[#This Row],[Aliq.%]]</f>
        <v>0</v>
      </c>
    </row>
    <row r="73" spans="13:19" x14ac:dyDescent="0.25">
      <c r="M73" s="46"/>
      <c r="N73" s="46"/>
      <c r="O73" s="46"/>
      <c r="P73" s="46"/>
      <c r="R73" s="15">
        <v>1.54E-2</v>
      </c>
      <c r="S73" s="18">
        <f>(Tabela25[[#This Row],[FRETE]]+Tabela25[[#This Row],[DESPESAS]]+Tabela25[[#This Row],[IPI]]+Tabela25[[#This Row],[Vl. Produto]])*Tabela25[[#This Row],[Aliq.%]]</f>
        <v>0</v>
      </c>
    </row>
    <row r="74" spans="13:19" x14ac:dyDescent="0.25">
      <c r="M74" s="46"/>
      <c r="N74" s="46"/>
      <c r="O74" s="46"/>
      <c r="P74" s="46"/>
      <c r="R74" s="15">
        <v>1.54E-2</v>
      </c>
      <c r="S74" s="18">
        <f>(Tabela25[[#This Row],[FRETE]]+Tabela25[[#This Row],[DESPESAS]]+Tabela25[[#This Row],[IPI]]+Tabela25[[#This Row],[Vl. Produto]])*Tabela25[[#This Row],[Aliq.%]]</f>
        <v>0</v>
      </c>
    </row>
    <row r="75" spans="13:19" x14ac:dyDescent="0.25">
      <c r="M75" s="46"/>
      <c r="N75" s="46"/>
      <c r="O75" s="46"/>
      <c r="P75" s="46"/>
      <c r="R75" s="15">
        <v>1.54E-2</v>
      </c>
      <c r="S75" s="18">
        <f>(Tabela25[[#This Row],[FRETE]]+Tabela25[[#This Row],[DESPESAS]]+Tabela25[[#This Row],[IPI]]+Tabela25[[#This Row],[Vl. Produto]])*Tabela25[[#This Row],[Aliq.%]]</f>
        <v>0</v>
      </c>
    </row>
    <row r="76" spans="13:19" x14ac:dyDescent="0.25">
      <c r="M76" s="46"/>
      <c r="N76" s="46"/>
      <c r="O76" s="46"/>
      <c r="P76" s="46"/>
      <c r="R76" s="15">
        <v>1.54E-2</v>
      </c>
      <c r="S76" s="18">
        <f>(Tabela25[[#This Row],[FRETE]]+Tabela25[[#This Row],[DESPESAS]]+Tabela25[[#This Row],[IPI]]+Tabela25[[#This Row],[Vl. Produto]])*Tabela25[[#This Row],[Aliq.%]]</f>
        <v>0</v>
      </c>
    </row>
    <row r="77" spans="13:19" x14ac:dyDescent="0.25">
      <c r="M77" s="46"/>
      <c r="N77" s="46"/>
      <c r="O77" s="46"/>
      <c r="P77" s="46"/>
      <c r="R77" s="15">
        <v>1.54E-2</v>
      </c>
      <c r="S77" s="18">
        <f>(Tabela25[[#This Row],[FRETE]]+Tabela25[[#This Row],[DESPESAS]]+Tabela25[[#This Row],[IPI]]+Tabela25[[#This Row],[Vl. Produto]])*Tabela25[[#This Row],[Aliq.%]]</f>
        <v>0</v>
      </c>
    </row>
    <row r="78" spans="13:19" x14ac:dyDescent="0.25">
      <c r="M78" s="46"/>
      <c r="N78" s="46"/>
      <c r="O78" s="46"/>
      <c r="P78" s="46"/>
      <c r="R78" s="15">
        <v>1.54E-2</v>
      </c>
      <c r="S78" s="18">
        <f>(Tabela25[[#This Row],[FRETE]]+Tabela25[[#This Row],[DESPESAS]]+Tabela25[[#This Row],[IPI]]+Tabela25[[#This Row],[Vl. Produto]])*Tabela25[[#This Row],[Aliq.%]]</f>
        <v>0</v>
      </c>
    </row>
    <row r="79" spans="13:19" x14ac:dyDescent="0.25">
      <c r="M79" s="46"/>
      <c r="N79" s="46"/>
      <c r="O79" s="46"/>
      <c r="P79" s="46"/>
      <c r="R79" s="15">
        <v>1.54E-2</v>
      </c>
      <c r="S79" s="18">
        <f>(Tabela25[[#This Row],[FRETE]]+Tabela25[[#This Row],[DESPESAS]]+Tabela25[[#This Row],[IPI]]+Tabela25[[#This Row],[Vl. Produto]])*Tabela25[[#This Row],[Aliq.%]]</f>
        <v>0</v>
      </c>
    </row>
    <row r="80" spans="13:19" x14ac:dyDescent="0.25">
      <c r="M80" s="46"/>
      <c r="N80" s="46"/>
      <c r="O80" s="46"/>
      <c r="P80" s="46"/>
      <c r="R80" s="15">
        <v>1.54E-2</v>
      </c>
      <c r="S80" s="18">
        <f>(Tabela25[[#This Row],[FRETE]]+Tabela25[[#This Row],[DESPESAS]]+Tabela25[[#This Row],[IPI]]+Tabela25[[#This Row],[Vl. Produto]])*Tabela25[[#This Row],[Aliq.%]]</f>
        <v>0</v>
      </c>
    </row>
    <row r="81" spans="13:19" x14ac:dyDescent="0.25">
      <c r="M81" s="46"/>
      <c r="N81" s="46"/>
      <c r="O81" s="46"/>
      <c r="P81" s="46"/>
      <c r="R81" s="15">
        <v>1.54E-2</v>
      </c>
      <c r="S81" s="18">
        <f>(Tabela25[[#This Row],[FRETE]]+Tabela25[[#This Row],[DESPESAS]]+Tabela25[[#This Row],[IPI]]+Tabela25[[#This Row],[Vl. Produto]])*Tabela25[[#This Row],[Aliq.%]]</f>
        <v>0</v>
      </c>
    </row>
    <row r="82" spans="13:19" x14ac:dyDescent="0.25">
      <c r="M82" s="46"/>
      <c r="N82" s="46"/>
      <c r="O82" s="46"/>
      <c r="P82" s="46"/>
      <c r="R82" s="15">
        <v>1.54E-2</v>
      </c>
      <c r="S82" s="18">
        <f>(Tabela25[[#This Row],[FRETE]]+Tabela25[[#This Row],[DESPESAS]]+Tabela25[[#This Row],[IPI]]+Tabela25[[#This Row],[Vl. Produto]])*Tabela25[[#This Row],[Aliq.%]]</f>
        <v>0</v>
      </c>
    </row>
    <row r="83" spans="13:19" x14ac:dyDescent="0.25">
      <c r="M83" s="46"/>
      <c r="N83" s="46"/>
      <c r="O83" s="46"/>
      <c r="P83" s="46"/>
      <c r="R83" s="15">
        <v>1.54E-2</v>
      </c>
      <c r="S83" s="18">
        <f>(Tabela25[[#This Row],[FRETE]]+Tabela25[[#This Row],[DESPESAS]]+Tabela25[[#This Row],[IPI]]+Tabela25[[#This Row],[Vl. Produto]])*Tabela25[[#This Row],[Aliq.%]]</f>
        <v>0</v>
      </c>
    </row>
    <row r="84" spans="13:19" x14ac:dyDescent="0.25">
      <c r="M84" s="46"/>
      <c r="N84" s="46"/>
      <c r="O84" s="46"/>
      <c r="P84" s="46"/>
      <c r="R84" s="15">
        <v>1.54E-2</v>
      </c>
      <c r="S84" s="18">
        <f>(Tabela25[[#This Row],[FRETE]]+Tabela25[[#This Row],[DESPESAS]]+Tabela25[[#This Row],[IPI]]+Tabela25[[#This Row],[Vl. Produto]])*Tabela25[[#This Row],[Aliq.%]]</f>
        <v>0</v>
      </c>
    </row>
    <row r="85" spans="13:19" x14ac:dyDescent="0.25">
      <c r="M85" s="46"/>
      <c r="N85" s="46"/>
      <c r="O85" s="46"/>
      <c r="P85" s="46"/>
      <c r="R85" s="15">
        <v>1.54E-2</v>
      </c>
      <c r="S85" s="18">
        <f>(Tabela25[[#This Row],[FRETE]]+Tabela25[[#This Row],[DESPESAS]]+Tabela25[[#This Row],[IPI]]+Tabela25[[#This Row],[Vl. Produto]])*Tabela25[[#This Row],[Aliq.%]]</f>
        <v>0</v>
      </c>
    </row>
    <row r="86" spans="13:19" x14ac:dyDescent="0.25">
      <c r="M86" s="46"/>
      <c r="N86" s="46"/>
      <c r="O86" s="46"/>
      <c r="P86" s="46"/>
      <c r="R86" s="15">
        <v>1.54E-2</v>
      </c>
      <c r="S86" s="18">
        <f>(Tabela25[[#This Row],[FRETE]]+Tabela25[[#This Row],[DESPESAS]]+Tabela25[[#This Row],[IPI]]+Tabela25[[#This Row],[Vl. Produto]])*Tabela25[[#This Row],[Aliq.%]]</f>
        <v>0</v>
      </c>
    </row>
    <row r="87" spans="13:19" x14ac:dyDescent="0.25">
      <c r="M87" s="46"/>
      <c r="N87" s="46"/>
      <c r="O87" s="46"/>
      <c r="P87" s="46"/>
      <c r="R87" s="15">
        <v>1.54E-2</v>
      </c>
      <c r="S87" s="18">
        <f>(Tabela25[[#This Row],[FRETE]]+Tabela25[[#This Row],[DESPESAS]]+Tabela25[[#This Row],[IPI]]+Tabela25[[#This Row],[Vl. Produto]])*Tabela25[[#This Row],[Aliq.%]]</f>
        <v>0</v>
      </c>
    </row>
    <row r="88" spans="13:19" x14ac:dyDescent="0.25">
      <c r="M88" s="46"/>
      <c r="N88" s="46"/>
      <c r="O88" s="46"/>
      <c r="P88" s="46"/>
      <c r="R88" s="15">
        <v>1.54E-2</v>
      </c>
      <c r="S88" s="18">
        <f>(Tabela25[[#This Row],[FRETE]]+Tabela25[[#This Row],[DESPESAS]]+Tabela25[[#This Row],[IPI]]+Tabela25[[#This Row],[Vl. Produto]])*Tabela25[[#This Row],[Aliq.%]]</f>
        <v>0</v>
      </c>
    </row>
    <row r="89" spans="13:19" x14ac:dyDescent="0.25">
      <c r="M89" s="46"/>
      <c r="N89" s="46"/>
      <c r="O89" s="46"/>
      <c r="P89" s="46"/>
      <c r="R89" s="15">
        <v>1.54E-2</v>
      </c>
      <c r="S89" s="18">
        <f>(Tabela25[[#This Row],[FRETE]]+Tabela25[[#This Row],[DESPESAS]]+Tabela25[[#This Row],[IPI]]+Tabela25[[#This Row],[Vl. Produto]])*Tabela25[[#This Row],[Aliq.%]]</f>
        <v>0</v>
      </c>
    </row>
    <row r="90" spans="13:19" x14ac:dyDescent="0.25">
      <c r="M90" s="46"/>
      <c r="N90" s="46"/>
      <c r="O90" s="46"/>
      <c r="P90" s="46"/>
      <c r="R90" s="15">
        <v>1.54E-2</v>
      </c>
      <c r="S90" s="18">
        <f>(Tabela25[[#This Row],[FRETE]]+Tabela25[[#This Row],[DESPESAS]]+Tabela25[[#This Row],[IPI]]+Tabela25[[#This Row],[Vl. Produto]])*Tabela25[[#This Row],[Aliq.%]]</f>
        <v>0</v>
      </c>
    </row>
    <row r="91" spans="13:19" x14ac:dyDescent="0.25">
      <c r="M91" s="46"/>
      <c r="N91" s="46"/>
      <c r="O91" s="46"/>
      <c r="P91" s="46"/>
      <c r="R91" s="15">
        <v>1.54E-2</v>
      </c>
      <c r="S91" s="18">
        <f>(Tabela25[[#This Row],[FRETE]]+Tabela25[[#This Row],[DESPESAS]]+Tabela25[[#This Row],[IPI]]+Tabela25[[#This Row],[Vl. Produto]])*Tabela25[[#This Row],[Aliq.%]]</f>
        <v>0</v>
      </c>
    </row>
    <row r="92" spans="13:19" x14ac:dyDescent="0.25">
      <c r="M92" s="46"/>
      <c r="N92" s="46"/>
      <c r="O92" s="46"/>
      <c r="P92" s="46"/>
      <c r="R92" s="15">
        <v>1.54E-2</v>
      </c>
      <c r="S92" s="18">
        <f>(Tabela25[[#This Row],[FRETE]]+Tabela25[[#This Row],[DESPESAS]]+Tabela25[[#This Row],[IPI]]+Tabela25[[#This Row],[Vl. Produto]])*Tabela25[[#This Row],[Aliq.%]]</f>
        <v>0</v>
      </c>
    </row>
    <row r="93" spans="13:19" x14ac:dyDescent="0.25">
      <c r="M93" s="46"/>
      <c r="N93" s="46"/>
      <c r="O93" s="46"/>
      <c r="P93" s="46"/>
      <c r="R93" s="15">
        <v>1.54E-2</v>
      </c>
      <c r="S93" s="18">
        <f>(Tabela25[[#This Row],[FRETE]]+Tabela25[[#This Row],[DESPESAS]]+Tabela25[[#This Row],[IPI]]+Tabela25[[#This Row],[Vl. Produto]])*Tabela25[[#This Row],[Aliq.%]]</f>
        <v>0</v>
      </c>
    </row>
    <row r="94" spans="13:19" x14ac:dyDescent="0.25">
      <c r="M94" s="46"/>
      <c r="N94" s="46"/>
      <c r="O94" s="46"/>
      <c r="P94" s="46"/>
      <c r="R94" s="15">
        <v>1.54E-2</v>
      </c>
      <c r="S94" s="18">
        <f>(Tabela25[[#This Row],[FRETE]]+Tabela25[[#This Row],[DESPESAS]]+Tabela25[[#This Row],[IPI]]+Tabela25[[#This Row],[Vl. Produto]])*Tabela25[[#This Row],[Aliq.%]]</f>
        <v>0</v>
      </c>
    </row>
    <row r="95" spans="13:19" x14ac:dyDescent="0.25">
      <c r="M95" s="46"/>
      <c r="N95" s="46"/>
      <c r="O95" s="46"/>
      <c r="P95" s="46"/>
      <c r="R95" s="15">
        <v>1.54E-2</v>
      </c>
      <c r="S95" s="18">
        <f>(Tabela25[[#This Row],[FRETE]]+Tabela25[[#This Row],[DESPESAS]]+Tabela25[[#This Row],[IPI]]+Tabela25[[#This Row],[Vl. Produto]])*Tabela25[[#This Row],[Aliq.%]]</f>
        <v>0</v>
      </c>
    </row>
    <row r="96" spans="13:19" x14ac:dyDescent="0.25">
      <c r="M96" s="46"/>
      <c r="N96" s="46"/>
      <c r="O96" s="46"/>
      <c r="P96" s="46"/>
      <c r="R96" s="15">
        <v>1.54E-2</v>
      </c>
      <c r="S96" s="18">
        <f>(Tabela25[[#This Row],[FRETE]]+Tabela25[[#This Row],[DESPESAS]]+Tabela25[[#This Row],[IPI]]+Tabela25[[#This Row],[Vl. Produto]])*Tabela25[[#This Row],[Aliq.%]]</f>
        <v>0</v>
      </c>
    </row>
    <row r="97" spans="13:19" x14ac:dyDescent="0.25">
      <c r="M97" s="46"/>
      <c r="N97" s="46"/>
      <c r="O97" s="46"/>
      <c r="P97" s="46"/>
      <c r="R97" s="15">
        <v>1.54E-2</v>
      </c>
      <c r="S97" s="18">
        <f>(Tabela25[[#This Row],[FRETE]]+Tabela25[[#This Row],[DESPESAS]]+Tabela25[[#This Row],[IPI]]+Tabela25[[#This Row],[Vl. Produto]])*Tabela25[[#This Row],[Aliq.%]]</f>
        <v>0</v>
      </c>
    </row>
    <row r="98" spans="13:19" x14ac:dyDescent="0.25">
      <c r="M98" s="46"/>
      <c r="N98" s="46"/>
      <c r="O98" s="46"/>
      <c r="P98" s="46"/>
      <c r="R98" s="15">
        <v>1.54E-2</v>
      </c>
      <c r="S98" s="18">
        <f>(Tabela25[[#This Row],[FRETE]]+Tabela25[[#This Row],[DESPESAS]]+Tabela25[[#This Row],[IPI]]+Tabela25[[#This Row],[Vl. Produto]])*Tabela25[[#This Row],[Aliq.%]]</f>
        <v>0</v>
      </c>
    </row>
    <row r="99" spans="13:19" x14ac:dyDescent="0.25">
      <c r="M99" s="46"/>
      <c r="N99" s="46"/>
      <c r="O99" s="46"/>
      <c r="P99" s="46"/>
      <c r="R99" s="15">
        <v>1.54E-2</v>
      </c>
      <c r="S99" s="18">
        <f>(Tabela25[[#This Row],[FRETE]]+Tabela25[[#This Row],[DESPESAS]]+Tabela25[[#This Row],[IPI]]+Tabela25[[#This Row],[Vl. Produto]])*Tabela25[[#This Row],[Aliq.%]]</f>
        <v>0</v>
      </c>
    </row>
    <row r="100" spans="13:19" x14ac:dyDescent="0.25">
      <c r="M100" s="46"/>
      <c r="N100" s="46"/>
      <c r="O100" s="46"/>
      <c r="P100" s="46"/>
      <c r="R100" s="15">
        <v>1.54E-2</v>
      </c>
      <c r="S100" s="18">
        <f>(Tabela25[[#This Row],[FRETE]]+Tabela25[[#This Row],[DESPESAS]]+Tabela25[[#This Row],[IPI]]+Tabela25[[#This Row],[Vl. Produto]])*Tabela25[[#This Row],[Aliq.%]]</f>
        <v>0</v>
      </c>
    </row>
    <row r="101" spans="13:19" x14ac:dyDescent="0.25">
      <c r="M101" s="46"/>
      <c r="N101" s="46"/>
      <c r="O101" s="46"/>
      <c r="P101" s="46"/>
      <c r="R101" s="15">
        <v>1.54E-2</v>
      </c>
      <c r="S101" s="18">
        <f>(Tabela25[[#This Row],[FRETE]]+Tabela25[[#This Row],[DESPESAS]]+Tabela25[[#This Row],[IPI]]+Tabela25[[#This Row],[Vl. Produto]])*Tabela25[[#This Row],[Aliq.%]]</f>
        <v>0</v>
      </c>
    </row>
    <row r="102" spans="13:19" x14ac:dyDescent="0.25">
      <c r="M102" s="46"/>
      <c r="N102" s="46"/>
      <c r="O102" s="46"/>
      <c r="P102" s="46"/>
      <c r="R102" s="15">
        <v>1.54E-2</v>
      </c>
      <c r="S102" s="18">
        <f>(Tabela25[[#This Row],[FRETE]]+Tabela25[[#This Row],[DESPESAS]]+Tabela25[[#This Row],[IPI]]+Tabela25[[#This Row],[Vl. Produto]])*Tabela25[[#This Row],[Aliq.%]]</f>
        <v>0</v>
      </c>
    </row>
    <row r="103" spans="13:19" x14ac:dyDescent="0.25">
      <c r="M103" s="46"/>
      <c r="N103" s="46"/>
      <c r="O103" s="46"/>
      <c r="P103" s="46"/>
      <c r="R103" s="15">
        <v>1.54E-2</v>
      </c>
      <c r="S103" s="18">
        <f>(Tabela25[[#This Row],[FRETE]]+Tabela25[[#This Row],[DESPESAS]]+Tabela25[[#This Row],[IPI]]+Tabela25[[#This Row],[Vl. Produto]])*Tabela25[[#This Row],[Aliq.%]]</f>
        <v>0</v>
      </c>
    </row>
    <row r="104" spans="13:19" x14ac:dyDescent="0.25">
      <c r="M104" s="46"/>
      <c r="N104" s="46"/>
      <c r="O104" s="46"/>
      <c r="P104" s="46"/>
      <c r="R104" s="15">
        <v>1.54E-2</v>
      </c>
      <c r="S104" s="18">
        <f>(Tabela25[[#This Row],[FRETE]]+Tabela25[[#This Row],[DESPESAS]]+Tabela25[[#This Row],[IPI]]+Tabela25[[#This Row],[Vl. Produto]])*Tabela25[[#This Row],[Aliq.%]]</f>
        <v>0</v>
      </c>
    </row>
    <row r="105" spans="13:19" x14ac:dyDescent="0.25">
      <c r="M105" s="46"/>
      <c r="N105" s="46"/>
      <c r="O105" s="46"/>
      <c r="P105" s="46"/>
      <c r="R105" s="15">
        <v>1.54E-2</v>
      </c>
      <c r="S105" s="18">
        <f>(Tabela25[[#This Row],[FRETE]]+Tabela25[[#This Row],[DESPESAS]]+Tabela25[[#This Row],[IPI]]+Tabela25[[#This Row],[Vl. Produto]])*Tabela25[[#This Row],[Aliq.%]]</f>
        <v>0</v>
      </c>
    </row>
    <row r="106" spans="13:19" x14ac:dyDescent="0.25">
      <c r="M106" s="46"/>
      <c r="N106" s="46"/>
      <c r="O106" s="46"/>
      <c r="P106" s="46"/>
      <c r="R106" s="15">
        <v>1.54E-2</v>
      </c>
      <c r="S106" s="18">
        <f>(Tabela25[[#This Row],[FRETE]]+Tabela25[[#This Row],[DESPESAS]]+Tabela25[[#This Row],[IPI]]+Tabela25[[#This Row],[Vl. Produto]])*Tabela25[[#This Row],[Aliq.%]]</f>
        <v>0</v>
      </c>
    </row>
    <row r="107" spans="13:19" x14ac:dyDescent="0.25">
      <c r="M107" s="46"/>
      <c r="N107" s="46"/>
      <c r="O107" s="46"/>
      <c r="P107" s="46"/>
      <c r="R107" s="15">
        <v>1.54E-2</v>
      </c>
      <c r="S107" s="18">
        <f>(Tabela25[[#This Row],[FRETE]]+Tabela25[[#This Row],[DESPESAS]]+Tabela25[[#This Row],[IPI]]+Tabela25[[#This Row],[Vl. Produto]])*Tabela25[[#This Row],[Aliq.%]]</f>
        <v>0</v>
      </c>
    </row>
    <row r="108" spans="13:19" x14ac:dyDescent="0.25">
      <c r="M108" s="46"/>
      <c r="N108" s="46"/>
      <c r="O108" s="46"/>
      <c r="P108" s="46"/>
      <c r="R108" s="15">
        <v>1.54E-2</v>
      </c>
      <c r="S108" s="18">
        <f>(Tabela25[[#This Row],[FRETE]]+Tabela25[[#This Row],[DESPESAS]]+Tabela25[[#This Row],[IPI]]+Tabela25[[#This Row],[Vl. Produto]])*Tabela25[[#This Row],[Aliq.%]]</f>
        <v>0</v>
      </c>
    </row>
    <row r="109" spans="13:19" x14ac:dyDescent="0.25">
      <c r="M109" s="46"/>
      <c r="N109" s="46"/>
      <c r="O109" s="46"/>
      <c r="P109" s="46"/>
      <c r="R109" s="15">
        <v>1.54E-2</v>
      </c>
      <c r="S109" s="18">
        <f>(Tabela25[[#This Row],[FRETE]]+Tabela25[[#This Row],[DESPESAS]]+Tabela25[[#This Row],[IPI]]+Tabela25[[#This Row],[Vl. Produto]])*Tabela25[[#This Row],[Aliq.%]]</f>
        <v>0</v>
      </c>
    </row>
    <row r="110" spans="13:19" x14ac:dyDescent="0.25">
      <c r="M110" s="46"/>
      <c r="N110" s="46"/>
      <c r="O110" s="46"/>
      <c r="P110" s="46"/>
      <c r="R110" s="15">
        <v>1.54E-2</v>
      </c>
      <c r="S110" s="18">
        <f>(Tabela25[[#This Row],[FRETE]]+Tabela25[[#This Row],[DESPESAS]]+Tabela25[[#This Row],[IPI]]+Tabela25[[#This Row],[Vl. Produto]])*Tabela25[[#This Row],[Aliq.%]]</f>
        <v>0</v>
      </c>
    </row>
    <row r="111" spans="13:19" x14ac:dyDescent="0.25">
      <c r="M111" s="46"/>
      <c r="N111" s="46"/>
      <c r="O111" s="46"/>
      <c r="P111" s="46"/>
      <c r="R111" s="15">
        <v>1.54E-2</v>
      </c>
      <c r="S111" s="18">
        <f>(Tabela25[[#This Row],[FRETE]]+Tabela25[[#This Row],[DESPESAS]]+Tabela25[[#This Row],[IPI]]+Tabela25[[#This Row],[Vl. Produto]])*Tabela25[[#This Row],[Aliq.%]]</f>
        <v>0</v>
      </c>
    </row>
    <row r="112" spans="13:19" x14ac:dyDescent="0.25">
      <c r="M112" s="46"/>
      <c r="N112" s="46"/>
      <c r="O112" s="46"/>
      <c r="P112" s="46"/>
      <c r="R112" s="15">
        <v>1.54E-2</v>
      </c>
      <c r="S112" s="18">
        <f>(Tabela25[[#This Row],[FRETE]]+Tabela25[[#This Row],[DESPESAS]]+Tabela25[[#This Row],[IPI]]+Tabela25[[#This Row],[Vl. Produto]])*Tabela25[[#This Row],[Aliq.%]]</f>
        <v>0</v>
      </c>
    </row>
    <row r="113" spans="13:19" x14ac:dyDescent="0.25">
      <c r="M113" s="46"/>
      <c r="N113" s="46"/>
      <c r="O113" s="46"/>
      <c r="P113" s="46"/>
      <c r="R113" s="15">
        <v>1.54E-2</v>
      </c>
      <c r="S113" s="18">
        <f>(Tabela25[[#This Row],[FRETE]]+Tabela25[[#This Row],[DESPESAS]]+Tabela25[[#This Row],[IPI]]+Tabela25[[#This Row],[Vl. Produto]])*Tabela25[[#This Row],[Aliq.%]]</f>
        <v>0</v>
      </c>
    </row>
    <row r="114" spans="13:19" x14ac:dyDescent="0.25">
      <c r="M114" s="46"/>
      <c r="N114" s="46"/>
      <c r="O114" s="46"/>
      <c r="P114" s="46"/>
      <c r="R114" s="15">
        <v>1.54E-2</v>
      </c>
      <c r="S114" s="18">
        <f>(Tabela25[[#This Row],[FRETE]]+Tabela25[[#This Row],[DESPESAS]]+Tabela25[[#This Row],[IPI]]+Tabela25[[#This Row],[Vl. Produto]])*Tabela25[[#This Row],[Aliq.%]]</f>
        <v>0</v>
      </c>
    </row>
    <row r="115" spans="13:19" x14ac:dyDescent="0.25">
      <c r="M115" s="46"/>
      <c r="N115" s="46"/>
      <c r="O115" s="46"/>
      <c r="P115" s="46"/>
      <c r="R115" s="15">
        <v>1.54E-2</v>
      </c>
      <c r="S115" s="18">
        <f>(Tabela25[[#This Row],[FRETE]]+Tabela25[[#This Row],[DESPESAS]]+Tabela25[[#This Row],[IPI]]+Tabela25[[#This Row],[Vl. Produto]])*Tabela25[[#This Row],[Aliq.%]]</f>
        <v>0</v>
      </c>
    </row>
    <row r="116" spans="13:19" x14ac:dyDescent="0.25">
      <c r="M116" s="46"/>
      <c r="N116" s="46"/>
      <c r="O116" s="46"/>
      <c r="P116" s="46"/>
      <c r="R116" s="15">
        <v>1.54E-2</v>
      </c>
      <c r="S116" s="18">
        <f>(Tabela25[[#This Row],[FRETE]]+Tabela25[[#This Row],[DESPESAS]]+Tabela25[[#This Row],[IPI]]+Tabela25[[#This Row],[Vl. Produto]])*Tabela25[[#This Row],[Aliq.%]]</f>
        <v>0</v>
      </c>
    </row>
    <row r="117" spans="13:19" x14ac:dyDescent="0.25">
      <c r="M117" s="46"/>
      <c r="N117" s="46"/>
      <c r="O117" s="46"/>
      <c r="P117" s="46"/>
      <c r="R117" s="15">
        <v>1.54E-2</v>
      </c>
      <c r="S117" s="18">
        <f>(Tabela25[[#This Row],[FRETE]]+Tabela25[[#This Row],[DESPESAS]]+Tabela25[[#This Row],[IPI]]+Tabela25[[#This Row],[Vl. Produto]])*Tabela25[[#This Row],[Aliq.%]]</f>
        <v>0</v>
      </c>
    </row>
    <row r="118" spans="13:19" x14ac:dyDescent="0.25">
      <c r="M118" s="46"/>
      <c r="N118" s="46"/>
      <c r="O118" s="46"/>
      <c r="P118" s="46"/>
      <c r="R118" s="15">
        <v>1.54E-2</v>
      </c>
      <c r="S118" s="18">
        <f>(Tabela25[[#This Row],[FRETE]]+Tabela25[[#This Row],[DESPESAS]]+Tabela25[[#This Row],[IPI]]+Tabela25[[#This Row],[Vl. Produto]])*Tabela25[[#This Row],[Aliq.%]]</f>
        <v>0</v>
      </c>
    </row>
    <row r="119" spans="13:19" x14ac:dyDescent="0.25">
      <c r="M119" s="46"/>
      <c r="N119" s="46"/>
      <c r="O119" s="46"/>
      <c r="P119" s="46"/>
      <c r="R119" s="15">
        <v>1.54E-2</v>
      </c>
      <c r="S119" s="18">
        <f>(Tabela25[[#This Row],[FRETE]]+Tabela25[[#This Row],[DESPESAS]]+Tabela25[[#This Row],[IPI]]+Tabela25[[#This Row],[Vl. Produto]])*Tabela25[[#This Row],[Aliq.%]]</f>
        <v>0</v>
      </c>
    </row>
    <row r="120" spans="13:19" x14ac:dyDescent="0.25">
      <c r="M120" s="46"/>
      <c r="N120" s="46"/>
      <c r="O120" s="46"/>
      <c r="P120" s="46"/>
      <c r="R120" s="15">
        <v>1.54E-2</v>
      </c>
      <c r="S120" s="18">
        <f>(Tabela25[[#This Row],[FRETE]]+Tabela25[[#This Row],[DESPESAS]]+Tabela25[[#This Row],[IPI]]+Tabela25[[#This Row],[Vl. Produto]])*Tabela25[[#This Row],[Aliq.%]]</f>
        <v>0</v>
      </c>
    </row>
    <row r="121" spans="13:19" x14ac:dyDescent="0.25">
      <c r="M121" s="46"/>
      <c r="N121" s="46"/>
      <c r="O121" s="46"/>
      <c r="P121" s="46"/>
      <c r="R121" s="15">
        <v>1.54E-2</v>
      </c>
      <c r="S121" s="18">
        <f>(Tabela25[[#This Row],[FRETE]]+Tabela25[[#This Row],[DESPESAS]]+Tabela25[[#This Row],[IPI]]+Tabela25[[#This Row],[Vl. Produto]])*Tabela25[[#This Row],[Aliq.%]]</f>
        <v>0</v>
      </c>
    </row>
    <row r="122" spans="13:19" x14ac:dyDescent="0.25">
      <c r="M122" s="46"/>
      <c r="N122" s="46"/>
      <c r="O122" s="46"/>
      <c r="P122" s="46"/>
      <c r="R122" s="15">
        <v>1.54E-2</v>
      </c>
      <c r="S122" s="18">
        <f>(Tabela25[[#This Row],[FRETE]]+Tabela25[[#This Row],[DESPESAS]]+Tabela25[[#This Row],[IPI]]+Tabela25[[#This Row],[Vl. Produto]])*Tabela25[[#This Row],[Aliq.%]]</f>
        <v>0</v>
      </c>
    </row>
    <row r="123" spans="13:19" x14ac:dyDescent="0.25">
      <c r="M123" s="46"/>
      <c r="N123" s="46"/>
      <c r="O123" s="46"/>
      <c r="P123" s="46"/>
      <c r="R123" s="15">
        <v>1.54E-2</v>
      </c>
      <c r="S123" s="18">
        <f>(Tabela25[[#This Row],[FRETE]]+Tabela25[[#This Row],[DESPESAS]]+Tabela25[[#This Row],[IPI]]+Tabela25[[#This Row],[Vl. Produto]])*Tabela25[[#This Row],[Aliq.%]]</f>
        <v>0</v>
      </c>
    </row>
    <row r="124" spans="13:19" x14ac:dyDescent="0.25">
      <c r="M124" s="46"/>
      <c r="N124" s="46"/>
      <c r="O124" s="46"/>
      <c r="P124" s="46"/>
      <c r="R124" s="15">
        <v>1.54E-2</v>
      </c>
      <c r="S124" s="18">
        <f>(Tabela25[[#This Row],[FRETE]]+Tabela25[[#This Row],[DESPESAS]]+Tabela25[[#This Row],[IPI]]+Tabela25[[#This Row],[Vl. Produto]])*Tabela25[[#This Row],[Aliq.%]]</f>
        <v>0</v>
      </c>
    </row>
    <row r="125" spans="13:19" x14ac:dyDescent="0.25">
      <c r="M125" s="46"/>
      <c r="N125" s="46"/>
      <c r="O125" s="46"/>
      <c r="P125" s="46"/>
      <c r="R125" s="15">
        <v>1.54E-2</v>
      </c>
      <c r="S125" s="18">
        <f>(Tabela25[[#This Row],[FRETE]]+Tabela25[[#This Row],[DESPESAS]]+Tabela25[[#This Row],[IPI]]+Tabela25[[#This Row],[Vl. Produto]])*Tabela25[[#This Row],[Aliq.%]]</f>
        <v>0</v>
      </c>
    </row>
    <row r="126" spans="13:19" x14ac:dyDescent="0.25">
      <c r="M126" s="46"/>
      <c r="N126" s="46"/>
      <c r="O126" s="46"/>
      <c r="P126" s="46"/>
      <c r="R126" s="15">
        <v>1.54E-2</v>
      </c>
      <c r="S126" s="18">
        <f>(Tabela25[[#This Row],[FRETE]]+Tabela25[[#This Row],[DESPESAS]]+Tabela25[[#This Row],[IPI]]+Tabela25[[#This Row],[Vl. Produto]])*Tabela25[[#This Row],[Aliq.%]]</f>
        <v>0</v>
      </c>
    </row>
    <row r="127" spans="13:19" x14ac:dyDescent="0.25">
      <c r="M127" s="46"/>
      <c r="N127" s="46"/>
      <c r="O127" s="46"/>
      <c r="P127" s="46"/>
      <c r="R127" s="15">
        <v>1.54E-2</v>
      </c>
      <c r="S127" s="18">
        <f>(Tabela25[[#This Row],[FRETE]]+Tabela25[[#This Row],[DESPESAS]]+Tabela25[[#This Row],[IPI]]+Tabela25[[#This Row],[Vl. Produto]])*Tabela25[[#This Row],[Aliq.%]]</f>
        <v>0</v>
      </c>
    </row>
    <row r="128" spans="13:19" x14ac:dyDescent="0.25">
      <c r="M128" s="46"/>
      <c r="N128" s="46"/>
      <c r="O128" s="46"/>
      <c r="P128" s="46"/>
      <c r="R128" s="15">
        <v>1.54E-2</v>
      </c>
      <c r="S128" s="18">
        <f>(Tabela25[[#This Row],[FRETE]]+Tabela25[[#This Row],[DESPESAS]]+Tabela25[[#This Row],[IPI]]+Tabela25[[#This Row],[Vl. Produto]])*Tabela25[[#This Row],[Aliq.%]]</f>
        <v>0</v>
      </c>
    </row>
    <row r="129" spans="13:19" x14ac:dyDescent="0.25">
      <c r="M129" s="46"/>
      <c r="N129" s="46"/>
      <c r="O129" s="46"/>
      <c r="P129" s="46"/>
      <c r="R129" s="15">
        <v>1.54E-2</v>
      </c>
      <c r="S129" s="18">
        <f>(Tabela25[[#This Row],[FRETE]]+Tabela25[[#This Row],[DESPESAS]]+Tabela25[[#This Row],[IPI]]+Tabela25[[#This Row],[Vl. Produto]])*Tabela25[[#This Row],[Aliq.%]]</f>
        <v>0</v>
      </c>
    </row>
    <row r="130" spans="13:19" x14ac:dyDescent="0.25">
      <c r="M130" s="46"/>
      <c r="N130" s="46"/>
      <c r="O130" s="46"/>
      <c r="P130" s="46"/>
      <c r="R130" s="15">
        <v>1.54E-2</v>
      </c>
      <c r="S130" s="18">
        <f>(Tabela25[[#This Row],[FRETE]]+Tabela25[[#This Row],[DESPESAS]]+Tabela25[[#This Row],[IPI]]+Tabela25[[#This Row],[Vl. Produto]])*Tabela25[[#This Row],[Aliq.%]]</f>
        <v>0</v>
      </c>
    </row>
    <row r="131" spans="13:19" x14ac:dyDescent="0.25">
      <c r="M131" s="46"/>
      <c r="N131" s="46"/>
      <c r="O131" s="46"/>
      <c r="P131" s="46"/>
      <c r="R131" s="15">
        <v>1.54E-2</v>
      </c>
      <c r="S131" s="18">
        <f>(Tabela25[[#This Row],[FRETE]]+Tabela25[[#This Row],[DESPESAS]]+Tabela25[[#This Row],[IPI]]+Tabela25[[#This Row],[Vl. Produto]])*Tabela25[[#This Row],[Aliq.%]]</f>
        <v>0</v>
      </c>
    </row>
    <row r="132" spans="13:19" x14ac:dyDescent="0.25">
      <c r="M132" s="46"/>
      <c r="N132" s="46"/>
      <c r="O132" s="46"/>
      <c r="P132" s="46"/>
      <c r="R132" s="15">
        <v>1.54E-2</v>
      </c>
      <c r="S132" s="18">
        <f>(Tabela25[[#This Row],[FRETE]]+Tabela25[[#This Row],[DESPESAS]]+Tabela25[[#This Row],[IPI]]+Tabela25[[#This Row],[Vl. Produto]])*Tabela25[[#This Row],[Aliq.%]]</f>
        <v>0</v>
      </c>
    </row>
    <row r="133" spans="13:19" x14ac:dyDescent="0.25">
      <c r="M133" s="46"/>
      <c r="N133" s="46"/>
      <c r="O133" s="46"/>
      <c r="P133" s="46"/>
      <c r="R133" s="15">
        <v>1.54E-2</v>
      </c>
      <c r="S133" s="18">
        <f>(Tabela25[[#This Row],[FRETE]]+Tabela25[[#This Row],[DESPESAS]]+Tabela25[[#This Row],[IPI]]+Tabela25[[#This Row],[Vl. Produto]])*Tabela25[[#This Row],[Aliq.%]]</f>
        <v>0</v>
      </c>
    </row>
    <row r="134" spans="13:19" x14ac:dyDescent="0.25">
      <c r="M134" s="46"/>
      <c r="N134" s="46"/>
      <c r="O134" s="46"/>
      <c r="P134" s="46"/>
      <c r="R134" s="15">
        <v>1.54E-2</v>
      </c>
      <c r="S134" s="18">
        <f>(Tabela25[[#This Row],[FRETE]]+Tabela25[[#This Row],[DESPESAS]]+Tabela25[[#This Row],[IPI]]+Tabela25[[#This Row],[Vl. Produto]])*Tabela25[[#This Row],[Aliq.%]]</f>
        <v>0</v>
      </c>
    </row>
    <row r="135" spans="13:19" x14ac:dyDescent="0.25">
      <c r="M135" s="46"/>
      <c r="N135" s="46"/>
      <c r="O135" s="46"/>
      <c r="P135" s="46"/>
      <c r="R135" s="15">
        <v>1.54E-2</v>
      </c>
      <c r="S135" s="18">
        <f>(Tabela25[[#This Row],[FRETE]]+Tabela25[[#This Row],[DESPESAS]]+Tabela25[[#This Row],[IPI]]+Tabela25[[#This Row],[Vl. Produto]])*Tabela25[[#This Row],[Aliq.%]]</f>
        <v>0</v>
      </c>
    </row>
    <row r="136" spans="13:19" x14ac:dyDescent="0.25">
      <c r="M136" s="46"/>
      <c r="N136" s="46"/>
      <c r="O136" s="46"/>
      <c r="P136" s="46"/>
      <c r="R136" s="15">
        <v>1.54E-2</v>
      </c>
      <c r="S136" s="18">
        <f>(Tabela25[[#This Row],[FRETE]]+Tabela25[[#This Row],[DESPESAS]]+Tabela25[[#This Row],[IPI]]+Tabela25[[#This Row],[Vl. Produto]])*Tabela25[[#This Row],[Aliq.%]]</f>
        <v>0</v>
      </c>
    </row>
    <row r="137" spans="13:19" x14ac:dyDescent="0.25">
      <c r="M137" s="46"/>
      <c r="N137" s="46"/>
      <c r="O137" s="46"/>
      <c r="P137" s="46"/>
      <c r="R137" s="15">
        <v>1.54E-2</v>
      </c>
      <c r="S137" s="18">
        <f>(Tabela25[[#This Row],[FRETE]]+Tabela25[[#This Row],[DESPESAS]]+Tabela25[[#This Row],[IPI]]+Tabela25[[#This Row],[Vl. Produto]])*Tabela25[[#This Row],[Aliq.%]]</f>
        <v>0</v>
      </c>
    </row>
    <row r="138" spans="13:19" x14ac:dyDescent="0.25">
      <c r="M138" s="46"/>
      <c r="N138" s="46"/>
      <c r="O138" s="46"/>
      <c r="P138" s="46"/>
      <c r="R138" s="15">
        <v>1.54E-2</v>
      </c>
      <c r="S138" s="18">
        <f>(Tabela25[[#This Row],[FRETE]]+Tabela25[[#This Row],[DESPESAS]]+Tabela25[[#This Row],[IPI]]+Tabela25[[#This Row],[Vl. Produto]])*Tabela25[[#This Row],[Aliq.%]]</f>
        <v>0</v>
      </c>
    </row>
    <row r="139" spans="13:19" x14ac:dyDescent="0.25">
      <c r="M139" s="46"/>
      <c r="N139" s="46"/>
      <c r="O139" s="46"/>
      <c r="P139" s="46"/>
      <c r="R139" s="15">
        <v>1.54E-2</v>
      </c>
      <c r="S139" s="18">
        <f>(Tabela25[[#This Row],[FRETE]]+Tabela25[[#This Row],[DESPESAS]]+Tabela25[[#This Row],[IPI]]+Tabela25[[#This Row],[Vl. Produto]])*Tabela25[[#This Row],[Aliq.%]]</f>
        <v>0</v>
      </c>
    </row>
    <row r="140" spans="13:19" x14ac:dyDescent="0.25">
      <c r="M140" s="46"/>
      <c r="N140" s="46"/>
      <c r="O140" s="46"/>
      <c r="P140" s="46"/>
      <c r="R140" s="15">
        <v>1.54E-2</v>
      </c>
      <c r="S140" s="18">
        <f>(Tabela25[[#This Row],[FRETE]]+Tabela25[[#This Row],[DESPESAS]]+Tabela25[[#This Row],[IPI]]+Tabela25[[#This Row],[Vl. Produto]])*Tabela25[[#This Row],[Aliq.%]]</f>
        <v>0</v>
      </c>
    </row>
    <row r="141" spans="13:19" x14ac:dyDescent="0.25">
      <c r="M141" s="46"/>
      <c r="N141" s="46"/>
      <c r="O141" s="46"/>
      <c r="P141" s="46"/>
      <c r="R141" s="15">
        <v>1.54E-2</v>
      </c>
      <c r="S141" s="18">
        <f>(Tabela25[[#This Row],[FRETE]]+Tabela25[[#This Row],[DESPESAS]]+Tabela25[[#This Row],[IPI]]+Tabela25[[#This Row],[Vl. Produto]])*Tabela25[[#This Row],[Aliq.%]]</f>
        <v>0</v>
      </c>
    </row>
    <row r="142" spans="13:19" x14ac:dyDescent="0.25">
      <c r="M142" s="46"/>
      <c r="N142" s="46"/>
      <c r="O142" s="46"/>
      <c r="P142" s="46"/>
      <c r="R142" s="15">
        <v>1.54E-2</v>
      </c>
      <c r="S142" s="18">
        <f>(Tabela25[[#This Row],[FRETE]]+Tabela25[[#This Row],[DESPESAS]]+Tabela25[[#This Row],[IPI]]+Tabela25[[#This Row],[Vl. Produto]])*Tabela25[[#This Row],[Aliq.%]]</f>
        <v>0</v>
      </c>
    </row>
    <row r="143" spans="13:19" x14ac:dyDescent="0.25">
      <c r="M143" s="46"/>
      <c r="N143" s="46"/>
      <c r="O143" s="46"/>
      <c r="P143" s="46"/>
      <c r="R143" s="15">
        <v>1.54E-2</v>
      </c>
      <c r="S143" s="18">
        <f>(Tabela25[[#This Row],[FRETE]]+Tabela25[[#This Row],[DESPESAS]]+Tabela25[[#This Row],[IPI]]+Tabela25[[#This Row],[Vl. Produto]])*Tabela25[[#This Row],[Aliq.%]]</f>
        <v>0</v>
      </c>
    </row>
    <row r="144" spans="13:19" x14ac:dyDescent="0.25">
      <c r="M144" s="46"/>
      <c r="N144" s="46"/>
      <c r="O144" s="46"/>
      <c r="P144" s="46"/>
      <c r="R144" s="15">
        <v>1.54E-2</v>
      </c>
      <c r="S144" s="18">
        <f>(Tabela25[[#This Row],[FRETE]]+Tabela25[[#This Row],[DESPESAS]]+Tabela25[[#This Row],[IPI]]+Tabela25[[#This Row],[Vl. Produto]])*Tabela25[[#This Row],[Aliq.%]]</f>
        <v>0</v>
      </c>
    </row>
    <row r="145" spans="13:19" x14ac:dyDescent="0.25">
      <c r="M145" s="46"/>
      <c r="N145" s="46"/>
      <c r="O145" s="46"/>
      <c r="P145" s="46"/>
      <c r="R145" s="15">
        <v>1.54E-2</v>
      </c>
      <c r="S145" s="18">
        <f>(Tabela25[[#This Row],[FRETE]]+Tabela25[[#This Row],[DESPESAS]]+Tabela25[[#This Row],[IPI]]+Tabela25[[#This Row],[Vl. Produto]])*Tabela25[[#This Row],[Aliq.%]]</f>
        <v>0</v>
      </c>
    </row>
    <row r="146" spans="13:19" x14ac:dyDescent="0.25">
      <c r="M146" s="46"/>
      <c r="N146" s="46"/>
      <c r="O146" s="46"/>
      <c r="P146" s="46"/>
      <c r="R146" s="15">
        <v>1.54E-2</v>
      </c>
      <c r="S146" s="18">
        <f>(Tabela25[[#This Row],[FRETE]]+Tabela25[[#This Row],[DESPESAS]]+Tabela25[[#This Row],[IPI]]+Tabela25[[#This Row],[Vl. Produto]])*Tabela25[[#This Row],[Aliq.%]]</f>
        <v>0</v>
      </c>
    </row>
    <row r="147" spans="13:19" x14ac:dyDescent="0.25">
      <c r="M147" s="46"/>
      <c r="N147" s="46"/>
      <c r="O147" s="46"/>
      <c r="P147" s="46"/>
      <c r="R147" s="15">
        <v>1.54E-2</v>
      </c>
      <c r="S147" s="18">
        <f>(Tabela25[[#This Row],[FRETE]]+Tabela25[[#This Row],[DESPESAS]]+Tabela25[[#This Row],[IPI]]+Tabela25[[#This Row],[Vl. Produto]])*Tabela25[[#This Row],[Aliq.%]]</f>
        <v>0</v>
      </c>
    </row>
    <row r="148" spans="13:19" x14ac:dyDescent="0.25">
      <c r="M148" s="46"/>
      <c r="N148" s="46"/>
      <c r="O148" s="46"/>
      <c r="P148" s="46"/>
      <c r="R148" s="15">
        <v>1.54E-2</v>
      </c>
      <c r="S148" s="18">
        <f>(Tabela25[[#This Row],[FRETE]]+Tabela25[[#This Row],[DESPESAS]]+Tabela25[[#This Row],[IPI]]+Tabela25[[#This Row],[Vl. Produto]])*Tabela25[[#This Row],[Aliq.%]]</f>
        <v>0</v>
      </c>
    </row>
    <row r="149" spans="13:19" x14ac:dyDescent="0.25">
      <c r="M149" s="46"/>
      <c r="N149" s="46"/>
      <c r="O149" s="46"/>
      <c r="P149" s="46"/>
      <c r="R149" s="15">
        <v>1.54E-2</v>
      </c>
      <c r="S149" s="18">
        <f>(Tabela25[[#This Row],[FRETE]]+Tabela25[[#This Row],[DESPESAS]]+Tabela25[[#This Row],[IPI]]+Tabela25[[#This Row],[Vl. Produto]])*Tabela25[[#This Row],[Aliq.%]]</f>
        <v>0</v>
      </c>
    </row>
    <row r="150" spans="13:19" x14ac:dyDescent="0.25">
      <c r="M150" s="46"/>
      <c r="N150" s="46"/>
      <c r="O150" s="46"/>
      <c r="P150" s="46"/>
      <c r="R150" s="15">
        <v>1.54E-2</v>
      </c>
      <c r="S150" s="18">
        <f>(Tabela25[[#This Row],[FRETE]]+Tabela25[[#This Row],[DESPESAS]]+Tabela25[[#This Row],[IPI]]+Tabela25[[#This Row],[Vl. Produto]])*Tabela25[[#This Row],[Aliq.%]]</f>
        <v>0</v>
      </c>
    </row>
    <row r="151" spans="13:19" x14ac:dyDescent="0.25">
      <c r="M151" s="46"/>
      <c r="N151" s="46"/>
      <c r="O151" s="46"/>
      <c r="P151" s="46"/>
      <c r="R151" s="15">
        <v>1.54E-2</v>
      </c>
      <c r="S151" s="18">
        <f>(Tabela25[[#This Row],[FRETE]]+Tabela25[[#This Row],[DESPESAS]]+Tabela25[[#This Row],[IPI]]+Tabela25[[#This Row],[Vl. Produto]])*Tabela25[[#This Row],[Aliq.%]]</f>
        <v>0</v>
      </c>
    </row>
    <row r="152" spans="13:19" x14ac:dyDescent="0.25">
      <c r="M152" s="46"/>
      <c r="N152" s="46"/>
      <c r="O152" s="46"/>
      <c r="P152" s="46"/>
      <c r="R152" s="15">
        <v>1.54E-2</v>
      </c>
      <c r="S152" s="18">
        <f>(Tabela25[[#This Row],[FRETE]]+Tabela25[[#This Row],[DESPESAS]]+Tabela25[[#This Row],[IPI]]+Tabela25[[#This Row],[Vl. Produto]])*Tabela25[[#This Row],[Aliq.%]]</f>
        <v>0</v>
      </c>
    </row>
    <row r="153" spans="13:19" x14ac:dyDescent="0.25">
      <c r="M153" s="46"/>
      <c r="N153" s="46"/>
      <c r="O153" s="46"/>
      <c r="P153" s="46"/>
      <c r="R153" s="15">
        <v>1.54E-2</v>
      </c>
      <c r="S153" s="18">
        <f>(Tabela25[[#This Row],[FRETE]]+Tabela25[[#This Row],[DESPESAS]]+Tabela25[[#This Row],[IPI]]+Tabela25[[#This Row],[Vl. Produto]])*Tabela25[[#This Row],[Aliq.%]]</f>
        <v>0</v>
      </c>
    </row>
    <row r="154" spans="13:19" x14ac:dyDescent="0.25">
      <c r="M154" s="46"/>
      <c r="N154" s="46"/>
      <c r="O154" s="46"/>
      <c r="P154" s="46"/>
      <c r="R154" s="15">
        <v>1.54E-2</v>
      </c>
      <c r="S154" s="18">
        <f>(Tabela25[[#This Row],[FRETE]]+Tabela25[[#This Row],[DESPESAS]]+Tabela25[[#This Row],[IPI]]+Tabela25[[#This Row],[Vl. Produto]])*Tabela25[[#This Row],[Aliq.%]]</f>
        <v>0</v>
      </c>
    </row>
    <row r="155" spans="13:19" x14ac:dyDescent="0.25">
      <c r="M155" s="46"/>
      <c r="N155" s="46"/>
      <c r="O155" s="46"/>
      <c r="P155" s="46"/>
      <c r="R155" s="15">
        <v>1.54E-2</v>
      </c>
      <c r="S155" s="18">
        <f>(Tabela25[[#This Row],[FRETE]]+Tabela25[[#This Row],[DESPESAS]]+Tabela25[[#This Row],[IPI]]+Tabela25[[#This Row],[Vl. Produto]])*Tabela25[[#This Row],[Aliq.%]]</f>
        <v>0</v>
      </c>
    </row>
    <row r="156" spans="13:19" x14ac:dyDescent="0.25">
      <c r="M156" s="46"/>
      <c r="N156" s="46"/>
      <c r="O156" s="46"/>
      <c r="P156" s="46"/>
      <c r="R156" s="15">
        <v>1.54E-2</v>
      </c>
      <c r="S156" s="18">
        <f>(Tabela25[[#This Row],[FRETE]]+Tabela25[[#This Row],[DESPESAS]]+Tabela25[[#This Row],[IPI]]+Tabela25[[#This Row],[Vl. Produto]])*Tabela25[[#This Row],[Aliq.%]]</f>
        <v>0</v>
      </c>
    </row>
    <row r="157" spans="13:19" x14ac:dyDescent="0.25">
      <c r="M157" s="46"/>
      <c r="N157" s="46"/>
      <c r="O157" s="46"/>
      <c r="P157" s="46"/>
      <c r="R157" s="15">
        <v>1.54E-2</v>
      </c>
      <c r="S157" s="18">
        <f>(Tabela25[[#This Row],[FRETE]]+Tabela25[[#This Row],[DESPESAS]]+Tabela25[[#This Row],[IPI]]+Tabela25[[#This Row],[Vl. Produto]])*Tabela25[[#This Row],[Aliq.%]]</f>
        <v>0</v>
      </c>
    </row>
    <row r="158" spans="13:19" x14ac:dyDescent="0.25">
      <c r="M158" s="46"/>
      <c r="N158" s="46"/>
      <c r="O158" s="46"/>
      <c r="P158" s="46"/>
      <c r="R158" s="15">
        <v>1.54E-2</v>
      </c>
      <c r="S158" s="18">
        <f>(Tabela25[[#This Row],[FRETE]]+Tabela25[[#This Row],[DESPESAS]]+Tabela25[[#This Row],[IPI]]+Tabela25[[#This Row],[Vl. Produto]])*Tabela25[[#This Row],[Aliq.%]]</f>
        <v>0</v>
      </c>
    </row>
    <row r="159" spans="13:19" x14ac:dyDescent="0.25">
      <c r="M159" s="46"/>
      <c r="N159" s="46"/>
      <c r="O159" s="46"/>
      <c r="P159" s="46"/>
      <c r="R159" s="15">
        <v>1.54E-2</v>
      </c>
      <c r="S159" s="18">
        <f>(Tabela25[[#This Row],[FRETE]]+Tabela25[[#This Row],[DESPESAS]]+Tabela25[[#This Row],[IPI]]+Tabela25[[#This Row],[Vl. Produto]])*Tabela25[[#This Row],[Aliq.%]]</f>
        <v>0</v>
      </c>
    </row>
    <row r="160" spans="13:19" x14ac:dyDescent="0.25">
      <c r="M160" s="46"/>
      <c r="N160" s="46"/>
      <c r="O160" s="46"/>
      <c r="P160" s="46"/>
      <c r="R160" s="15">
        <v>1.54E-2</v>
      </c>
      <c r="S160" s="18">
        <f>(Tabela25[[#This Row],[FRETE]]+Tabela25[[#This Row],[DESPESAS]]+Tabela25[[#This Row],[IPI]]+Tabela25[[#This Row],[Vl. Produto]])*Tabela25[[#This Row],[Aliq.%]]</f>
        <v>0</v>
      </c>
    </row>
    <row r="161" spans="13:19" x14ac:dyDescent="0.25">
      <c r="M161" s="46"/>
      <c r="N161" s="46"/>
      <c r="O161" s="46"/>
      <c r="P161" s="46"/>
      <c r="R161" s="15">
        <v>1.54E-2</v>
      </c>
      <c r="S161" s="18">
        <f>(Tabela25[[#This Row],[FRETE]]+Tabela25[[#This Row],[DESPESAS]]+Tabela25[[#This Row],[IPI]]+Tabela25[[#This Row],[Vl. Produto]])*Tabela25[[#This Row],[Aliq.%]]</f>
        <v>0</v>
      </c>
    </row>
    <row r="162" spans="13:19" x14ac:dyDescent="0.25">
      <c r="M162" s="46"/>
      <c r="N162" s="46"/>
      <c r="O162" s="46"/>
      <c r="P162" s="46"/>
      <c r="R162" s="15">
        <v>1.54E-2</v>
      </c>
      <c r="S162" s="18">
        <f>(Tabela25[[#This Row],[FRETE]]+Tabela25[[#This Row],[DESPESAS]]+Tabela25[[#This Row],[IPI]]+Tabela25[[#This Row],[Vl. Produto]])*Tabela25[[#This Row],[Aliq.%]]</f>
        <v>0</v>
      </c>
    </row>
    <row r="163" spans="13:19" x14ac:dyDescent="0.25">
      <c r="M163" s="46"/>
      <c r="N163" s="46"/>
      <c r="O163" s="46"/>
      <c r="P163" s="46"/>
      <c r="R163" s="15">
        <v>1.54E-2</v>
      </c>
      <c r="S163" s="18">
        <f>(Tabela25[[#This Row],[FRETE]]+Tabela25[[#This Row],[DESPESAS]]+Tabela25[[#This Row],[IPI]]+Tabela25[[#This Row],[Vl. Produto]])*Tabela25[[#This Row],[Aliq.%]]</f>
        <v>0</v>
      </c>
    </row>
    <row r="164" spans="13:19" x14ac:dyDescent="0.25">
      <c r="M164" s="46"/>
      <c r="N164" s="46"/>
      <c r="O164" s="46"/>
      <c r="P164" s="46"/>
      <c r="R164" s="15">
        <v>1.54E-2</v>
      </c>
      <c r="S164" s="18">
        <f>(Tabela25[[#This Row],[FRETE]]+Tabela25[[#This Row],[DESPESAS]]+Tabela25[[#This Row],[IPI]]+Tabela25[[#This Row],[Vl. Produto]])*Tabela25[[#This Row],[Aliq.%]]</f>
        <v>0</v>
      </c>
    </row>
    <row r="165" spans="13:19" x14ac:dyDescent="0.25">
      <c r="M165" s="46"/>
      <c r="N165" s="46"/>
      <c r="O165" s="46"/>
      <c r="P165" s="46"/>
      <c r="R165" s="15">
        <v>1.54E-2</v>
      </c>
      <c r="S165" s="18">
        <f>(Tabela25[[#This Row],[FRETE]]+Tabela25[[#This Row],[DESPESAS]]+Tabela25[[#This Row],[IPI]]+Tabela25[[#This Row],[Vl. Produto]])*Tabela25[[#This Row],[Aliq.%]]</f>
        <v>0</v>
      </c>
    </row>
    <row r="166" spans="13:19" x14ac:dyDescent="0.25">
      <c r="M166" s="46"/>
      <c r="N166" s="46"/>
      <c r="O166" s="46"/>
      <c r="P166" s="46"/>
      <c r="R166" s="15">
        <v>1.54E-2</v>
      </c>
      <c r="S166" s="18">
        <f>(Tabela25[[#This Row],[FRETE]]+Tabela25[[#This Row],[DESPESAS]]+Tabela25[[#This Row],[IPI]]+Tabela25[[#This Row],[Vl. Produto]])*Tabela25[[#This Row],[Aliq.%]]</f>
        <v>0</v>
      </c>
    </row>
    <row r="167" spans="13:19" x14ac:dyDescent="0.25">
      <c r="M167" s="46"/>
      <c r="N167" s="46"/>
      <c r="O167" s="46"/>
      <c r="P167" s="46"/>
      <c r="R167" s="15">
        <v>1.54E-2</v>
      </c>
      <c r="S167" s="18">
        <f>(Tabela25[[#This Row],[FRETE]]+Tabela25[[#This Row],[DESPESAS]]+Tabela25[[#This Row],[IPI]]+Tabela25[[#This Row],[Vl. Produto]])*Tabela25[[#This Row],[Aliq.%]]</f>
        <v>0</v>
      </c>
    </row>
    <row r="168" spans="13:19" x14ac:dyDescent="0.25">
      <c r="M168" s="46"/>
      <c r="N168" s="46"/>
      <c r="O168" s="46"/>
      <c r="P168" s="46"/>
      <c r="R168" s="15">
        <v>1.54E-2</v>
      </c>
      <c r="S168" s="18">
        <f>(Tabela25[[#This Row],[FRETE]]+Tabela25[[#This Row],[DESPESAS]]+Tabela25[[#This Row],[IPI]]+Tabela25[[#This Row],[Vl. Produto]])*Tabela25[[#This Row],[Aliq.%]]</f>
        <v>0</v>
      </c>
    </row>
    <row r="169" spans="13:19" x14ac:dyDescent="0.25">
      <c r="M169" s="46"/>
      <c r="N169" s="46"/>
      <c r="O169" s="46"/>
      <c r="P169" s="46"/>
      <c r="R169" s="15">
        <v>1.54E-2</v>
      </c>
      <c r="S169" s="18">
        <f>(Tabela25[[#This Row],[FRETE]]+Tabela25[[#This Row],[DESPESAS]]+Tabela25[[#This Row],[IPI]]+Tabela25[[#This Row],[Vl. Produto]])*Tabela25[[#This Row],[Aliq.%]]</f>
        <v>0</v>
      </c>
    </row>
    <row r="170" spans="13:19" x14ac:dyDescent="0.25">
      <c r="M170" s="46"/>
      <c r="N170" s="46"/>
      <c r="O170" s="46"/>
      <c r="P170" s="46"/>
      <c r="R170" s="15">
        <v>1.54E-2</v>
      </c>
      <c r="S170" s="18">
        <f>(Tabela25[[#This Row],[FRETE]]+Tabela25[[#This Row],[DESPESAS]]+Tabela25[[#This Row],[IPI]]+Tabela25[[#This Row],[Vl. Produto]])*Tabela25[[#This Row],[Aliq.%]]</f>
        <v>0</v>
      </c>
    </row>
    <row r="171" spans="13:19" x14ac:dyDescent="0.25">
      <c r="M171" s="46"/>
      <c r="N171" s="46"/>
      <c r="O171" s="46"/>
      <c r="P171" s="46"/>
      <c r="R171" s="15">
        <v>1.54E-2</v>
      </c>
      <c r="S171" s="18">
        <f>(Tabela25[[#This Row],[FRETE]]+Tabela25[[#This Row],[DESPESAS]]+Tabela25[[#This Row],[IPI]]+Tabela25[[#This Row],[Vl. Produto]])*Tabela25[[#This Row],[Aliq.%]]</f>
        <v>0</v>
      </c>
    </row>
    <row r="172" spans="13:19" x14ac:dyDescent="0.25">
      <c r="M172" s="46"/>
      <c r="N172" s="46"/>
      <c r="O172" s="46"/>
      <c r="P172" s="46"/>
      <c r="R172" s="15">
        <v>1.54E-2</v>
      </c>
      <c r="S172" s="18">
        <f>(Tabela25[[#This Row],[FRETE]]+Tabela25[[#This Row],[DESPESAS]]+Tabela25[[#This Row],[IPI]]+Tabela25[[#This Row],[Vl. Produto]])*Tabela25[[#This Row],[Aliq.%]]</f>
        <v>0</v>
      </c>
    </row>
    <row r="173" spans="13:19" x14ac:dyDescent="0.25">
      <c r="M173" s="46"/>
      <c r="N173" s="46"/>
      <c r="O173" s="46"/>
      <c r="P173" s="46"/>
      <c r="R173" s="15">
        <v>1.54E-2</v>
      </c>
      <c r="S173" s="18">
        <f>(Tabela25[[#This Row],[FRETE]]+Tabela25[[#This Row],[DESPESAS]]+Tabela25[[#This Row],[IPI]]+Tabela25[[#This Row],[Vl. Produto]])*Tabela25[[#This Row],[Aliq.%]]</f>
        <v>0</v>
      </c>
    </row>
    <row r="174" spans="13:19" x14ac:dyDescent="0.25">
      <c r="M174" s="46"/>
      <c r="N174" s="46"/>
      <c r="O174" s="46"/>
      <c r="P174" s="46"/>
      <c r="R174" s="15">
        <v>1.54E-2</v>
      </c>
      <c r="S174" s="18">
        <f>(Tabela25[[#This Row],[FRETE]]+Tabela25[[#This Row],[DESPESAS]]+Tabela25[[#This Row],[IPI]]+Tabela25[[#This Row],[Vl. Produto]])*Tabela25[[#This Row],[Aliq.%]]</f>
        <v>0</v>
      </c>
    </row>
    <row r="175" spans="13:19" x14ac:dyDescent="0.25">
      <c r="M175" s="46"/>
      <c r="N175" s="46"/>
      <c r="O175" s="46"/>
      <c r="P175" s="46"/>
      <c r="R175" s="15">
        <v>1.54E-2</v>
      </c>
      <c r="S175" s="18">
        <f>(Tabela25[[#This Row],[FRETE]]+Tabela25[[#This Row],[DESPESAS]]+Tabela25[[#This Row],[IPI]]+Tabela25[[#This Row],[Vl. Produto]])*Tabela25[[#This Row],[Aliq.%]]</f>
        <v>0</v>
      </c>
    </row>
    <row r="176" spans="13:19" x14ac:dyDescent="0.25">
      <c r="M176" s="46"/>
      <c r="N176" s="46"/>
      <c r="O176" s="46"/>
      <c r="P176" s="46"/>
      <c r="R176" s="15">
        <v>1.54E-2</v>
      </c>
      <c r="S176" s="18">
        <f>(Tabela25[[#This Row],[FRETE]]+Tabela25[[#This Row],[DESPESAS]]+Tabela25[[#This Row],[IPI]]+Tabela25[[#This Row],[Vl. Produto]])*Tabela25[[#This Row],[Aliq.%]]</f>
        <v>0</v>
      </c>
    </row>
    <row r="177" spans="13:19" x14ac:dyDescent="0.25">
      <c r="M177" s="46"/>
      <c r="N177" s="46"/>
      <c r="O177" s="46"/>
      <c r="P177" s="46"/>
      <c r="R177" s="15">
        <v>1.54E-2</v>
      </c>
      <c r="S177" s="18">
        <f>(Tabela25[[#This Row],[FRETE]]+Tabela25[[#This Row],[DESPESAS]]+Tabela25[[#This Row],[IPI]]+Tabela25[[#This Row],[Vl. Produto]])*Tabela25[[#This Row],[Aliq.%]]</f>
        <v>0</v>
      </c>
    </row>
    <row r="178" spans="13:19" x14ac:dyDescent="0.25">
      <c r="M178" s="46"/>
      <c r="N178" s="46"/>
      <c r="O178" s="46"/>
      <c r="P178" s="46"/>
      <c r="R178" s="15">
        <v>1.54E-2</v>
      </c>
      <c r="S178" s="18">
        <f>(Tabela25[[#This Row],[FRETE]]+Tabela25[[#This Row],[DESPESAS]]+Tabela25[[#This Row],[IPI]]+Tabela25[[#This Row],[Vl. Produto]])*Tabela25[[#This Row],[Aliq.%]]</f>
        <v>0</v>
      </c>
    </row>
    <row r="179" spans="13:19" x14ac:dyDescent="0.25">
      <c r="M179" s="46"/>
      <c r="N179" s="46"/>
      <c r="O179" s="46"/>
      <c r="P179" s="46"/>
      <c r="R179" s="15">
        <v>1.54E-2</v>
      </c>
      <c r="S179" s="18">
        <f>(Tabela25[[#This Row],[FRETE]]+Tabela25[[#This Row],[DESPESAS]]+Tabela25[[#This Row],[IPI]]+Tabela25[[#This Row],[Vl. Produto]])*Tabela25[[#This Row],[Aliq.%]]</f>
        <v>0</v>
      </c>
    </row>
    <row r="180" spans="13:19" x14ac:dyDescent="0.25">
      <c r="M180" s="46"/>
      <c r="N180" s="46"/>
      <c r="O180" s="46"/>
      <c r="P180" s="46"/>
      <c r="R180" s="15">
        <v>1.54E-2</v>
      </c>
      <c r="S180" s="18">
        <f>(Tabela25[[#This Row],[FRETE]]+Tabela25[[#This Row],[DESPESAS]]+Tabela25[[#This Row],[IPI]]+Tabela25[[#This Row],[Vl. Produto]])*Tabela25[[#This Row],[Aliq.%]]</f>
        <v>0</v>
      </c>
    </row>
    <row r="181" spans="13:19" x14ac:dyDescent="0.25">
      <c r="M181" s="46"/>
      <c r="N181" s="46"/>
      <c r="O181" s="46"/>
      <c r="P181" s="46"/>
      <c r="R181" s="15">
        <v>1.54E-2</v>
      </c>
      <c r="S181" s="18">
        <f>(Tabela25[[#This Row],[FRETE]]+Tabela25[[#This Row],[DESPESAS]]+Tabela25[[#This Row],[IPI]]+Tabela25[[#This Row],[Vl. Produto]])*Tabela25[[#This Row],[Aliq.%]]</f>
        <v>0</v>
      </c>
    </row>
    <row r="182" spans="13:19" x14ac:dyDescent="0.25">
      <c r="M182" s="46"/>
      <c r="N182" s="46"/>
      <c r="O182" s="46"/>
      <c r="P182" s="46"/>
      <c r="R182" s="15">
        <v>1.54E-2</v>
      </c>
      <c r="S182" s="18">
        <f>(Tabela25[[#This Row],[FRETE]]+Tabela25[[#This Row],[DESPESAS]]+Tabela25[[#This Row],[IPI]]+Tabela25[[#This Row],[Vl. Produto]])*Tabela25[[#This Row],[Aliq.%]]</f>
        <v>0</v>
      </c>
    </row>
    <row r="183" spans="13:19" x14ac:dyDescent="0.25">
      <c r="M183" s="46"/>
      <c r="N183" s="46"/>
      <c r="O183" s="46"/>
      <c r="P183" s="46"/>
      <c r="R183" s="15">
        <v>1.54E-2</v>
      </c>
      <c r="S183" s="18">
        <f>(Tabela25[[#This Row],[FRETE]]+Tabela25[[#This Row],[DESPESAS]]+Tabela25[[#This Row],[IPI]]+Tabela25[[#This Row],[Vl. Produto]])*Tabela25[[#This Row],[Aliq.%]]</f>
        <v>0</v>
      </c>
    </row>
    <row r="184" spans="13:19" x14ac:dyDescent="0.25">
      <c r="M184" s="46"/>
      <c r="N184" s="46"/>
      <c r="O184" s="46"/>
      <c r="P184" s="46"/>
      <c r="R184" s="15">
        <v>1.54E-2</v>
      </c>
      <c r="S184" s="18">
        <f>(Tabela25[[#This Row],[FRETE]]+Tabela25[[#This Row],[DESPESAS]]+Tabela25[[#This Row],[IPI]]+Tabela25[[#This Row],[Vl. Produto]])*Tabela25[[#This Row],[Aliq.%]]</f>
        <v>0</v>
      </c>
    </row>
    <row r="185" spans="13:19" x14ac:dyDescent="0.25">
      <c r="M185" s="46"/>
      <c r="N185" s="46"/>
      <c r="O185" s="46"/>
      <c r="P185" s="46"/>
      <c r="R185" s="15">
        <v>1.54E-2</v>
      </c>
      <c r="S185" s="18">
        <f>(Tabela25[[#This Row],[FRETE]]+Tabela25[[#This Row],[DESPESAS]]+Tabela25[[#This Row],[IPI]]+Tabela25[[#This Row],[Vl. Produto]])*Tabela25[[#This Row],[Aliq.%]]</f>
        <v>0</v>
      </c>
    </row>
    <row r="186" spans="13:19" x14ac:dyDescent="0.25">
      <c r="M186" s="46"/>
      <c r="N186" s="46"/>
      <c r="O186" s="46"/>
      <c r="P186" s="46"/>
      <c r="R186" s="15">
        <v>1.54E-2</v>
      </c>
      <c r="S186" s="18">
        <f>(Tabela25[[#This Row],[FRETE]]+Tabela25[[#This Row],[DESPESAS]]+Tabela25[[#This Row],[IPI]]+Tabela25[[#This Row],[Vl. Produto]])*Tabela25[[#This Row],[Aliq.%]]</f>
        <v>0</v>
      </c>
    </row>
    <row r="187" spans="13:19" x14ac:dyDescent="0.25">
      <c r="M187" s="46"/>
      <c r="N187" s="46"/>
      <c r="O187" s="46"/>
      <c r="P187" s="46"/>
      <c r="R187" s="15">
        <v>1.54E-2</v>
      </c>
      <c r="S187" s="18">
        <f>(Tabela25[[#This Row],[FRETE]]+Tabela25[[#This Row],[DESPESAS]]+Tabela25[[#This Row],[IPI]]+Tabela25[[#This Row],[Vl. Produto]])*Tabela25[[#This Row],[Aliq.%]]</f>
        <v>0</v>
      </c>
    </row>
    <row r="188" spans="13:19" x14ac:dyDescent="0.25">
      <c r="M188" s="46"/>
      <c r="N188" s="46"/>
      <c r="O188" s="46"/>
      <c r="P188" s="46"/>
      <c r="R188" s="15">
        <v>1.54E-2</v>
      </c>
      <c r="S188" s="18">
        <f>(Tabela25[[#This Row],[FRETE]]+Tabela25[[#This Row],[DESPESAS]]+Tabela25[[#This Row],[IPI]]+Tabela25[[#This Row],[Vl. Produto]])*Tabela25[[#This Row],[Aliq.%]]</f>
        <v>0</v>
      </c>
    </row>
    <row r="189" spans="13:19" x14ac:dyDescent="0.25">
      <c r="M189" s="46"/>
      <c r="N189" s="46"/>
      <c r="O189" s="46"/>
      <c r="P189" s="46"/>
      <c r="R189" s="15">
        <v>1.54E-2</v>
      </c>
      <c r="S189" s="18">
        <f>(Tabela25[[#This Row],[FRETE]]+Tabela25[[#This Row],[DESPESAS]]+Tabela25[[#This Row],[IPI]]+Tabela25[[#This Row],[Vl. Produto]])*Tabela25[[#This Row],[Aliq.%]]</f>
        <v>0</v>
      </c>
    </row>
    <row r="190" spans="13:19" x14ac:dyDescent="0.25">
      <c r="M190" s="46"/>
      <c r="N190" s="46"/>
      <c r="O190" s="46"/>
      <c r="P190" s="46"/>
      <c r="R190" s="15">
        <v>1.54E-2</v>
      </c>
      <c r="S190" s="18">
        <f>(Tabela25[[#This Row],[FRETE]]+Tabela25[[#This Row],[DESPESAS]]+Tabela25[[#This Row],[IPI]]+Tabela25[[#This Row],[Vl. Produto]])*Tabela25[[#This Row],[Aliq.%]]</f>
        <v>0</v>
      </c>
    </row>
    <row r="191" spans="13:19" x14ac:dyDescent="0.25">
      <c r="M191" s="46"/>
      <c r="N191" s="46"/>
      <c r="O191" s="46"/>
      <c r="P191" s="46"/>
      <c r="R191" s="15">
        <v>1.54E-2</v>
      </c>
      <c r="S191" s="18">
        <f>(Tabela25[[#This Row],[FRETE]]+Tabela25[[#This Row],[DESPESAS]]+Tabela25[[#This Row],[IPI]]+Tabela25[[#This Row],[Vl. Produto]])*Tabela25[[#This Row],[Aliq.%]]</f>
        <v>0</v>
      </c>
    </row>
    <row r="192" spans="13:19" x14ac:dyDescent="0.25">
      <c r="M192" s="46"/>
      <c r="N192" s="46"/>
      <c r="O192" s="46"/>
      <c r="P192" s="46"/>
      <c r="R192" s="15">
        <v>1.54E-2</v>
      </c>
      <c r="S192" s="18">
        <f>(Tabela25[[#This Row],[FRETE]]+Tabela25[[#This Row],[DESPESAS]]+Tabela25[[#This Row],[IPI]]+Tabela25[[#This Row],[Vl. Produto]])*Tabela25[[#This Row],[Aliq.%]]</f>
        <v>0</v>
      </c>
    </row>
    <row r="193" spans="13:19" x14ac:dyDescent="0.25">
      <c r="M193" s="46"/>
      <c r="N193" s="46"/>
      <c r="O193" s="46"/>
      <c r="P193" s="46"/>
      <c r="R193" s="15">
        <v>1.54E-2</v>
      </c>
      <c r="S193" s="18">
        <f>(Tabela25[[#This Row],[FRETE]]+Tabela25[[#This Row],[DESPESAS]]+Tabela25[[#This Row],[IPI]]+Tabela25[[#This Row],[Vl. Produto]])*Tabela25[[#This Row],[Aliq.%]]</f>
        <v>0</v>
      </c>
    </row>
    <row r="194" spans="13:19" x14ac:dyDescent="0.25">
      <c r="M194" s="46"/>
      <c r="N194" s="46"/>
      <c r="O194" s="46"/>
      <c r="P194" s="46"/>
      <c r="R194" s="15">
        <v>1.54E-2</v>
      </c>
      <c r="S194" s="18">
        <f>(Tabela25[[#This Row],[FRETE]]+Tabela25[[#This Row],[DESPESAS]]+Tabela25[[#This Row],[IPI]]+Tabela25[[#This Row],[Vl. Produto]])*Tabela25[[#This Row],[Aliq.%]]</f>
        <v>0</v>
      </c>
    </row>
    <row r="195" spans="13:19" x14ac:dyDescent="0.25">
      <c r="M195" s="46"/>
      <c r="N195" s="46"/>
      <c r="O195" s="46"/>
      <c r="P195" s="46"/>
      <c r="R195" s="15">
        <v>1.54E-2</v>
      </c>
      <c r="S195" s="18">
        <f>(Tabela25[[#This Row],[FRETE]]+Tabela25[[#This Row],[DESPESAS]]+Tabela25[[#This Row],[IPI]]+Tabela25[[#This Row],[Vl. Produto]])*Tabela25[[#This Row],[Aliq.%]]</f>
        <v>0</v>
      </c>
    </row>
    <row r="196" spans="13:19" x14ac:dyDescent="0.25">
      <c r="M196" s="46"/>
      <c r="N196" s="46"/>
      <c r="O196" s="46"/>
      <c r="P196" s="46"/>
      <c r="R196" s="15">
        <v>1.54E-2</v>
      </c>
      <c r="S196" s="18">
        <f>(Tabela25[[#This Row],[FRETE]]+Tabela25[[#This Row],[DESPESAS]]+Tabela25[[#This Row],[IPI]]+Tabela25[[#This Row],[Vl. Produto]])*Tabela25[[#This Row],[Aliq.%]]</f>
        <v>0</v>
      </c>
    </row>
    <row r="197" spans="13:19" x14ac:dyDescent="0.25">
      <c r="M197" s="46"/>
      <c r="N197" s="46"/>
      <c r="O197" s="46"/>
      <c r="P197" s="46"/>
      <c r="R197" s="15">
        <v>1.54E-2</v>
      </c>
      <c r="S197" s="18">
        <f>(Tabela25[[#This Row],[FRETE]]+Tabela25[[#This Row],[DESPESAS]]+Tabela25[[#This Row],[IPI]]+Tabela25[[#This Row],[Vl. Produto]])*Tabela25[[#This Row],[Aliq.%]]</f>
        <v>0</v>
      </c>
    </row>
    <row r="198" spans="13:19" x14ac:dyDescent="0.25">
      <c r="M198" s="46"/>
      <c r="N198" s="46"/>
      <c r="O198" s="46"/>
      <c r="P198" s="46"/>
      <c r="R198" s="15">
        <v>1.54E-2</v>
      </c>
      <c r="S198" s="18">
        <f>(Tabela25[[#This Row],[FRETE]]+Tabela25[[#This Row],[DESPESAS]]+Tabela25[[#This Row],[IPI]]+Tabela25[[#This Row],[Vl. Produto]])*Tabela25[[#This Row],[Aliq.%]]</f>
        <v>0</v>
      </c>
    </row>
    <row r="199" spans="13:19" x14ac:dyDescent="0.25">
      <c r="M199" s="46"/>
      <c r="N199" s="46"/>
      <c r="O199" s="46"/>
      <c r="P199" s="46"/>
      <c r="R199" s="15">
        <v>1.54E-2</v>
      </c>
      <c r="S199" s="18">
        <f>(Tabela25[[#This Row],[FRETE]]+Tabela25[[#This Row],[DESPESAS]]+Tabela25[[#This Row],[IPI]]+Tabela25[[#This Row],[Vl. Produto]])*Tabela25[[#This Row],[Aliq.%]]</f>
        <v>0</v>
      </c>
    </row>
    <row r="200" spans="13:19" x14ac:dyDescent="0.25">
      <c r="M200" s="46"/>
      <c r="N200" s="46"/>
      <c r="O200" s="46"/>
      <c r="P200" s="46"/>
      <c r="R200" s="15">
        <v>1.54E-2</v>
      </c>
      <c r="S200" s="18">
        <f>(Tabela25[[#This Row],[FRETE]]+Tabela25[[#This Row],[DESPESAS]]+Tabela25[[#This Row],[IPI]]+Tabela25[[#This Row],[Vl. Produto]])*Tabela25[[#This Row],[Aliq.%]]</f>
        <v>0</v>
      </c>
    </row>
    <row r="201" spans="13:19" x14ac:dyDescent="0.25">
      <c r="M201" s="46"/>
      <c r="N201" s="46"/>
      <c r="O201" s="46"/>
      <c r="P201" s="46"/>
      <c r="R201" s="15">
        <v>1.54E-2</v>
      </c>
      <c r="S201" s="18">
        <f>(Tabela25[[#This Row],[FRETE]]+Tabela25[[#This Row],[DESPESAS]]+Tabela25[[#This Row],[IPI]]+Tabela25[[#This Row],[Vl. Produto]])*Tabela25[[#This Row],[Aliq.%]]</f>
        <v>0</v>
      </c>
    </row>
    <row r="202" spans="13:19" x14ac:dyDescent="0.25">
      <c r="M202" s="46"/>
      <c r="N202" s="46"/>
      <c r="O202" s="46"/>
      <c r="P202" s="46"/>
      <c r="R202" s="15">
        <v>1.54E-2</v>
      </c>
      <c r="S202" s="18">
        <f>(Tabela25[[#This Row],[FRETE]]+Tabela25[[#This Row],[DESPESAS]]+Tabela25[[#This Row],[IPI]]+Tabela25[[#This Row],[Vl. Produto]])*Tabela25[[#This Row],[Aliq.%]]</f>
        <v>0</v>
      </c>
    </row>
    <row r="203" spans="13:19" x14ac:dyDescent="0.25">
      <c r="M203" s="46"/>
      <c r="N203" s="46"/>
      <c r="O203" s="46"/>
      <c r="P203" s="46"/>
      <c r="R203" s="15">
        <v>1.54E-2</v>
      </c>
      <c r="S203" s="18">
        <f>(Tabela25[[#This Row],[FRETE]]+Tabela25[[#This Row],[DESPESAS]]+Tabela25[[#This Row],[IPI]]+Tabela25[[#This Row],[Vl. Produto]])*Tabela25[[#This Row],[Aliq.%]]</f>
        <v>0</v>
      </c>
    </row>
    <row r="204" spans="13:19" x14ac:dyDescent="0.25">
      <c r="M204" s="46"/>
      <c r="N204" s="46"/>
      <c r="O204" s="46"/>
      <c r="P204" s="46"/>
      <c r="R204" s="15">
        <v>1.54E-2</v>
      </c>
      <c r="S204" s="18">
        <f>(Tabela25[[#This Row],[FRETE]]+Tabela25[[#This Row],[DESPESAS]]+Tabela25[[#This Row],[IPI]]+Tabela25[[#This Row],[Vl. Produto]])*Tabela25[[#This Row],[Aliq.%]]</f>
        <v>0</v>
      </c>
    </row>
    <row r="205" spans="13:19" x14ac:dyDescent="0.25">
      <c r="M205" s="46"/>
      <c r="N205" s="46"/>
      <c r="O205" s="46"/>
      <c r="P205" s="46"/>
      <c r="R205" s="15">
        <v>1.54E-2</v>
      </c>
      <c r="S205" s="18">
        <f>(Tabela25[[#This Row],[FRETE]]+Tabela25[[#This Row],[DESPESAS]]+Tabela25[[#This Row],[IPI]]+Tabela25[[#This Row],[Vl. Produto]])*Tabela25[[#This Row],[Aliq.%]]</f>
        <v>0</v>
      </c>
    </row>
    <row r="206" spans="13:19" x14ac:dyDescent="0.25">
      <c r="M206" s="46"/>
      <c r="N206" s="46"/>
      <c r="O206" s="46"/>
      <c r="P206" s="46"/>
      <c r="R206" s="15">
        <v>1.54E-2</v>
      </c>
      <c r="S206" s="18">
        <f>(Tabela25[[#This Row],[FRETE]]+Tabela25[[#This Row],[DESPESAS]]+Tabela25[[#This Row],[IPI]]+Tabela25[[#This Row],[Vl. Produto]])*Tabela25[[#This Row],[Aliq.%]]</f>
        <v>0</v>
      </c>
    </row>
    <row r="207" spans="13:19" x14ac:dyDescent="0.25">
      <c r="M207" s="46"/>
      <c r="N207" s="46"/>
      <c r="O207" s="46"/>
      <c r="P207" s="46"/>
      <c r="R207" s="15">
        <v>1.54E-2</v>
      </c>
      <c r="S207" s="18">
        <f>(Tabela25[[#This Row],[FRETE]]+Tabela25[[#This Row],[DESPESAS]]+Tabela25[[#This Row],[IPI]]+Tabela25[[#This Row],[Vl. Produto]])*Tabela25[[#This Row],[Aliq.%]]</f>
        <v>0</v>
      </c>
    </row>
    <row r="208" spans="13:19" x14ac:dyDescent="0.25">
      <c r="M208" s="46"/>
      <c r="N208" s="46"/>
      <c r="O208" s="46"/>
      <c r="P208" s="46"/>
      <c r="R208" s="15">
        <v>1.54E-2</v>
      </c>
      <c r="S208" s="18">
        <f>(Tabela25[[#This Row],[FRETE]]+Tabela25[[#This Row],[DESPESAS]]+Tabela25[[#This Row],[IPI]]+Tabela25[[#This Row],[Vl. Produto]])*Tabela25[[#This Row],[Aliq.%]]</f>
        <v>0</v>
      </c>
    </row>
    <row r="209" spans="13:19" x14ac:dyDescent="0.25">
      <c r="M209" s="46"/>
      <c r="N209" s="46"/>
      <c r="O209" s="46"/>
      <c r="P209" s="46"/>
      <c r="R209" s="15">
        <v>1.54E-2</v>
      </c>
      <c r="S209" s="18">
        <f>(Tabela25[[#This Row],[FRETE]]+Tabela25[[#This Row],[DESPESAS]]+Tabela25[[#This Row],[IPI]]+Tabela25[[#This Row],[Vl. Produto]])*Tabela25[[#This Row],[Aliq.%]]</f>
        <v>0</v>
      </c>
    </row>
    <row r="210" spans="13:19" x14ac:dyDescent="0.25">
      <c r="M210" s="46"/>
      <c r="N210" s="46"/>
      <c r="O210" s="46"/>
      <c r="P210" s="46"/>
      <c r="R210" s="15">
        <v>1.54E-2</v>
      </c>
      <c r="S210" s="18">
        <f>(Tabela25[[#This Row],[FRETE]]+Tabela25[[#This Row],[DESPESAS]]+Tabela25[[#This Row],[IPI]]+Tabela25[[#This Row],[Vl. Produto]])*Tabela25[[#This Row],[Aliq.%]]</f>
        <v>0</v>
      </c>
    </row>
    <row r="211" spans="13:19" x14ac:dyDescent="0.25">
      <c r="M211" s="46"/>
      <c r="N211" s="46"/>
      <c r="O211" s="46"/>
      <c r="P211" s="46"/>
      <c r="R211" s="15">
        <v>1.54E-2</v>
      </c>
      <c r="S211" s="18">
        <f>(Tabela25[[#This Row],[FRETE]]+Tabela25[[#This Row],[DESPESAS]]+Tabela25[[#This Row],[IPI]]+Tabela25[[#This Row],[Vl. Produto]])*Tabela25[[#This Row],[Aliq.%]]</f>
        <v>0</v>
      </c>
    </row>
    <row r="212" spans="13:19" x14ac:dyDescent="0.25">
      <c r="M212" s="46"/>
      <c r="N212" s="46"/>
      <c r="O212" s="46"/>
      <c r="P212" s="46"/>
      <c r="R212" s="15">
        <v>1.54E-2</v>
      </c>
      <c r="S212" s="18">
        <f>(Tabela25[[#This Row],[FRETE]]+Tabela25[[#This Row],[DESPESAS]]+Tabela25[[#This Row],[IPI]]+Tabela25[[#This Row],[Vl. Produto]])*Tabela25[[#This Row],[Aliq.%]]</f>
        <v>0</v>
      </c>
    </row>
    <row r="213" spans="13:19" x14ac:dyDescent="0.25">
      <c r="M213" s="46"/>
      <c r="N213" s="46"/>
      <c r="O213" s="46"/>
      <c r="P213" s="46"/>
      <c r="R213" s="15">
        <v>1.54E-2</v>
      </c>
      <c r="S213" s="18">
        <f>(Tabela25[[#This Row],[FRETE]]+Tabela25[[#This Row],[DESPESAS]]+Tabela25[[#This Row],[IPI]]+Tabela25[[#This Row],[Vl. Produto]])*Tabela25[[#This Row],[Aliq.%]]</f>
        <v>0</v>
      </c>
    </row>
    <row r="214" spans="13:19" x14ac:dyDescent="0.25">
      <c r="M214" s="46"/>
      <c r="N214" s="46"/>
      <c r="O214" s="46"/>
      <c r="P214" s="46"/>
      <c r="R214" s="15">
        <v>1.54E-2</v>
      </c>
      <c r="S214" s="18">
        <f>(Tabela25[[#This Row],[FRETE]]+Tabela25[[#This Row],[DESPESAS]]+Tabela25[[#This Row],[IPI]]+Tabela25[[#This Row],[Vl. Produto]])*Tabela25[[#This Row],[Aliq.%]]</f>
        <v>0</v>
      </c>
    </row>
    <row r="215" spans="13:19" x14ac:dyDescent="0.25">
      <c r="M215" s="46"/>
      <c r="N215" s="46"/>
      <c r="O215" s="46"/>
      <c r="P215" s="46"/>
      <c r="R215" s="15">
        <v>1.54E-2</v>
      </c>
      <c r="S215" s="18">
        <f>(Tabela25[[#This Row],[FRETE]]+Tabela25[[#This Row],[DESPESAS]]+Tabela25[[#This Row],[IPI]]+Tabela25[[#This Row],[Vl. Produto]])*Tabela25[[#This Row],[Aliq.%]]</f>
        <v>0</v>
      </c>
    </row>
    <row r="216" spans="13:19" x14ac:dyDescent="0.25">
      <c r="M216" s="46"/>
      <c r="N216" s="46"/>
      <c r="O216" s="46"/>
      <c r="P216" s="46"/>
      <c r="R216" s="15">
        <v>1.54E-2</v>
      </c>
      <c r="S216" s="18">
        <f>(Tabela25[[#This Row],[FRETE]]+Tabela25[[#This Row],[DESPESAS]]+Tabela25[[#This Row],[IPI]]+Tabela25[[#This Row],[Vl. Produto]])*Tabela25[[#This Row],[Aliq.%]]</f>
        <v>0</v>
      </c>
    </row>
    <row r="217" spans="13:19" x14ac:dyDescent="0.25">
      <c r="M217" s="46"/>
      <c r="N217" s="46"/>
      <c r="O217" s="46"/>
      <c r="P217" s="46"/>
      <c r="R217" s="15">
        <v>1.54E-2</v>
      </c>
      <c r="S217" s="18">
        <f>(Tabela25[[#This Row],[FRETE]]+Tabela25[[#This Row],[DESPESAS]]+Tabela25[[#This Row],[IPI]]+Tabela25[[#This Row],[Vl. Produto]])*Tabela25[[#This Row],[Aliq.%]]</f>
        <v>0</v>
      </c>
    </row>
    <row r="218" spans="13:19" x14ac:dyDescent="0.25">
      <c r="M218" s="46"/>
      <c r="N218" s="46"/>
      <c r="O218" s="46"/>
      <c r="P218" s="46"/>
      <c r="R218" s="15">
        <v>1.54E-2</v>
      </c>
      <c r="S218" s="18">
        <f>(Tabela25[[#This Row],[FRETE]]+Tabela25[[#This Row],[DESPESAS]]+Tabela25[[#This Row],[IPI]]+Tabela25[[#This Row],[Vl. Produto]])*Tabela25[[#This Row],[Aliq.%]]</f>
        <v>0</v>
      </c>
    </row>
    <row r="219" spans="13:19" x14ac:dyDescent="0.25">
      <c r="M219" s="46"/>
      <c r="N219" s="46"/>
      <c r="O219" s="46"/>
      <c r="P219" s="46"/>
      <c r="R219" s="15">
        <v>1.54E-2</v>
      </c>
      <c r="S219" s="18">
        <f>(Tabela25[[#This Row],[FRETE]]+Tabela25[[#This Row],[DESPESAS]]+Tabela25[[#This Row],[IPI]]+Tabela25[[#This Row],[Vl. Produto]])*Tabela25[[#This Row],[Aliq.%]]</f>
        <v>0</v>
      </c>
    </row>
    <row r="220" spans="13:19" x14ac:dyDescent="0.25">
      <c r="M220" s="46"/>
      <c r="N220" s="46"/>
      <c r="O220" s="46"/>
      <c r="P220" s="46"/>
      <c r="R220" s="15">
        <v>1.54E-2</v>
      </c>
      <c r="S220" s="18">
        <f>(Tabela25[[#This Row],[FRETE]]+Tabela25[[#This Row],[DESPESAS]]+Tabela25[[#This Row],[IPI]]+Tabela25[[#This Row],[Vl. Produto]])*Tabela25[[#This Row],[Aliq.%]]</f>
        <v>0</v>
      </c>
    </row>
    <row r="221" spans="13:19" x14ac:dyDescent="0.25">
      <c r="M221" s="46"/>
      <c r="N221" s="46"/>
      <c r="O221" s="46"/>
      <c r="P221" s="46"/>
      <c r="R221" s="15">
        <v>1.54E-2</v>
      </c>
      <c r="S221" s="18">
        <f>(Tabela25[[#This Row],[FRETE]]+Tabela25[[#This Row],[DESPESAS]]+Tabela25[[#This Row],[IPI]]+Tabela25[[#This Row],[Vl. Produto]])*Tabela25[[#This Row],[Aliq.%]]</f>
        <v>0</v>
      </c>
    </row>
    <row r="222" spans="13:19" x14ac:dyDescent="0.25">
      <c r="M222" s="46"/>
      <c r="N222" s="46"/>
      <c r="O222" s="46"/>
      <c r="P222" s="46"/>
      <c r="R222" s="15">
        <v>1.54E-2</v>
      </c>
      <c r="S222" s="18">
        <f>(Tabela25[[#This Row],[FRETE]]+Tabela25[[#This Row],[DESPESAS]]+Tabela25[[#This Row],[IPI]]+Tabela25[[#This Row],[Vl. Produto]])*Tabela25[[#This Row],[Aliq.%]]</f>
        <v>0</v>
      </c>
    </row>
    <row r="223" spans="13:19" x14ac:dyDescent="0.25">
      <c r="M223" s="46"/>
      <c r="N223" s="46"/>
      <c r="O223" s="46"/>
      <c r="P223" s="46"/>
      <c r="R223" s="15">
        <v>1.54E-2</v>
      </c>
      <c r="S223" s="18">
        <f>(Tabela25[[#This Row],[FRETE]]+Tabela25[[#This Row],[DESPESAS]]+Tabela25[[#This Row],[IPI]]+Tabela25[[#This Row],[Vl. Produto]])*Tabela25[[#This Row],[Aliq.%]]</f>
        <v>0</v>
      </c>
    </row>
    <row r="224" spans="13:19" x14ac:dyDescent="0.25">
      <c r="M224" s="46"/>
      <c r="N224" s="46"/>
      <c r="O224" s="46"/>
      <c r="P224" s="46"/>
      <c r="R224" s="15">
        <v>1.54E-2</v>
      </c>
      <c r="S224" s="18">
        <f>(Tabela25[[#This Row],[FRETE]]+Tabela25[[#This Row],[DESPESAS]]+Tabela25[[#This Row],[IPI]]+Tabela25[[#This Row],[Vl. Produto]])*Tabela25[[#This Row],[Aliq.%]]</f>
        <v>0</v>
      </c>
    </row>
    <row r="225" spans="13:19" x14ac:dyDescent="0.25">
      <c r="M225" s="46"/>
      <c r="N225" s="46"/>
      <c r="O225" s="46"/>
      <c r="P225" s="46"/>
      <c r="R225" s="15">
        <v>1.54E-2</v>
      </c>
      <c r="S225" s="18">
        <f>(Tabela25[[#This Row],[FRETE]]+Tabela25[[#This Row],[DESPESAS]]+Tabela25[[#This Row],[IPI]]+Tabela25[[#This Row],[Vl. Produto]])*Tabela25[[#This Row],[Aliq.%]]</f>
        <v>0</v>
      </c>
    </row>
    <row r="226" spans="13:19" x14ac:dyDescent="0.25">
      <c r="M226" s="46"/>
      <c r="N226" s="46"/>
      <c r="O226" s="46"/>
      <c r="P226" s="46"/>
      <c r="R226" s="15">
        <v>1.54E-2</v>
      </c>
      <c r="S226" s="18">
        <f>(Tabela25[[#This Row],[FRETE]]+Tabela25[[#This Row],[DESPESAS]]+Tabela25[[#This Row],[IPI]]+Tabela25[[#This Row],[Vl. Produto]])*Tabela25[[#This Row],[Aliq.%]]</f>
        <v>0</v>
      </c>
    </row>
    <row r="227" spans="13:19" x14ac:dyDescent="0.25">
      <c r="M227" s="46"/>
      <c r="N227" s="46"/>
      <c r="O227" s="46"/>
      <c r="P227" s="46"/>
      <c r="R227" s="15">
        <v>1.54E-2</v>
      </c>
      <c r="S227" s="18">
        <f>(Tabela25[[#This Row],[FRETE]]+Tabela25[[#This Row],[DESPESAS]]+Tabela25[[#This Row],[IPI]]+Tabela25[[#This Row],[Vl. Produto]])*Tabela25[[#This Row],[Aliq.%]]</f>
        <v>0</v>
      </c>
    </row>
    <row r="228" spans="13:19" x14ac:dyDescent="0.25">
      <c r="M228" s="46"/>
      <c r="N228" s="46"/>
      <c r="O228" s="46"/>
      <c r="P228" s="46"/>
      <c r="R228" s="15">
        <v>1.54E-2</v>
      </c>
      <c r="S228" s="18">
        <f>(Tabela25[[#This Row],[FRETE]]+Tabela25[[#This Row],[DESPESAS]]+Tabela25[[#This Row],[IPI]]+Tabela25[[#This Row],[Vl. Produto]])*Tabela25[[#This Row],[Aliq.%]]</f>
        <v>0</v>
      </c>
    </row>
    <row r="229" spans="13:19" x14ac:dyDescent="0.25">
      <c r="M229" s="46"/>
      <c r="N229" s="46"/>
      <c r="O229" s="46"/>
      <c r="P229" s="46"/>
      <c r="R229" s="15">
        <v>1.54E-2</v>
      </c>
      <c r="S229" s="18">
        <f>(Tabela25[[#This Row],[FRETE]]+Tabela25[[#This Row],[DESPESAS]]+Tabela25[[#This Row],[IPI]]+Tabela25[[#This Row],[Vl. Produto]])*Tabela25[[#This Row],[Aliq.%]]</f>
        <v>0</v>
      </c>
    </row>
    <row r="230" spans="13:19" x14ac:dyDescent="0.25">
      <c r="M230" s="46"/>
      <c r="N230" s="46"/>
      <c r="O230" s="46"/>
      <c r="P230" s="46"/>
      <c r="R230" s="15">
        <v>1.54E-2</v>
      </c>
      <c r="S230" s="18">
        <f>(Tabela25[[#This Row],[FRETE]]+Tabela25[[#This Row],[DESPESAS]]+Tabela25[[#This Row],[IPI]]+Tabela25[[#This Row],[Vl. Produto]])*Tabela25[[#This Row],[Aliq.%]]</f>
        <v>0</v>
      </c>
    </row>
    <row r="231" spans="13:19" x14ac:dyDescent="0.25">
      <c r="M231" s="46"/>
      <c r="N231" s="46"/>
      <c r="O231" s="46"/>
      <c r="P231" s="46"/>
      <c r="R231" s="15">
        <v>1.54E-2</v>
      </c>
      <c r="S231" s="18">
        <f>(Tabela25[[#This Row],[FRETE]]+Tabela25[[#This Row],[DESPESAS]]+Tabela25[[#This Row],[IPI]]+Tabela25[[#This Row],[Vl. Produto]])*Tabela25[[#This Row],[Aliq.%]]</f>
        <v>0</v>
      </c>
    </row>
    <row r="232" spans="13:19" x14ac:dyDescent="0.25">
      <c r="M232" s="46"/>
      <c r="N232" s="46"/>
      <c r="O232" s="46"/>
      <c r="P232" s="46"/>
      <c r="R232" s="15">
        <v>1.54E-2</v>
      </c>
      <c r="S232" s="18">
        <f>(Tabela25[[#This Row],[FRETE]]+Tabela25[[#This Row],[DESPESAS]]+Tabela25[[#This Row],[IPI]]+Tabela25[[#This Row],[Vl. Produto]])*Tabela25[[#This Row],[Aliq.%]]</f>
        <v>0</v>
      </c>
    </row>
    <row r="233" spans="13:19" x14ac:dyDescent="0.25">
      <c r="M233" s="46"/>
      <c r="N233" s="46"/>
      <c r="O233" s="46"/>
      <c r="P233" s="46"/>
      <c r="R233" s="15">
        <v>1.54E-2</v>
      </c>
      <c r="S233" s="18">
        <f>(Tabela25[[#This Row],[FRETE]]+Tabela25[[#This Row],[DESPESAS]]+Tabela25[[#This Row],[IPI]]+Tabela25[[#This Row],[Vl. Produto]])*Tabela25[[#This Row],[Aliq.%]]</f>
        <v>0</v>
      </c>
    </row>
    <row r="234" spans="13:19" x14ac:dyDescent="0.25">
      <c r="M234" s="46"/>
      <c r="N234" s="46"/>
      <c r="O234" s="46"/>
      <c r="P234" s="46"/>
      <c r="R234" s="15">
        <v>1.54E-2</v>
      </c>
      <c r="S234" s="18">
        <f>(Tabela25[[#This Row],[FRETE]]+Tabela25[[#This Row],[DESPESAS]]+Tabela25[[#This Row],[IPI]]+Tabela25[[#This Row],[Vl. Produto]])*Tabela25[[#This Row],[Aliq.%]]</f>
        <v>0</v>
      </c>
    </row>
    <row r="235" spans="13:19" x14ac:dyDescent="0.25">
      <c r="M235" s="46"/>
      <c r="N235" s="46"/>
      <c r="O235" s="46"/>
      <c r="P235" s="46"/>
      <c r="R235" s="15">
        <v>1.54E-2</v>
      </c>
      <c r="S235" s="18">
        <f>(Tabela25[[#This Row],[FRETE]]+Tabela25[[#This Row],[DESPESAS]]+Tabela25[[#This Row],[IPI]]+Tabela25[[#This Row],[Vl. Produto]])*Tabela25[[#This Row],[Aliq.%]]</f>
        <v>0</v>
      </c>
    </row>
    <row r="236" spans="13:19" x14ac:dyDescent="0.25">
      <c r="M236" s="46"/>
      <c r="N236" s="46"/>
      <c r="O236" s="46"/>
      <c r="P236" s="46"/>
      <c r="R236" s="15">
        <v>1.54E-2</v>
      </c>
      <c r="S236" s="18">
        <f>(Tabela25[[#This Row],[FRETE]]+Tabela25[[#This Row],[DESPESAS]]+Tabela25[[#This Row],[IPI]]+Tabela25[[#This Row],[Vl. Produto]])*Tabela25[[#This Row],[Aliq.%]]</f>
        <v>0</v>
      </c>
    </row>
    <row r="237" spans="13:19" x14ac:dyDescent="0.25">
      <c r="M237" s="46"/>
      <c r="N237" s="46"/>
      <c r="O237" s="46"/>
      <c r="P237" s="46"/>
      <c r="R237" s="15">
        <v>1.54E-2</v>
      </c>
      <c r="S237" s="18">
        <f>(Tabela25[[#This Row],[FRETE]]+Tabela25[[#This Row],[DESPESAS]]+Tabela25[[#This Row],[IPI]]+Tabela25[[#This Row],[Vl. Produto]])*Tabela25[[#This Row],[Aliq.%]]</f>
        <v>0</v>
      </c>
    </row>
    <row r="238" spans="13:19" x14ac:dyDescent="0.25">
      <c r="M238" s="46"/>
      <c r="N238" s="46"/>
      <c r="O238" s="46"/>
      <c r="P238" s="46"/>
      <c r="R238" s="15">
        <v>1.54E-2</v>
      </c>
      <c r="S238" s="18">
        <f>(Tabela25[[#This Row],[FRETE]]+Tabela25[[#This Row],[DESPESAS]]+Tabela25[[#This Row],[IPI]]+Tabela25[[#This Row],[Vl. Produto]])*Tabela25[[#This Row],[Aliq.%]]</f>
        <v>0</v>
      </c>
    </row>
    <row r="239" spans="13:19" x14ac:dyDescent="0.25">
      <c r="M239" s="46"/>
      <c r="N239" s="46"/>
      <c r="O239" s="46"/>
      <c r="P239" s="46"/>
      <c r="R239" s="15">
        <v>1.54E-2</v>
      </c>
      <c r="S239" s="18">
        <f>(Tabela25[[#This Row],[FRETE]]+Tabela25[[#This Row],[DESPESAS]]+Tabela25[[#This Row],[IPI]]+Tabela25[[#This Row],[Vl. Produto]])*Tabela25[[#This Row],[Aliq.%]]</f>
        <v>0</v>
      </c>
    </row>
    <row r="240" spans="13:19" x14ac:dyDescent="0.25">
      <c r="M240" s="46"/>
      <c r="N240" s="46"/>
      <c r="O240" s="46"/>
      <c r="P240" s="46"/>
      <c r="R240" s="15">
        <v>1.54E-2</v>
      </c>
      <c r="S240" s="18">
        <f>(Tabela25[[#This Row],[FRETE]]+Tabela25[[#This Row],[DESPESAS]]+Tabela25[[#This Row],[IPI]]+Tabela25[[#This Row],[Vl. Produto]])*Tabela25[[#This Row],[Aliq.%]]</f>
        <v>0</v>
      </c>
    </row>
    <row r="241" spans="13:19" x14ac:dyDescent="0.25">
      <c r="M241" s="46"/>
      <c r="N241" s="46"/>
      <c r="O241" s="46"/>
      <c r="P241" s="46"/>
      <c r="R241" s="15">
        <v>1.54E-2</v>
      </c>
      <c r="S241" s="18">
        <f>(Tabela25[[#This Row],[FRETE]]+Tabela25[[#This Row],[DESPESAS]]+Tabela25[[#This Row],[IPI]]+Tabela25[[#This Row],[Vl. Produto]])*Tabela25[[#This Row],[Aliq.%]]</f>
        <v>0</v>
      </c>
    </row>
    <row r="242" spans="13:19" x14ac:dyDescent="0.25">
      <c r="M242" s="46"/>
      <c r="N242" s="46"/>
      <c r="O242" s="46"/>
      <c r="P242" s="46"/>
      <c r="R242" s="15">
        <v>1.54E-2</v>
      </c>
      <c r="S242" s="18">
        <f>(Tabela25[[#This Row],[FRETE]]+Tabela25[[#This Row],[DESPESAS]]+Tabela25[[#This Row],[IPI]]+Tabela25[[#This Row],[Vl. Produto]])*Tabela25[[#This Row],[Aliq.%]]</f>
        <v>0</v>
      </c>
    </row>
    <row r="243" spans="13:19" x14ac:dyDescent="0.25">
      <c r="M243" s="46"/>
      <c r="N243" s="46"/>
      <c r="O243" s="46"/>
      <c r="P243" s="46"/>
      <c r="R243" s="15">
        <v>1.54E-2</v>
      </c>
      <c r="S243" s="18">
        <f>(Tabela25[[#This Row],[FRETE]]+Tabela25[[#This Row],[DESPESAS]]+Tabela25[[#This Row],[IPI]]+Tabela25[[#This Row],[Vl. Produto]])*Tabela25[[#This Row],[Aliq.%]]</f>
        <v>0</v>
      </c>
    </row>
    <row r="244" spans="13:19" x14ac:dyDescent="0.25">
      <c r="M244" s="46"/>
      <c r="N244" s="46"/>
      <c r="O244" s="46"/>
      <c r="P244" s="46"/>
      <c r="R244" s="15">
        <v>1.54E-2</v>
      </c>
      <c r="S244" s="18">
        <f>(Tabela25[[#This Row],[FRETE]]+Tabela25[[#This Row],[DESPESAS]]+Tabela25[[#This Row],[IPI]]+Tabela25[[#This Row],[Vl. Produto]])*Tabela25[[#This Row],[Aliq.%]]</f>
        <v>0</v>
      </c>
    </row>
    <row r="245" spans="13:19" x14ac:dyDescent="0.25">
      <c r="M245" s="46"/>
      <c r="N245" s="46"/>
      <c r="O245" s="46"/>
      <c r="P245" s="46"/>
      <c r="R245" s="15">
        <v>1.54E-2</v>
      </c>
      <c r="S245" s="18">
        <f>(Tabela25[[#This Row],[FRETE]]+Tabela25[[#This Row],[DESPESAS]]+Tabela25[[#This Row],[IPI]]+Tabela25[[#This Row],[Vl. Produto]])*Tabela25[[#This Row],[Aliq.%]]</f>
        <v>0</v>
      </c>
    </row>
    <row r="246" spans="13:19" x14ac:dyDescent="0.25">
      <c r="M246" s="46"/>
      <c r="N246" s="46"/>
      <c r="O246" s="46"/>
      <c r="P246" s="46"/>
      <c r="R246" s="15">
        <v>1.54E-2</v>
      </c>
      <c r="S246" s="18">
        <f>(Tabela25[[#This Row],[FRETE]]+Tabela25[[#This Row],[DESPESAS]]+Tabela25[[#This Row],[IPI]]+Tabela25[[#This Row],[Vl. Produto]])*Tabela25[[#This Row],[Aliq.%]]</f>
        <v>0</v>
      </c>
    </row>
    <row r="247" spans="13:19" x14ac:dyDescent="0.25">
      <c r="M247" s="46"/>
      <c r="N247" s="46"/>
      <c r="O247" s="46"/>
      <c r="P247" s="46"/>
      <c r="R247" s="15">
        <v>1.54E-2</v>
      </c>
      <c r="S247" s="18">
        <f>(Tabela25[[#This Row],[FRETE]]+Tabela25[[#This Row],[DESPESAS]]+Tabela25[[#This Row],[IPI]]+Tabela25[[#This Row],[Vl. Produto]])*Tabela25[[#This Row],[Aliq.%]]</f>
        <v>0</v>
      </c>
    </row>
    <row r="248" spans="13:19" x14ac:dyDescent="0.25">
      <c r="M248" s="46"/>
      <c r="N248" s="46"/>
      <c r="O248" s="46"/>
      <c r="P248" s="46"/>
      <c r="R248" s="15">
        <v>1.54E-2</v>
      </c>
      <c r="S248" s="18">
        <f>(Tabela25[[#This Row],[FRETE]]+Tabela25[[#This Row],[DESPESAS]]+Tabela25[[#This Row],[IPI]]+Tabela25[[#This Row],[Vl. Produto]])*Tabela25[[#This Row],[Aliq.%]]</f>
        <v>0</v>
      </c>
    </row>
    <row r="249" spans="13:19" x14ac:dyDescent="0.25">
      <c r="M249" s="46"/>
      <c r="N249" s="46"/>
      <c r="O249" s="46"/>
      <c r="P249" s="46"/>
      <c r="R249" s="15">
        <v>1.54E-2</v>
      </c>
      <c r="S249" s="18">
        <f>(Tabela25[[#This Row],[FRETE]]+Tabela25[[#This Row],[DESPESAS]]+Tabela25[[#This Row],[IPI]]+Tabela25[[#This Row],[Vl. Produto]])*Tabela25[[#This Row],[Aliq.%]]</f>
        <v>0</v>
      </c>
    </row>
    <row r="250" spans="13:19" x14ac:dyDescent="0.25">
      <c r="M250" s="46"/>
      <c r="N250" s="46"/>
      <c r="O250" s="46"/>
      <c r="P250" s="46"/>
      <c r="R250" s="15">
        <v>1.54E-2</v>
      </c>
      <c r="S250" s="18">
        <f>(Tabela25[[#This Row],[FRETE]]+Tabela25[[#This Row],[DESPESAS]]+Tabela25[[#This Row],[IPI]]+Tabela25[[#This Row],[Vl. Produto]])*Tabela25[[#This Row],[Aliq.%]]</f>
        <v>0</v>
      </c>
    </row>
    <row r="251" spans="13:19" x14ac:dyDescent="0.25">
      <c r="M251" s="46"/>
      <c r="N251" s="46"/>
      <c r="O251" s="46"/>
      <c r="P251" s="46"/>
      <c r="R251" s="15">
        <v>1.54E-2</v>
      </c>
      <c r="S251" s="18">
        <f>(Tabela25[[#This Row],[FRETE]]+Tabela25[[#This Row],[DESPESAS]]+Tabela25[[#This Row],[IPI]]+Tabela25[[#This Row],[Vl. Produto]])*Tabela25[[#This Row],[Aliq.%]]</f>
        <v>0</v>
      </c>
    </row>
    <row r="252" spans="13:19" x14ac:dyDescent="0.25">
      <c r="M252" s="46"/>
      <c r="N252" s="46"/>
      <c r="O252" s="46"/>
      <c r="P252" s="46"/>
      <c r="R252" s="15">
        <v>1.54E-2</v>
      </c>
      <c r="S252" s="18">
        <f>(Tabela25[[#This Row],[FRETE]]+Tabela25[[#This Row],[DESPESAS]]+Tabela25[[#This Row],[IPI]]+Tabela25[[#This Row],[Vl. Produto]])*Tabela25[[#This Row],[Aliq.%]]</f>
        <v>0</v>
      </c>
    </row>
    <row r="253" spans="13:19" x14ac:dyDescent="0.25">
      <c r="M253" s="46"/>
      <c r="N253" s="46"/>
      <c r="O253" s="46"/>
      <c r="P253" s="46"/>
      <c r="R253" s="15">
        <v>1.54E-2</v>
      </c>
      <c r="S253" s="18">
        <f>(Tabela25[[#This Row],[FRETE]]+Tabela25[[#This Row],[DESPESAS]]+Tabela25[[#This Row],[IPI]]+Tabela25[[#This Row],[Vl. Produto]])*Tabela25[[#This Row],[Aliq.%]]</f>
        <v>0</v>
      </c>
    </row>
    <row r="254" spans="13:19" x14ac:dyDescent="0.25">
      <c r="M254" s="46"/>
      <c r="N254" s="46"/>
      <c r="O254" s="46"/>
      <c r="P254" s="46"/>
      <c r="R254" s="15">
        <v>1.54E-2</v>
      </c>
      <c r="S254" s="18">
        <f>(Tabela25[[#This Row],[FRETE]]+Tabela25[[#This Row],[DESPESAS]]+Tabela25[[#This Row],[IPI]]+Tabela25[[#This Row],[Vl. Produto]])*Tabela25[[#This Row],[Aliq.%]]</f>
        <v>0</v>
      </c>
    </row>
    <row r="255" spans="13:19" x14ac:dyDescent="0.25">
      <c r="M255" s="46"/>
      <c r="N255" s="46"/>
      <c r="O255" s="46"/>
      <c r="P255" s="46"/>
      <c r="R255" s="15">
        <v>1.54E-2</v>
      </c>
      <c r="S255" s="18">
        <f>(Tabela25[[#This Row],[FRETE]]+Tabela25[[#This Row],[DESPESAS]]+Tabela25[[#This Row],[IPI]]+Tabela25[[#This Row],[Vl. Produto]])*Tabela25[[#This Row],[Aliq.%]]</f>
        <v>0</v>
      </c>
    </row>
    <row r="256" spans="13:19" x14ac:dyDescent="0.25">
      <c r="M256" s="46"/>
      <c r="N256" s="46"/>
      <c r="O256" s="46"/>
      <c r="P256" s="46"/>
      <c r="R256" s="15">
        <v>1.54E-2</v>
      </c>
      <c r="S256" s="18">
        <f>(Tabela25[[#This Row],[FRETE]]+Tabela25[[#This Row],[DESPESAS]]+Tabela25[[#This Row],[IPI]]+Tabela25[[#This Row],[Vl. Produto]])*Tabela25[[#This Row],[Aliq.%]]</f>
        <v>0</v>
      </c>
    </row>
    <row r="257" spans="13:19" x14ac:dyDescent="0.25">
      <c r="M257" s="46"/>
      <c r="N257" s="46"/>
      <c r="O257" s="46"/>
      <c r="P257" s="46"/>
      <c r="R257" s="15">
        <v>1.54E-2</v>
      </c>
      <c r="S257" s="18">
        <f>(Tabela25[[#This Row],[FRETE]]+Tabela25[[#This Row],[DESPESAS]]+Tabela25[[#This Row],[IPI]]+Tabela25[[#This Row],[Vl. Produto]])*Tabela25[[#This Row],[Aliq.%]]</f>
        <v>0</v>
      </c>
    </row>
    <row r="258" spans="13:19" x14ac:dyDescent="0.25">
      <c r="M258" s="46"/>
      <c r="N258" s="46"/>
      <c r="O258" s="46"/>
      <c r="P258" s="46"/>
      <c r="R258" s="15">
        <v>1.54E-2</v>
      </c>
      <c r="S258" s="18">
        <f>(Tabela25[[#This Row],[FRETE]]+Tabela25[[#This Row],[DESPESAS]]+Tabela25[[#This Row],[IPI]]+Tabela25[[#This Row],[Vl. Produto]])*Tabela25[[#This Row],[Aliq.%]]</f>
        <v>0</v>
      </c>
    </row>
    <row r="259" spans="13:19" x14ac:dyDescent="0.25">
      <c r="M259" s="46"/>
      <c r="N259" s="46"/>
      <c r="O259" s="46"/>
      <c r="P259" s="46"/>
      <c r="R259" s="15">
        <v>1.54E-2</v>
      </c>
      <c r="S259" s="18">
        <f>(Tabela25[[#This Row],[FRETE]]+Tabela25[[#This Row],[DESPESAS]]+Tabela25[[#This Row],[IPI]]+Tabela25[[#This Row],[Vl. Produto]])*Tabela25[[#This Row],[Aliq.%]]</f>
        <v>0</v>
      </c>
    </row>
    <row r="260" spans="13:19" x14ac:dyDescent="0.25">
      <c r="M260" s="46"/>
      <c r="N260" s="46"/>
      <c r="O260" s="46"/>
      <c r="P260" s="46"/>
      <c r="R260" s="15">
        <v>1.54E-2</v>
      </c>
      <c r="S260" s="18">
        <f>(Tabela25[[#This Row],[FRETE]]+Tabela25[[#This Row],[DESPESAS]]+Tabela25[[#This Row],[IPI]]+Tabela25[[#This Row],[Vl. Produto]])*Tabela25[[#This Row],[Aliq.%]]</f>
        <v>0</v>
      </c>
    </row>
    <row r="261" spans="13:19" x14ac:dyDescent="0.25">
      <c r="M261" s="46"/>
      <c r="N261" s="46"/>
      <c r="O261" s="46"/>
      <c r="P261" s="46"/>
      <c r="R261" s="15">
        <v>1.54E-2</v>
      </c>
      <c r="S261" s="18">
        <f>(Tabela25[[#This Row],[FRETE]]+Tabela25[[#This Row],[DESPESAS]]+Tabela25[[#This Row],[IPI]]+Tabela25[[#This Row],[Vl. Produto]])*Tabela25[[#This Row],[Aliq.%]]</f>
        <v>0</v>
      </c>
    </row>
    <row r="262" spans="13:19" x14ac:dyDescent="0.25">
      <c r="M262" s="46"/>
      <c r="N262" s="46"/>
      <c r="O262" s="46"/>
      <c r="P262" s="46"/>
      <c r="R262" s="15">
        <v>1.54E-2</v>
      </c>
      <c r="S262" s="18">
        <f>(Tabela25[[#This Row],[FRETE]]+Tabela25[[#This Row],[DESPESAS]]+Tabela25[[#This Row],[IPI]]+Tabela25[[#This Row],[Vl. Produto]])*Tabela25[[#This Row],[Aliq.%]]</f>
        <v>0</v>
      </c>
    </row>
    <row r="263" spans="13:19" x14ac:dyDescent="0.25">
      <c r="M263" s="46"/>
      <c r="N263" s="46"/>
      <c r="O263" s="46"/>
      <c r="P263" s="46"/>
      <c r="R263" s="15">
        <v>1.54E-2</v>
      </c>
      <c r="S263" s="18">
        <f>(Tabela25[[#This Row],[FRETE]]+Tabela25[[#This Row],[DESPESAS]]+Tabela25[[#This Row],[IPI]]+Tabela25[[#This Row],[Vl. Produto]])*Tabela25[[#This Row],[Aliq.%]]</f>
        <v>0</v>
      </c>
    </row>
    <row r="264" spans="13:19" x14ac:dyDescent="0.25">
      <c r="M264" s="46"/>
      <c r="N264" s="46"/>
      <c r="O264" s="46"/>
      <c r="P264" s="46"/>
      <c r="R264" s="15">
        <v>1.54E-2</v>
      </c>
      <c r="S264" s="18">
        <f>(Tabela25[[#This Row],[FRETE]]+Tabela25[[#This Row],[DESPESAS]]+Tabela25[[#This Row],[IPI]]+Tabela25[[#This Row],[Vl. Produto]])*Tabela25[[#This Row],[Aliq.%]]</f>
        <v>0</v>
      </c>
    </row>
    <row r="265" spans="13:19" x14ac:dyDescent="0.25">
      <c r="M265" s="46"/>
      <c r="N265" s="46"/>
      <c r="O265" s="46"/>
      <c r="P265" s="46"/>
      <c r="R265" s="15">
        <v>1.54E-2</v>
      </c>
      <c r="S265" s="18">
        <f>(Tabela25[[#This Row],[FRETE]]+Tabela25[[#This Row],[DESPESAS]]+Tabela25[[#This Row],[IPI]]+Tabela25[[#This Row],[Vl. Produto]])*Tabela25[[#This Row],[Aliq.%]]</f>
        <v>0</v>
      </c>
    </row>
    <row r="266" spans="13:19" x14ac:dyDescent="0.25">
      <c r="M266" s="46"/>
      <c r="N266" s="46"/>
      <c r="O266" s="46"/>
      <c r="P266" s="46"/>
      <c r="R266" s="15">
        <v>1.54E-2</v>
      </c>
      <c r="S266" s="18">
        <f>(Tabela25[[#This Row],[FRETE]]+Tabela25[[#This Row],[DESPESAS]]+Tabela25[[#This Row],[IPI]]+Tabela25[[#This Row],[Vl. Produto]])*Tabela25[[#This Row],[Aliq.%]]</f>
        <v>0</v>
      </c>
    </row>
    <row r="267" spans="13:19" x14ac:dyDescent="0.25">
      <c r="M267" s="46"/>
      <c r="N267" s="46"/>
      <c r="O267" s="46"/>
      <c r="P267" s="46"/>
      <c r="R267" s="15">
        <v>1.54E-2</v>
      </c>
      <c r="S267" s="18">
        <f>(Tabela25[[#This Row],[FRETE]]+Tabela25[[#This Row],[DESPESAS]]+Tabela25[[#This Row],[IPI]]+Tabela25[[#This Row],[Vl. Produto]])*Tabela25[[#This Row],[Aliq.%]]</f>
        <v>0</v>
      </c>
    </row>
    <row r="268" spans="13:19" x14ac:dyDescent="0.25">
      <c r="M268" s="46"/>
      <c r="N268" s="46"/>
      <c r="O268" s="46"/>
      <c r="P268" s="46"/>
      <c r="R268" s="15">
        <v>1.54E-2</v>
      </c>
      <c r="S268" s="18">
        <f>(Tabela25[[#This Row],[FRETE]]+Tabela25[[#This Row],[DESPESAS]]+Tabela25[[#This Row],[IPI]]+Tabela25[[#This Row],[Vl. Produto]])*Tabela25[[#This Row],[Aliq.%]]</f>
        <v>0</v>
      </c>
    </row>
    <row r="269" spans="13:19" x14ac:dyDescent="0.25">
      <c r="M269" s="46"/>
      <c r="N269" s="46"/>
      <c r="O269" s="46"/>
      <c r="P269" s="46"/>
      <c r="R269" s="15">
        <v>1.54E-2</v>
      </c>
      <c r="S269" s="18">
        <f>(Tabela25[[#This Row],[FRETE]]+Tabela25[[#This Row],[DESPESAS]]+Tabela25[[#This Row],[IPI]]+Tabela25[[#This Row],[Vl. Produto]])*Tabela25[[#This Row],[Aliq.%]]</f>
        <v>0</v>
      </c>
    </row>
    <row r="270" spans="13:19" x14ac:dyDescent="0.25">
      <c r="M270" s="46"/>
      <c r="N270" s="46"/>
      <c r="O270" s="46"/>
      <c r="P270" s="46"/>
      <c r="R270" s="15">
        <v>1.54E-2</v>
      </c>
      <c r="S270" s="18">
        <f>(Tabela25[[#This Row],[FRETE]]+Tabela25[[#This Row],[DESPESAS]]+Tabela25[[#This Row],[IPI]]+Tabela25[[#This Row],[Vl. Produto]])*Tabela25[[#This Row],[Aliq.%]]</f>
        <v>0</v>
      </c>
    </row>
    <row r="271" spans="13:19" x14ac:dyDescent="0.25">
      <c r="M271" s="46"/>
      <c r="N271" s="46"/>
      <c r="O271" s="46"/>
      <c r="P271" s="46"/>
      <c r="R271" s="15">
        <v>1.54E-2</v>
      </c>
      <c r="S271" s="18">
        <f>(Tabela25[[#This Row],[FRETE]]+Tabela25[[#This Row],[DESPESAS]]+Tabela25[[#This Row],[IPI]]+Tabela25[[#This Row],[Vl. Produto]])*Tabela25[[#This Row],[Aliq.%]]</f>
        <v>0</v>
      </c>
    </row>
    <row r="272" spans="13:19" x14ac:dyDescent="0.25">
      <c r="M272" s="46"/>
      <c r="N272" s="46"/>
      <c r="O272" s="46"/>
      <c r="P272" s="46"/>
      <c r="R272" s="15">
        <v>1.54E-2</v>
      </c>
      <c r="S272" s="18">
        <f>(Tabela25[[#This Row],[FRETE]]+Tabela25[[#This Row],[DESPESAS]]+Tabela25[[#This Row],[IPI]]+Tabela25[[#This Row],[Vl. Produto]])*Tabela25[[#This Row],[Aliq.%]]</f>
        <v>0</v>
      </c>
    </row>
    <row r="273" spans="13:19" x14ac:dyDescent="0.25">
      <c r="M273" s="46"/>
      <c r="N273" s="46"/>
      <c r="O273" s="46"/>
      <c r="P273" s="46"/>
      <c r="R273" s="15">
        <v>1.54E-2</v>
      </c>
      <c r="S273" s="18">
        <f>(Tabela25[[#This Row],[FRETE]]+Tabela25[[#This Row],[DESPESAS]]+Tabela25[[#This Row],[IPI]]+Tabela25[[#This Row],[Vl. Produto]])*Tabela25[[#This Row],[Aliq.%]]</f>
        <v>0</v>
      </c>
    </row>
    <row r="274" spans="13:19" x14ac:dyDescent="0.25">
      <c r="M274" s="46"/>
      <c r="N274" s="46"/>
      <c r="O274" s="46"/>
      <c r="P274" s="46"/>
      <c r="R274" s="15">
        <v>1.54E-2</v>
      </c>
      <c r="S274" s="18">
        <f>(Tabela25[[#This Row],[FRETE]]+Tabela25[[#This Row],[DESPESAS]]+Tabela25[[#This Row],[IPI]]+Tabela25[[#This Row],[Vl. Produto]])*Tabela25[[#This Row],[Aliq.%]]</f>
        <v>0</v>
      </c>
    </row>
    <row r="275" spans="13:19" x14ac:dyDescent="0.25">
      <c r="M275" s="46"/>
      <c r="N275" s="46"/>
      <c r="O275" s="46"/>
      <c r="P275" s="46"/>
      <c r="R275" s="15">
        <v>1.54E-2</v>
      </c>
      <c r="S275" s="18">
        <f>(Tabela25[[#This Row],[FRETE]]+Tabela25[[#This Row],[DESPESAS]]+Tabela25[[#This Row],[IPI]]+Tabela25[[#This Row],[Vl. Produto]])*Tabela25[[#This Row],[Aliq.%]]</f>
        <v>0</v>
      </c>
    </row>
    <row r="276" spans="13:19" x14ac:dyDescent="0.25">
      <c r="M276" s="46"/>
      <c r="N276" s="46"/>
      <c r="O276" s="46"/>
      <c r="P276" s="46"/>
      <c r="R276" s="15">
        <v>1.54E-2</v>
      </c>
      <c r="S276" s="18">
        <f>(Tabela25[[#This Row],[FRETE]]+Tabela25[[#This Row],[DESPESAS]]+Tabela25[[#This Row],[IPI]]+Tabela25[[#This Row],[Vl. Produto]])*Tabela25[[#This Row],[Aliq.%]]</f>
        <v>0</v>
      </c>
    </row>
    <row r="277" spans="13:19" x14ac:dyDescent="0.25">
      <c r="M277" s="46"/>
      <c r="N277" s="46"/>
      <c r="O277" s="46"/>
      <c r="P277" s="46"/>
      <c r="R277" s="15">
        <v>1.54E-2</v>
      </c>
      <c r="S277" s="18">
        <f>(Tabela25[[#This Row],[FRETE]]+Tabela25[[#This Row],[DESPESAS]]+Tabela25[[#This Row],[IPI]]+Tabela25[[#This Row],[Vl. Produto]])*Tabela25[[#This Row],[Aliq.%]]</f>
        <v>0</v>
      </c>
    </row>
    <row r="278" spans="13:19" x14ac:dyDescent="0.25">
      <c r="M278" s="46"/>
      <c r="N278" s="46"/>
      <c r="O278" s="46"/>
      <c r="P278" s="46"/>
      <c r="R278" s="15">
        <v>1.54E-2</v>
      </c>
      <c r="S278" s="18">
        <f>(Tabela25[[#This Row],[FRETE]]+Tabela25[[#This Row],[DESPESAS]]+Tabela25[[#This Row],[IPI]]+Tabela25[[#This Row],[Vl. Produto]])*Tabela25[[#This Row],[Aliq.%]]</f>
        <v>0</v>
      </c>
    </row>
    <row r="279" spans="13:19" x14ac:dyDescent="0.25">
      <c r="M279" s="46"/>
      <c r="N279" s="46"/>
      <c r="O279" s="46"/>
      <c r="P279" s="46"/>
      <c r="R279" s="15">
        <v>1.54E-2</v>
      </c>
      <c r="S279" s="18">
        <f>(Tabela25[[#This Row],[FRETE]]+Tabela25[[#This Row],[DESPESAS]]+Tabela25[[#This Row],[IPI]]+Tabela25[[#This Row],[Vl. Produto]])*Tabela25[[#This Row],[Aliq.%]]</f>
        <v>0</v>
      </c>
    </row>
    <row r="280" spans="13:19" x14ac:dyDescent="0.25">
      <c r="M280" s="46"/>
      <c r="N280" s="46"/>
      <c r="O280" s="46"/>
      <c r="P280" s="46"/>
      <c r="R280" s="15">
        <v>1.54E-2</v>
      </c>
      <c r="S280" s="18">
        <f>(Tabela25[[#This Row],[FRETE]]+Tabela25[[#This Row],[DESPESAS]]+Tabela25[[#This Row],[IPI]]+Tabela25[[#This Row],[Vl. Produto]])*Tabela25[[#This Row],[Aliq.%]]</f>
        <v>0</v>
      </c>
    </row>
    <row r="281" spans="13:19" x14ac:dyDescent="0.25">
      <c r="M281" s="46"/>
      <c r="N281" s="46"/>
      <c r="O281" s="46"/>
      <c r="P281" s="46"/>
      <c r="R281" s="15">
        <v>1.54E-2</v>
      </c>
      <c r="S281" s="18">
        <f>(Tabela25[[#This Row],[FRETE]]+Tabela25[[#This Row],[DESPESAS]]+Tabela25[[#This Row],[IPI]]+Tabela25[[#This Row],[Vl. Produto]])*Tabela25[[#This Row],[Aliq.%]]</f>
        <v>0</v>
      </c>
    </row>
    <row r="282" spans="13:19" x14ac:dyDescent="0.25">
      <c r="M282" s="46"/>
      <c r="N282" s="46"/>
      <c r="O282" s="46"/>
      <c r="P282" s="46"/>
      <c r="R282" s="15">
        <v>1.54E-2</v>
      </c>
      <c r="S282" s="18">
        <f>(Tabela25[[#This Row],[FRETE]]+Tabela25[[#This Row],[DESPESAS]]+Tabela25[[#This Row],[IPI]]+Tabela25[[#This Row],[Vl. Produto]])*Tabela25[[#This Row],[Aliq.%]]</f>
        <v>0</v>
      </c>
    </row>
    <row r="283" spans="13:19" x14ac:dyDescent="0.25">
      <c r="M283" s="46"/>
      <c r="N283" s="46"/>
      <c r="O283" s="46"/>
      <c r="P283" s="46"/>
      <c r="R283" s="15">
        <v>1.54E-2</v>
      </c>
      <c r="S283" s="18">
        <f>(Tabela25[[#This Row],[FRETE]]+Tabela25[[#This Row],[DESPESAS]]+Tabela25[[#This Row],[IPI]]+Tabela25[[#This Row],[Vl. Produto]])*Tabela25[[#This Row],[Aliq.%]]</f>
        <v>0</v>
      </c>
    </row>
    <row r="284" spans="13:19" x14ac:dyDescent="0.25">
      <c r="M284" s="46"/>
      <c r="N284" s="46"/>
      <c r="O284" s="46"/>
      <c r="P284" s="46"/>
      <c r="R284" s="15">
        <v>1.54E-2</v>
      </c>
      <c r="S284" s="18">
        <f>(Tabela25[[#This Row],[FRETE]]+Tabela25[[#This Row],[DESPESAS]]+Tabela25[[#This Row],[IPI]]+Tabela25[[#This Row],[Vl. Produto]])*Tabela25[[#This Row],[Aliq.%]]</f>
        <v>0</v>
      </c>
    </row>
    <row r="285" spans="13:19" x14ac:dyDescent="0.25">
      <c r="M285" s="46"/>
      <c r="N285" s="46"/>
      <c r="O285" s="46"/>
      <c r="P285" s="46"/>
      <c r="R285" s="15">
        <v>1.54E-2</v>
      </c>
      <c r="S285" s="18">
        <f>(Tabela25[[#This Row],[FRETE]]+Tabela25[[#This Row],[DESPESAS]]+Tabela25[[#This Row],[IPI]]+Tabela25[[#This Row],[Vl. Produto]])*Tabela25[[#This Row],[Aliq.%]]</f>
        <v>0</v>
      </c>
    </row>
    <row r="286" spans="13:19" x14ac:dyDescent="0.25">
      <c r="M286" s="46"/>
      <c r="N286" s="46"/>
      <c r="O286" s="46"/>
      <c r="P286" s="46"/>
      <c r="R286" s="15">
        <v>1.54E-2</v>
      </c>
      <c r="S286" s="18">
        <f>(Tabela25[[#This Row],[FRETE]]+Tabela25[[#This Row],[DESPESAS]]+Tabela25[[#This Row],[IPI]]+Tabela25[[#This Row],[Vl. Produto]])*Tabela25[[#This Row],[Aliq.%]]</f>
        <v>0</v>
      </c>
    </row>
    <row r="287" spans="13:19" x14ac:dyDescent="0.25">
      <c r="M287" s="46"/>
      <c r="N287" s="46"/>
      <c r="O287" s="46"/>
      <c r="P287" s="46"/>
      <c r="R287" s="15">
        <v>1.54E-2</v>
      </c>
      <c r="S287" s="18">
        <f>(Tabela25[[#This Row],[FRETE]]+Tabela25[[#This Row],[DESPESAS]]+Tabela25[[#This Row],[IPI]]+Tabela25[[#This Row],[Vl. Produto]])*Tabela25[[#This Row],[Aliq.%]]</f>
        <v>0</v>
      </c>
    </row>
    <row r="288" spans="13:19" x14ac:dyDescent="0.25">
      <c r="M288" s="46"/>
      <c r="N288" s="46"/>
      <c r="O288" s="46"/>
      <c r="P288" s="46"/>
      <c r="R288" s="15">
        <v>1.54E-2</v>
      </c>
      <c r="S288" s="18">
        <f>(Tabela25[[#This Row],[FRETE]]+Tabela25[[#This Row],[DESPESAS]]+Tabela25[[#This Row],[IPI]]+Tabela25[[#This Row],[Vl. Produto]])*Tabela25[[#This Row],[Aliq.%]]</f>
        <v>0</v>
      </c>
    </row>
    <row r="289" spans="13:19" x14ac:dyDescent="0.25">
      <c r="M289" s="46"/>
      <c r="N289" s="46"/>
      <c r="O289" s="46"/>
      <c r="P289" s="46"/>
      <c r="R289" s="15">
        <v>1.54E-2</v>
      </c>
      <c r="S289" s="18">
        <f>(Tabela25[[#This Row],[FRETE]]+Tabela25[[#This Row],[DESPESAS]]+Tabela25[[#This Row],[IPI]]+Tabela25[[#This Row],[Vl. Produto]])*Tabela25[[#This Row],[Aliq.%]]</f>
        <v>0</v>
      </c>
    </row>
    <row r="290" spans="13:19" x14ac:dyDescent="0.25">
      <c r="M290" s="46"/>
      <c r="N290" s="46"/>
      <c r="O290" s="46"/>
      <c r="P290" s="46"/>
      <c r="R290" s="15">
        <v>1.54E-2</v>
      </c>
      <c r="S290" s="18">
        <f>(Tabela25[[#This Row],[FRETE]]+Tabela25[[#This Row],[DESPESAS]]+Tabela25[[#This Row],[IPI]]+Tabela25[[#This Row],[Vl. Produto]])*Tabela25[[#This Row],[Aliq.%]]</f>
        <v>0</v>
      </c>
    </row>
    <row r="291" spans="13:19" x14ac:dyDescent="0.25">
      <c r="M291" s="46"/>
      <c r="N291" s="46"/>
      <c r="O291" s="46"/>
      <c r="P291" s="46"/>
      <c r="R291" s="15">
        <v>1.54E-2</v>
      </c>
      <c r="S291" s="18">
        <f>(Tabela25[[#This Row],[FRETE]]+Tabela25[[#This Row],[DESPESAS]]+Tabela25[[#This Row],[IPI]]+Tabela25[[#This Row],[Vl. Produto]])*Tabela25[[#This Row],[Aliq.%]]</f>
        <v>0</v>
      </c>
    </row>
    <row r="292" spans="13:19" x14ac:dyDescent="0.25">
      <c r="M292" s="46"/>
      <c r="N292" s="46"/>
      <c r="O292" s="46"/>
      <c r="P292" s="46"/>
      <c r="R292" s="15">
        <v>1.54E-2</v>
      </c>
      <c r="S292" s="18">
        <f>(Tabela25[[#This Row],[FRETE]]+Tabela25[[#This Row],[DESPESAS]]+Tabela25[[#This Row],[IPI]]+Tabela25[[#This Row],[Vl. Produto]])*Tabela25[[#This Row],[Aliq.%]]</f>
        <v>0</v>
      </c>
    </row>
    <row r="293" spans="13:19" x14ac:dyDescent="0.25">
      <c r="M293" s="46"/>
      <c r="N293" s="46"/>
      <c r="O293" s="46"/>
      <c r="P293" s="46"/>
      <c r="R293" s="15">
        <v>1.54E-2</v>
      </c>
      <c r="S293" s="18">
        <f>(Tabela25[[#This Row],[FRETE]]+Tabela25[[#This Row],[DESPESAS]]+Tabela25[[#This Row],[IPI]]+Tabela25[[#This Row],[Vl. Produto]])*Tabela25[[#This Row],[Aliq.%]]</f>
        <v>0</v>
      </c>
    </row>
    <row r="294" spans="13:19" x14ac:dyDescent="0.25">
      <c r="M294" s="46"/>
      <c r="N294" s="46"/>
      <c r="O294" s="46"/>
      <c r="P294" s="46"/>
      <c r="R294" s="15">
        <v>1.54E-2</v>
      </c>
      <c r="S294" s="18">
        <f>(Tabela25[[#This Row],[FRETE]]+Tabela25[[#This Row],[DESPESAS]]+Tabela25[[#This Row],[IPI]]+Tabela25[[#This Row],[Vl. Produto]])*Tabela25[[#This Row],[Aliq.%]]</f>
        <v>0</v>
      </c>
    </row>
    <row r="295" spans="13:19" x14ac:dyDescent="0.25">
      <c r="M295" s="46"/>
      <c r="N295" s="46"/>
      <c r="O295" s="46"/>
      <c r="P295" s="46"/>
      <c r="R295" s="15">
        <v>1.54E-2</v>
      </c>
      <c r="S295" s="18">
        <f>(Tabela25[[#This Row],[FRETE]]+Tabela25[[#This Row],[DESPESAS]]+Tabela25[[#This Row],[IPI]]+Tabela25[[#This Row],[Vl. Produto]])*Tabela25[[#This Row],[Aliq.%]]</f>
        <v>0</v>
      </c>
    </row>
    <row r="296" spans="13:19" x14ac:dyDescent="0.25">
      <c r="M296" s="46"/>
      <c r="N296" s="46"/>
      <c r="O296" s="46"/>
      <c r="P296" s="46"/>
      <c r="R296" s="15">
        <v>1.54E-2</v>
      </c>
      <c r="S296" s="18">
        <f>(Tabela25[[#This Row],[FRETE]]+Tabela25[[#This Row],[DESPESAS]]+Tabela25[[#This Row],[IPI]]+Tabela25[[#This Row],[Vl. Produto]])*Tabela25[[#This Row],[Aliq.%]]</f>
        <v>0</v>
      </c>
    </row>
    <row r="297" spans="13:19" x14ac:dyDescent="0.25">
      <c r="M297" s="46"/>
      <c r="N297" s="46"/>
      <c r="O297" s="46"/>
      <c r="P297" s="46"/>
      <c r="R297" s="15">
        <v>1.54E-2</v>
      </c>
      <c r="S297" s="18">
        <f>(Tabela25[[#This Row],[FRETE]]+Tabela25[[#This Row],[DESPESAS]]+Tabela25[[#This Row],[IPI]]+Tabela25[[#This Row],[Vl. Produto]])*Tabela25[[#This Row],[Aliq.%]]</f>
        <v>0</v>
      </c>
    </row>
    <row r="298" spans="13:19" x14ac:dyDescent="0.25">
      <c r="M298" s="46"/>
      <c r="N298" s="46"/>
      <c r="O298" s="46"/>
      <c r="P298" s="46"/>
      <c r="R298" s="15">
        <v>1.54E-2</v>
      </c>
      <c r="S298" s="18">
        <f>(Tabela25[[#This Row],[FRETE]]+Tabela25[[#This Row],[DESPESAS]]+Tabela25[[#This Row],[IPI]]+Tabela25[[#This Row],[Vl. Produto]])*Tabela25[[#This Row],[Aliq.%]]</f>
        <v>0</v>
      </c>
    </row>
    <row r="299" spans="13:19" x14ac:dyDescent="0.25">
      <c r="M299" s="46"/>
      <c r="N299" s="46"/>
      <c r="O299" s="46"/>
      <c r="P299" s="46"/>
      <c r="R299" s="15">
        <v>1.54E-2</v>
      </c>
      <c r="S299" s="18">
        <f>(Tabela25[[#This Row],[FRETE]]+Tabela25[[#This Row],[DESPESAS]]+Tabela25[[#This Row],[IPI]]+Tabela25[[#This Row],[Vl. Produto]])*Tabela25[[#This Row],[Aliq.%]]</f>
        <v>0</v>
      </c>
    </row>
    <row r="300" spans="13:19" x14ac:dyDescent="0.25">
      <c r="M300" s="46"/>
      <c r="N300" s="46"/>
      <c r="O300" s="46"/>
      <c r="P300" s="46"/>
      <c r="R300" s="15">
        <v>1.54E-2</v>
      </c>
      <c r="S300" s="18">
        <f>(Tabela25[[#This Row],[FRETE]]+Tabela25[[#This Row],[DESPESAS]]+Tabela25[[#This Row],[IPI]]+Tabela25[[#This Row],[Vl. Produto]])*Tabela25[[#This Row],[Aliq.%]]</f>
        <v>0</v>
      </c>
    </row>
    <row r="301" spans="13:19" x14ac:dyDescent="0.25">
      <c r="M301" s="46"/>
      <c r="N301" s="46"/>
      <c r="O301" s="46"/>
      <c r="P301" s="46"/>
      <c r="R301" s="15">
        <v>1.54E-2</v>
      </c>
      <c r="S301" s="18">
        <f>(Tabela25[[#This Row],[FRETE]]+Tabela25[[#This Row],[DESPESAS]]+Tabela25[[#This Row],[IPI]]+Tabela25[[#This Row],[Vl. Produto]])*Tabela25[[#This Row],[Aliq.%]]</f>
        <v>0</v>
      </c>
    </row>
    <row r="302" spans="13:19" x14ac:dyDescent="0.25">
      <c r="M302" s="46"/>
      <c r="N302" s="46"/>
      <c r="O302" s="46"/>
      <c r="P302" s="46"/>
      <c r="R302" s="15">
        <v>1.54E-2</v>
      </c>
      <c r="S302" s="18">
        <f>(Tabela25[[#This Row],[FRETE]]+Tabela25[[#This Row],[DESPESAS]]+Tabela25[[#This Row],[IPI]]+Tabela25[[#This Row],[Vl. Produto]])*Tabela25[[#This Row],[Aliq.%]]</f>
        <v>0</v>
      </c>
    </row>
    <row r="303" spans="13:19" x14ac:dyDescent="0.25">
      <c r="M303" s="46"/>
      <c r="N303" s="46"/>
      <c r="O303" s="46"/>
      <c r="P303" s="46"/>
      <c r="R303" s="15">
        <v>1.54E-2</v>
      </c>
      <c r="S303" s="18">
        <f>(Tabela25[[#This Row],[FRETE]]+Tabela25[[#This Row],[DESPESAS]]+Tabela25[[#This Row],[IPI]]+Tabela25[[#This Row],[Vl. Produto]])*Tabela25[[#This Row],[Aliq.%]]</f>
        <v>0</v>
      </c>
    </row>
    <row r="304" spans="13:19" x14ac:dyDescent="0.25">
      <c r="M304" s="46"/>
      <c r="N304" s="46"/>
      <c r="O304" s="46"/>
      <c r="P304" s="46"/>
      <c r="R304" s="15">
        <v>1.54E-2</v>
      </c>
      <c r="S304" s="18">
        <f>(Tabela25[[#This Row],[FRETE]]+Tabela25[[#This Row],[DESPESAS]]+Tabela25[[#This Row],[IPI]]+Tabela25[[#This Row],[Vl. Produto]])*Tabela25[[#This Row],[Aliq.%]]</f>
        <v>0</v>
      </c>
    </row>
    <row r="305" spans="13:19" x14ac:dyDescent="0.25">
      <c r="M305" s="46"/>
      <c r="N305" s="46"/>
      <c r="O305" s="46"/>
      <c r="P305" s="46"/>
      <c r="R305" s="15">
        <v>1.54E-2</v>
      </c>
      <c r="S305" s="18">
        <f>(Tabela25[[#This Row],[FRETE]]+Tabela25[[#This Row],[DESPESAS]]+Tabela25[[#This Row],[IPI]]+Tabela25[[#This Row],[Vl. Produto]])*Tabela25[[#This Row],[Aliq.%]]</f>
        <v>0</v>
      </c>
    </row>
    <row r="306" spans="13:19" x14ac:dyDescent="0.25">
      <c r="M306" s="46"/>
      <c r="N306" s="46"/>
      <c r="O306" s="46"/>
      <c r="P306" s="46"/>
      <c r="R306" s="15">
        <v>1.54E-2</v>
      </c>
      <c r="S306" s="18">
        <f>(Tabela25[[#This Row],[FRETE]]+Tabela25[[#This Row],[DESPESAS]]+Tabela25[[#This Row],[IPI]]+Tabela25[[#This Row],[Vl. Produto]])*Tabela25[[#This Row],[Aliq.%]]</f>
        <v>0</v>
      </c>
    </row>
    <row r="307" spans="13:19" x14ac:dyDescent="0.25">
      <c r="M307" s="46"/>
      <c r="N307" s="46"/>
      <c r="O307" s="46"/>
      <c r="P307" s="46"/>
      <c r="R307" s="15">
        <v>1.54E-2</v>
      </c>
      <c r="S307" s="18">
        <f>(Tabela25[[#This Row],[FRETE]]+Tabela25[[#This Row],[DESPESAS]]+Tabela25[[#This Row],[IPI]]+Tabela25[[#This Row],[Vl. Produto]])*Tabela25[[#This Row],[Aliq.%]]</f>
        <v>0</v>
      </c>
    </row>
    <row r="308" spans="13:19" x14ac:dyDescent="0.25">
      <c r="M308" s="46"/>
      <c r="N308" s="46"/>
      <c r="O308" s="46"/>
      <c r="P308" s="46"/>
      <c r="R308" s="15">
        <v>1.54E-2</v>
      </c>
      <c r="S308" s="18">
        <f>(Tabela25[[#This Row],[FRETE]]+Tabela25[[#This Row],[DESPESAS]]+Tabela25[[#This Row],[IPI]]+Tabela25[[#This Row],[Vl. Produto]])*Tabela25[[#This Row],[Aliq.%]]</f>
        <v>0</v>
      </c>
    </row>
    <row r="309" spans="13:19" x14ac:dyDescent="0.25">
      <c r="M309" s="46"/>
      <c r="N309" s="46"/>
      <c r="O309" s="46"/>
      <c r="P309" s="46"/>
      <c r="R309" s="15">
        <v>1.54E-2</v>
      </c>
      <c r="S309" s="18">
        <f>(Tabela25[[#This Row],[FRETE]]+Tabela25[[#This Row],[DESPESAS]]+Tabela25[[#This Row],[IPI]]+Tabela25[[#This Row],[Vl. Produto]])*Tabela25[[#This Row],[Aliq.%]]</f>
        <v>0</v>
      </c>
    </row>
    <row r="310" spans="13:19" x14ac:dyDescent="0.25">
      <c r="M310" s="46"/>
      <c r="N310" s="46"/>
      <c r="O310" s="46"/>
      <c r="P310" s="46"/>
      <c r="R310" s="15">
        <v>1.54E-2</v>
      </c>
      <c r="S310" s="18">
        <f>(Tabela25[[#This Row],[FRETE]]+Tabela25[[#This Row],[DESPESAS]]+Tabela25[[#This Row],[IPI]]+Tabela25[[#This Row],[Vl. Produto]])*Tabela25[[#This Row],[Aliq.%]]</f>
        <v>0</v>
      </c>
    </row>
    <row r="311" spans="13:19" x14ac:dyDescent="0.25">
      <c r="M311" s="46"/>
      <c r="N311" s="46"/>
      <c r="O311" s="46"/>
      <c r="P311" s="46"/>
      <c r="R311" s="15">
        <v>1.54E-2</v>
      </c>
      <c r="S311" s="18">
        <f>(Tabela25[[#This Row],[FRETE]]+Tabela25[[#This Row],[DESPESAS]]+Tabela25[[#This Row],[IPI]]+Tabela25[[#This Row],[Vl. Produto]])*Tabela25[[#This Row],[Aliq.%]]</f>
        <v>0</v>
      </c>
    </row>
    <row r="312" spans="13:19" x14ac:dyDescent="0.25">
      <c r="M312" s="46"/>
      <c r="N312" s="46"/>
      <c r="O312" s="46"/>
      <c r="P312" s="46"/>
      <c r="R312" s="15">
        <v>1.54E-2</v>
      </c>
      <c r="S312" s="18">
        <f>(Tabela25[[#This Row],[FRETE]]+Tabela25[[#This Row],[DESPESAS]]+Tabela25[[#This Row],[IPI]]+Tabela25[[#This Row],[Vl. Produto]])*Tabela25[[#This Row],[Aliq.%]]</f>
        <v>0</v>
      </c>
    </row>
    <row r="313" spans="13:19" x14ac:dyDescent="0.25">
      <c r="M313" s="46"/>
      <c r="N313" s="46"/>
      <c r="O313" s="46"/>
      <c r="P313" s="46"/>
      <c r="R313" s="15">
        <v>1.54E-2</v>
      </c>
      <c r="S313" s="18">
        <f>(Tabela25[[#This Row],[FRETE]]+Tabela25[[#This Row],[DESPESAS]]+Tabela25[[#This Row],[IPI]]+Tabela25[[#This Row],[Vl. Produto]])*Tabela25[[#This Row],[Aliq.%]]</f>
        <v>0</v>
      </c>
    </row>
    <row r="314" spans="13:19" x14ac:dyDescent="0.25">
      <c r="M314" s="46"/>
      <c r="N314" s="46"/>
      <c r="O314" s="46"/>
      <c r="P314" s="46"/>
      <c r="R314" s="15">
        <v>1.54E-2</v>
      </c>
      <c r="S314" s="18">
        <f>(Tabela25[[#This Row],[FRETE]]+Tabela25[[#This Row],[DESPESAS]]+Tabela25[[#This Row],[IPI]]+Tabela25[[#This Row],[Vl. Produto]])*Tabela25[[#This Row],[Aliq.%]]</f>
        <v>0</v>
      </c>
    </row>
    <row r="315" spans="13:19" x14ac:dyDescent="0.25">
      <c r="M315" s="46"/>
      <c r="N315" s="46"/>
      <c r="O315" s="46"/>
      <c r="P315" s="46"/>
      <c r="R315" s="15">
        <v>1.54E-2</v>
      </c>
      <c r="S315" s="18">
        <f>(Tabela25[[#This Row],[FRETE]]+Tabela25[[#This Row],[DESPESAS]]+Tabela25[[#This Row],[IPI]]+Tabela25[[#This Row],[Vl. Produto]])*Tabela25[[#This Row],[Aliq.%]]</f>
        <v>0</v>
      </c>
    </row>
    <row r="316" spans="13:19" x14ac:dyDescent="0.25">
      <c r="M316" s="46"/>
      <c r="N316" s="46"/>
      <c r="O316" s="46"/>
      <c r="P316" s="46"/>
      <c r="R316" s="15">
        <v>1.54E-2</v>
      </c>
      <c r="S316" s="18">
        <f>(Tabela25[[#This Row],[FRETE]]+Tabela25[[#This Row],[DESPESAS]]+Tabela25[[#This Row],[IPI]]+Tabela25[[#This Row],[Vl. Produto]])*Tabela25[[#This Row],[Aliq.%]]</f>
        <v>0</v>
      </c>
    </row>
    <row r="317" spans="13:19" x14ac:dyDescent="0.25">
      <c r="M317" s="46"/>
      <c r="N317" s="46"/>
      <c r="O317" s="46"/>
      <c r="P317" s="46"/>
      <c r="R317" s="15">
        <v>1.54E-2</v>
      </c>
      <c r="S317" s="18">
        <f>(Tabela25[[#This Row],[FRETE]]+Tabela25[[#This Row],[DESPESAS]]+Tabela25[[#This Row],[IPI]]+Tabela25[[#This Row],[Vl. Produto]])*Tabela25[[#This Row],[Aliq.%]]</f>
        <v>0</v>
      </c>
    </row>
    <row r="318" spans="13:19" x14ac:dyDescent="0.25">
      <c r="M318" s="46"/>
      <c r="N318" s="46"/>
      <c r="O318" s="46"/>
      <c r="P318" s="46"/>
      <c r="R318" s="15">
        <v>1.54E-2</v>
      </c>
      <c r="S318" s="18">
        <f>(Tabela25[[#This Row],[FRETE]]+Tabela25[[#This Row],[DESPESAS]]+Tabela25[[#This Row],[IPI]]+Tabela25[[#This Row],[Vl. Produto]])*Tabela25[[#This Row],[Aliq.%]]</f>
        <v>0</v>
      </c>
    </row>
    <row r="319" spans="13:19" x14ac:dyDescent="0.25">
      <c r="M319" s="46"/>
      <c r="N319" s="46"/>
      <c r="O319" s="46"/>
      <c r="P319" s="46"/>
      <c r="R319" s="15">
        <v>1.54E-2</v>
      </c>
      <c r="S319" s="18">
        <f>(Tabela25[[#This Row],[FRETE]]+Tabela25[[#This Row],[DESPESAS]]+Tabela25[[#This Row],[IPI]]+Tabela25[[#This Row],[Vl. Produto]])*Tabela25[[#This Row],[Aliq.%]]</f>
        <v>0</v>
      </c>
    </row>
    <row r="320" spans="13:19" x14ac:dyDescent="0.25">
      <c r="M320" s="46"/>
      <c r="N320" s="46"/>
      <c r="O320" s="46"/>
      <c r="P320" s="46"/>
      <c r="R320" s="15">
        <v>1.54E-2</v>
      </c>
      <c r="S320" s="18">
        <f>(Tabela25[[#This Row],[FRETE]]+Tabela25[[#This Row],[DESPESAS]]+Tabela25[[#This Row],[IPI]]+Tabela25[[#This Row],[Vl. Produto]])*Tabela25[[#This Row],[Aliq.%]]</f>
        <v>0</v>
      </c>
    </row>
    <row r="321" spans="13:19" x14ac:dyDescent="0.25">
      <c r="M321" s="46"/>
      <c r="N321" s="46"/>
      <c r="O321" s="46"/>
      <c r="P321" s="46"/>
      <c r="R321" s="15">
        <v>1.54E-2</v>
      </c>
      <c r="S321" s="18">
        <f>(Tabela25[[#This Row],[FRETE]]+Tabela25[[#This Row],[DESPESAS]]+Tabela25[[#This Row],[IPI]]+Tabela25[[#This Row],[Vl. Produto]])*Tabela25[[#This Row],[Aliq.%]]</f>
        <v>0</v>
      </c>
    </row>
    <row r="322" spans="13:19" x14ac:dyDescent="0.25">
      <c r="M322" s="46"/>
      <c r="N322" s="46"/>
      <c r="O322" s="46"/>
      <c r="P322" s="46"/>
      <c r="R322" s="15">
        <v>1.54E-2</v>
      </c>
      <c r="S322" s="18">
        <f>(Tabela25[[#This Row],[FRETE]]+Tabela25[[#This Row],[DESPESAS]]+Tabela25[[#This Row],[IPI]]+Tabela25[[#This Row],[Vl. Produto]])*Tabela25[[#This Row],[Aliq.%]]</f>
        <v>0</v>
      </c>
    </row>
    <row r="323" spans="13:19" x14ac:dyDescent="0.25">
      <c r="M323" s="46"/>
      <c r="N323" s="46"/>
      <c r="O323" s="46"/>
      <c r="P323" s="46"/>
      <c r="R323" s="15">
        <v>1.54E-2</v>
      </c>
      <c r="S323" s="18">
        <f>(Tabela25[[#This Row],[FRETE]]+Tabela25[[#This Row],[DESPESAS]]+Tabela25[[#This Row],[IPI]]+Tabela25[[#This Row],[Vl. Produto]])*Tabela25[[#This Row],[Aliq.%]]</f>
        <v>0</v>
      </c>
    </row>
    <row r="324" spans="13:19" x14ac:dyDescent="0.25">
      <c r="M324" s="46"/>
      <c r="N324" s="46"/>
      <c r="O324" s="46"/>
      <c r="P324" s="46"/>
      <c r="R324" s="15">
        <v>1.54E-2</v>
      </c>
      <c r="S324" s="18">
        <f>(Tabela25[[#This Row],[FRETE]]+Tabela25[[#This Row],[DESPESAS]]+Tabela25[[#This Row],[IPI]]+Tabela25[[#This Row],[Vl. Produto]])*Tabela25[[#This Row],[Aliq.%]]</f>
        <v>0</v>
      </c>
    </row>
    <row r="325" spans="13:19" x14ac:dyDescent="0.25">
      <c r="M325" s="46"/>
      <c r="N325" s="46"/>
      <c r="O325" s="46"/>
      <c r="P325" s="46"/>
      <c r="R325" s="15">
        <v>1.54E-2</v>
      </c>
      <c r="S325" s="18">
        <f>(Tabela25[[#This Row],[FRETE]]+Tabela25[[#This Row],[DESPESAS]]+Tabela25[[#This Row],[IPI]]+Tabela25[[#This Row],[Vl. Produto]])*Tabela25[[#This Row],[Aliq.%]]</f>
        <v>0</v>
      </c>
    </row>
    <row r="326" spans="13:19" x14ac:dyDescent="0.25">
      <c r="M326" s="46"/>
      <c r="N326" s="46"/>
      <c r="O326" s="46"/>
      <c r="P326" s="46"/>
      <c r="R326" s="15">
        <v>1.54E-2</v>
      </c>
      <c r="S326" s="18">
        <f>(Tabela25[[#This Row],[FRETE]]+Tabela25[[#This Row],[DESPESAS]]+Tabela25[[#This Row],[IPI]]+Tabela25[[#This Row],[Vl. Produto]])*Tabela25[[#This Row],[Aliq.%]]</f>
        <v>0</v>
      </c>
    </row>
    <row r="327" spans="13:19" x14ac:dyDescent="0.25">
      <c r="M327" s="46"/>
      <c r="N327" s="46"/>
      <c r="O327" s="46"/>
      <c r="P327" s="46"/>
      <c r="R327" s="15">
        <v>1.54E-2</v>
      </c>
      <c r="S327" s="18">
        <f>(Tabela25[[#This Row],[FRETE]]+Tabela25[[#This Row],[DESPESAS]]+Tabela25[[#This Row],[IPI]]+Tabela25[[#This Row],[Vl. Produto]])*Tabela25[[#This Row],[Aliq.%]]</f>
        <v>0</v>
      </c>
    </row>
    <row r="328" spans="13:19" x14ac:dyDescent="0.25">
      <c r="M328" s="46"/>
      <c r="N328" s="46"/>
      <c r="O328" s="46"/>
      <c r="P328" s="46"/>
      <c r="R328" s="15">
        <v>1.54E-2</v>
      </c>
      <c r="S328" s="18">
        <f>(Tabela25[[#This Row],[FRETE]]+Tabela25[[#This Row],[DESPESAS]]+Tabela25[[#This Row],[IPI]]+Tabela25[[#This Row],[Vl. Produto]])*Tabela25[[#This Row],[Aliq.%]]</f>
        <v>0</v>
      </c>
    </row>
    <row r="329" spans="13:19" x14ac:dyDescent="0.25">
      <c r="M329" s="46"/>
      <c r="N329" s="46"/>
      <c r="O329" s="46"/>
      <c r="P329" s="46"/>
      <c r="R329" s="15">
        <v>1.54E-2</v>
      </c>
      <c r="S329" s="18">
        <f>(Tabela25[[#This Row],[FRETE]]+Tabela25[[#This Row],[DESPESAS]]+Tabela25[[#This Row],[IPI]]+Tabela25[[#This Row],[Vl. Produto]])*Tabela25[[#This Row],[Aliq.%]]</f>
        <v>0</v>
      </c>
    </row>
    <row r="330" spans="13:19" x14ac:dyDescent="0.25">
      <c r="M330" s="46"/>
      <c r="N330" s="46"/>
      <c r="O330" s="46"/>
      <c r="P330" s="46"/>
      <c r="R330" s="15">
        <v>1.54E-2</v>
      </c>
      <c r="S330" s="18">
        <f>(Tabela25[[#This Row],[FRETE]]+Tabela25[[#This Row],[DESPESAS]]+Tabela25[[#This Row],[IPI]]+Tabela25[[#This Row],[Vl. Produto]])*Tabela25[[#This Row],[Aliq.%]]</f>
        <v>0</v>
      </c>
    </row>
    <row r="331" spans="13:19" x14ac:dyDescent="0.25">
      <c r="M331" s="46"/>
      <c r="N331" s="46"/>
      <c r="O331" s="46"/>
      <c r="P331" s="46"/>
      <c r="R331" s="15">
        <v>1.54E-2</v>
      </c>
      <c r="S331" s="18">
        <f>(Tabela25[[#This Row],[FRETE]]+Tabela25[[#This Row],[DESPESAS]]+Tabela25[[#This Row],[IPI]]+Tabela25[[#This Row],[Vl. Produto]])*Tabela25[[#This Row],[Aliq.%]]</f>
        <v>0</v>
      </c>
    </row>
    <row r="332" spans="13:19" x14ac:dyDescent="0.25">
      <c r="M332" s="46"/>
      <c r="N332" s="46"/>
      <c r="O332" s="46"/>
      <c r="P332" s="46"/>
      <c r="R332" s="15">
        <v>1.54E-2</v>
      </c>
      <c r="S332" s="18">
        <f>(Tabela25[[#This Row],[FRETE]]+Tabela25[[#This Row],[DESPESAS]]+Tabela25[[#This Row],[IPI]]+Tabela25[[#This Row],[Vl. Produto]])*Tabela25[[#This Row],[Aliq.%]]</f>
        <v>0</v>
      </c>
    </row>
    <row r="333" spans="13:19" x14ac:dyDescent="0.25">
      <c r="M333" s="46"/>
      <c r="N333" s="46"/>
      <c r="O333" s="46"/>
      <c r="P333" s="46"/>
      <c r="R333" s="15">
        <v>1.54E-2</v>
      </c>
      <c r="S333" s="18">
        <f>(Tabela25[[#This Row],[FRETE]]+Tabela25[[#This Row],[DESPESAS]]+Tabela25[[#This Row],[IPI]]+Tabela25[[#This Row],[Vl. Produto]])*Tabela25[[#This Row],[Aliq.%]]</f>
        <v>0</v>
      </c>
    </row>
    <row r="334" spans="13:19" x14ac:dyDescent="0.25">
      <c r="M334" s="46"/>
      <c r="N334" s="46"/>
      <c r="O334" s="46"/>
      <c r="P334" s="46"/>
      <c r="R334" s="15">
        <v>1.54E-2</v>
      </c>
      <c r="S334" s="18">
        <f>(Tabela25[[#This Row],[FRETE]]+Tabela25[[#This Row],[DESPESAS]]+Tabela25[[#This Row],[IPI]]+Tabela25[[#This Row],[Vl. Produto]])*Tabela25[[#This Row],[Aliq.%]]</f>
        <v>0</v>
      </c>
    </row>
    <row r="335" spans="13:19" x14ac:dyDescent="0.25">
      <c r="M335" s="46"/>
      <c r="N335" s="46"/>
      <c r="O335" s="46"/>
      <c r="P335" s="46"/>
      <c r="R335" s="15">
        <v>1.54E-2</v>
      </c>
      <c r="S335" s="18">
        <f>(Tabela25[[#This Row],[FRETE]]+Tabela25[[#This Row],[DESPESAS]]+Tabela25[[#This Row],[IPI]]+Tabela25[[#This Row],[Vl. Produto]])*Tabela25[[#This Row],[Aliq.%]]</f>
        <v>0</v>
      </c>
    </row>
    <row r="336" spans="13:19" x14ac:dyDescent="0.25">
      <c r="M336" s="46"/>
      <c r="N336" s="46"/>
      <c r="O336" s="46"/>
      <c r="P336" s="46"/>
      <c r="R336" s="15">
        <v>1.54E-2</v>
      </c>
      <c r="S336" s="18">
        <f>(Tabela25[[#This Row],[FRETE]]+Tabela25[[#This Row],[DESPESAS]]+Tabela25[[#This Row],[IPI]]+Tabela25[[#This Row],[Vl. Produto]])*Tabela25[[#This Row],[Aliq.%]]</f>
        <v>0</v>
      </c>
    </row>
    <row r="337" spans="13:19" x14ac:dyDescent="0.25">
      <c r="M337" s="46"/>
      <c r="N337" s="46"/>
      <c r="O337" s="46"/>
      <c r="P337" s="46"/>
      <c r="R337" s="15">
        <v>1.54E-2</v>
      </c>
      <c r="S337" s="18">
        <f>(Tabela25[[#This Row],[FRETE]]+Tabela25[[#This Row],[DESPESAS]]+Tabela25[[#This Row],[IPI]]+Tabela25[[#This Row],[Vl. Produto]])*Tabela25[[#This Row],[Aliq.%]]</f>
        <v>0</v>
      </c>
    </row>
    <row r="338" spans="13:19" x14ac:dyDescent="0.25">
      <c r="M338" s="46"/>
      <c r="N338" s="46"/>
      <c r="O338" s="46"/>
      <c r="P338" s="46"/>
      <c r="R338" s="15">
        <v>1.54E-2</v>
      </c>
      <c r="S338" s="18">
        <f>(Tabela25[[#This Row],[FRETE]]+Tabela25[[#This Row],[DESPESAS]]+Tabela25[[#This Row],[IPI]]+Tabela25[[#This Row],[Vl. Produto]])*Tabela25[[#This Row],[Aliq.%]]</f>
        <v>0</v>
      </c>
    </row>
    <row r="339" spans="13:19" x14ac:dyDescent="0.25">
      <c r="M339" s="46"/>
      <c r="N339" s="46"/>
      <c r="O339" s="46"/>
      <c r="P339" s="46"/>
      <c r="R339" s="15">
        <v>1.54E-2</v>
      </c>
      <c r="S339" s="18">
        <f>(Tabela25[[#This Row],[FRETE]]+Tabela25[[#This Row],[DESPESAS]]+Tabela25[[#This Row],[IPI]]+Tabela25[[#This Row],[Vl. Produto]])*Tabela25[[#This Row],[Aliq.%]]</f>
        <v>0</v>
      </c>
    </row>
    <row r="340" spans="13:19" x14ac:dyDescent="0.25">
      <c r="M340" s="46"/>
      <c r="N340" s="46"/>
      <c r="O340" s="46"/>
      <c r="P340" s="46"/>
      <c r="R340" s="15">
        <v>1.54E-2</v>
      </c>
      <c r="S340" s="18">
        <f>(Tabela25[[#This Row],[FRETE]]+Tabela25[[#This Row],[DESPESAS]]+Tabela25[[#This Row],[IPI]]+Tabela25[[#This Row],[Vl. Produto]])*Tabela25[[#This Row],[Aliq.%]]</f>
        <v>0</v>
      </c>
    </row>
    <row r="341" spans="13:19" x14ac:dyDescent="0.25">
      <c r="M341" s="46"/>
      <c r="N341" s="46"/>
      <c r="O341" s="46"/>
      <c r="P341" s="46"/>
      <c r="R341" s="15">
        <v>1.54E-2</v>
      </c>
      <c r="S341" s="18">
        <f>(Tabela25[[#This Row],[FRETE]]+Tabela25[[#This Row],[DESPESAS]]+Tabela25[[#This Row],[IPI]]+Tabela25[[#This Row],[Vl. Produto]])*Tabela25[[#This Row],[Aliq.%]]</f>
        <v>0</v>
      </c>
    </row>
    <row r="342" spans="13:19" x14ac:dyDescent="0.25">
      <c r="M342" s="46"/>
      <c r="N342" s="46"/>
      <c r="O342" s="46"/>
      <c r="P342" s="46"/>
      <c r="R342" s="15">
        <v>1.54E-2</v>
      </c>
      <c r="S342" s="18">
        <f>(Tabela25[[#This Row],[FRETE]]+Tabela25[[#This Row],[DESPESAS]]+Tabela25[[#This Row],[IPI]]+Tabela25[[#This Row],[Vl. Produto]])*Tabela25[[#This Row],[Aliq.%]]</f>
        <v>0</v>
      </c>
    </row>
    <row r="343" spans="13:19" x14ac:dyDescent="0.25">
      <c r="M343" s="46"/>
      <c r="N343" s="46"/>
      <c r="O343" s="46"/>
      <c r="P343" s="46"/>
      <c r="R343" s="15">
        <v>1.54E-2</v>
      </c>
      <c r="S343" s="18">
        <f>(Tabela25[[#This Row],[FRETE]]+Tabela25[[#This Row],[DESPESAS]]+Tabela25[[#This Row],[IPI]]+Tabela25[[#This Row],[Vl. Produto]])*Tabela25[[#This Row],[Aliq.%]]</f>
        <v>0</v>
      </c>
    </row>
    <row r="344" spans="13:19" x14ac:dyDescent="0.25">
      <c r="M344" s="46"/>
      <c r="N344" s="46"/>
      <c r="O344" s="46"/>
      <c r="P344" s="46"/>
      <c r="R344" s="15">
        <v>1.54E-2</v>
      </c>
      <c r="S344" s="18">
        <f>(Tabela25[[#This Row],[FRETE]]+Tabela25[[#This Row],[DESPESAS]]+Tabela25[[#This Row],[IPI]]+Tabela25[[#This Row],[Vl. Produto]])*Tabela25[[#This Row],[Aliq.%]]</f>
        <v>0</v>
      </c>
    </row>
    <row r="345" spans="13:19" x14ac:dyDescent="0.25">
      <c r="M345" s="46"/>
      <c r="N345" s="46"/>
      <c r="O345" s="46"/>
      <c r="P345" s="46"/>
      <c r="R345" s="15">
        <v>1.54E-2</v>
      </c>
      <c r="S345" s="18">
        <f>(Tabela25[[#This Row],[FRETE]]+Tabela25[[#This Row],[DESPESAS]]+Tabela25[[#This Row],[IPI]]+Tabela25[[#This Row],[Vl. Produto]])*Tabela25[[#This Row],[Aliq.%]]</f>
        <v>0</v>
      </c>
    </row>
    <row r="346" spans="13:19" x14ac:dyDescent="0.25">
      <c r="M346" s="46"/>
      <c r="N346" s="46"/>
      <c r="O346" s="46"/>
      <c r="P346" s="46"/>
      <c r="R346" s="15">
        <v>1.54E-2</v>
      </c>
      <c r="S346" s="18">
        <f>(Tabela25[[#This Row],[FRETE]]+Tabela25[[#This Row],[DESPESAS]]+Tabela25[[#This Row],[IPI]]+Tabela25[[#This Row],[Vl. Produto]])*Tabela25[[#This Row],[Aliq.%]]</f>
        <v>0</v>
      </c>
    </row>
    <row r="347" spans="13:19" x14ac:dyDescent="0.25">
      <c r="M347" s="46"/>
      <c r="N347" s="46"/>
      <c r="O347" s="46"/>
      <c r="P347" s="46"/>
      <c r="R347" s="15">
        <v>1.54E-2</v>
      </c>
      <c r="S347" s="18">
        <f>(Tabela25[[#This Row],[FRETE]]+Tabela25[[#This Row],[DESPESAS]]+Tabela25[[#This Row],[IPI]]+Tabela25[[#This Row],[Vl. Produto]])*Tabela25[[#This Row],[Aliq.%]]</f>
        <v>0</v>
      </c>
    </row>
    <row r="348" spans="13:19" x14ac:dyDescent="0.25">
      <c r="M348" s="46"/>
      <c r="N348" s="46"/>
      <c r="O348" s="46"/>
      <c r="P348" s="46"/>
      <c r="R348" s="15">
        <v>1.54E-2</v>
      </c>
      <c r="S348" s="18">
        <f>(Tabela25[[#This Row],[FRETE]]+Tabela25[[#This Row],[DESPESAS]]+Tabela25[[#This Row],[IPI]]+Tabela25[[#This Row],[Vl. Produto]])*Tabela25[[#This Row],[Aliq.%]]</f>
        <v>0</v>
      </c>
    </row>
    <row r="349" spans="13:19" x14ac:dyDescent="0.25">
      <c r="M349" s="46"/>
      <c r="N349" s="46"/>
      <c r="O349" s="46"/>
      <c r="P349" s="46"/>
      <c r="R349" s="15">
        <v>1.54E-2</v>
      </c>
      <c r="S349" s="18">
        <f>(Tabela25[[#This Row],[FRETE]]+Tabela25[[#This Row],[DESPESAS]]+Tabela25[[#This Row],[IPI]]+Tabela25[[#This Row],[Vl. Produto]])*Tabela25[[#This Row],[Aliq.%]]</f>
        <v>0</v>
      </c>
    </row>
    <row r="350" spans="13:19" x14ac:dyDescent="0.25">
      <c r="M350" s="46"/>
      <c r="N350" s="46"/>
      <c r="O350" s="46"/>
      <c r="P350" s="46"/>
      <c r="R350" s="15">
        <v>1.54E-2</v>
      </c>
      <c r="S350" s="18">
        <f>(Tabela25[[#This Row],[FRETE]]+Tabela25[[#This Row],[DESPESAS]]+Tabela25[[#This Row],[IPI]]+Tabela25[[#This Row],[Vl. Produto]])*Tabela25[[#This Row],[Aliq.%]]</f>
        <v>0</v>
      </c>
    </row>
    <row r="351" spans="13:19" x14ac:dyDescent="0.25">
      <c r="M351" s="46"/>
      <c r="N351" s="46"/>
      <c r="O351" s="46"/>
      <c r="P351" s="46"/>
      <c r="R351" s="15">
        <v>1.54E-2</v>
      </c>
      <c r="S351" s="18">
        <f>(Tabela25[[#This Row],[FRETE]]+Tabela25[[#This Row],[DESPESAS]]+Tabela25[[#This Row],[IPI]]+Tabela25[[#This Row],[Vl. Produto]])*Tabela25[[#This Row],[Aliq.%]]</f>
        <v>0</v>
      </c>
    </row>
    <row r="352" spans="13:19" x14ac:dyDescent="0.25">
      <c r="M352" s="46"/>
      <c r="N352" s="46"/>
      <c r="O352" s="46"/>
      <c r="P352" s="46"/>
      <c r="R352" s="15">
        <v>1.54E-2</v>
      </c>
      <c r="S352" s="18">
        <f>(Tabela25[[#This Row],[FRETE]]+Tabela25[[#This Row],[DESPESAS]]+Tabela25[[#This Row],[IPI]]+Tabela25[[#This Row],[Vl. Produto]])*Tabela25[[#This Row],[Aliq.%]]</f>
        <v>0</v>
      </c>
    </row>
    <row r="353" spans="13:19" x14ac:dyDescent="0.25">
      <c r="M353" s="46"/>
      <c r="N353" s="46"/>
      <c r="O353" s="46"/>
      <c r="P353" s="46"/>
      <c r="R353" s="15">
        <v>1.54E-2</v>
      </c>
      <c r="S353" s="18">
        <f>(Tabela25[[#This Row],[FRETE]]+Tabela25[[#This Row],[DESPESAS]]+Tabela25[[#This Row],[IPI]]+Tabela25[[#This Row],[Vl. Produto]])*Tabela25[[#This Row],[Aliq.%]]</f>
        <v>0</v>
      </c>
    </row>
    <row r="354" spans="13:19" x14ac:dyDescent="0.25">
      <c r="M354" s="46"/>
      <c r="N354" s="46"/>
      <c r="O354" s="46"/>
      <c r="P354" s="46"/>
      <c r="R354" s="15">
        <v>1.54E-2</v>
      </c>
      <c r="S354" s="18">
        <f>(Tabela25[[#This Row],[FRETE]]+Tabela25[[#This Row],[DESPESAS]]+Tabela25[[#This Row],[IPI]]+Tabela25[[#This Row],[Vl. Produto]])*Tabela25[[#This Row],[Aliq.%]]</f>
        <v>0</v>
      </c>
    </row>
    <row r="355" spans="13:19" x14ac:dyDescent="0.25">
      <c r="M355" s="46"/>
      <c r="N355" s="46"/>
      <c r="O355" s="46"/>
      <c r="P355" s="46"/>
      <c r="R355" s="15">
        <v>1.54E-2</v>
      </c>
      <c r="S355" s="18">
        <f>(Tabela25[[#This Row],[FRETE]]+Tabela25[[#This Row],[DESPESAS]]+Tabela25[[#This Row],[IPI]]+Tabela25[[#This Row],[Vl. Produto]])*Tabela25[[#This Row],[Aliq.%]]</f>
        <v>0</v>
      </c>
    </row>
    <row r="356" spans="13:19" x14ac:dyDescent="0.25">
      <c r="M356" s="46"/>
      <c r="N356" s="46"/>
      <c r="O356" s="46"/>
      <c r="P356" s="46"/>
      <c r="R356" s="15">
        <v>1.54E-2</v>
      </c>
      <c r="S356" s="18">
        <f>(Tabela25[[#This Row],[FRETE]]+Tabela25[[#This Row],[DESPESAS]]+Tabela25[[#This Row],[IPI]]+Tabela25[[#This Row],[Vl. Produto]])*Tabela25[[#This Row],[Aliq.%]]</f>
        <v>0</v>
      </c>
    </row>
    <row r="357" spans="13:19" x14ac:dyDescent="0.25">
      <c r="M357" s="46"/>
      <c r="N357" s="46"/>
      <c r="O357" s="46"/>
      <c r="P357" s="46"/>
      <c r="R357" s="15">
        <v>1.54E-2</v>
      </c>
      <c r="S357" s="18">
        <f>(Tabela25[[#This Row],[FRETE]]+Tabela25[[#This Row],[DESPESAS]]+Tabela25[[#This Row],[IPI]]+Tabela25[[#This Row],[Vl. Produto]])*Tabela25[[#This Row],[Aliq.%]]</f>
        <v>0</v>
      </c>
    </row>
    <row r="358" spans="13:19" x14ac:dyDescent="0.25">
      <c r="M358" s="46"/>
      <c r="N358" s="46"/>
      <c r="O358" s="46"/>
      <c r="P358" s="46"/>
      <c r="R358" s="15">
        <v>1.54E-2</v>
      </c>
      <c r="S358" s="18">
        <f>(Tabela25[[#This Row],[FRETE]]+Tabela25[[#This Row],[DESPESAS]]+Tabela25[[#This Row],[IPI]]+Tabela25[[#This Row],[Vl. Produto]])*Tabela25[[#This Row],[Aliq.%]]</f>
        <v>0</v>
      </c>
    </row>
    <row r="359" spans="13:19" x14ac:dyDescent="0.25">
      <c r="M359" s="46"/>
      <c r="N359" s="46"/>
      <c r="O359" s="46"/>
      <c r="P359" s="46"/>
      <c r="R359" s="15">
        <v>1.54E-2</v>
      </c>
      <c r="S359" s="18">
        <f>(Tabela25[[#This Row],[FRETE]]+Tabela25[[#This Row],[DESPESAS]]+Tabela25[[#This Row],[IPI]]+Tabela25[[#This Row],[Vl. Produto]])*Tabela25[[#This Row],[Aliq.%]]</f>
        <v>0</v>
      </c>
    </row>
    <row r="360" spans="13:19" x14ac:dyDescent="0.25">
      <c r="M360" s="46"/>
      <c r="N360" s="46"/>
      <c r="O360" s="46"/>
      <c r="P360" s="46"/>
      <c r="R360" s="15">
        <v>1.54E-2</v>
      </c>
      <c r="S360" s="18">
        <f>(Tabela25[[#This Row],[FRETE]]+Tabela25[[#This Row],[DESPESAS]]+Tabela25[[#This Row],[IPI]]+Tabela25[[#This Row],[Vl. Produto]])*Tabela25[[#This Row],[Aliq.%]]</f>
        <v>0</v>
      </c>
    </row>
    <row r="361" spans="13:19" x14ac:dyDescent="0.25">
      <c r="M361" s="46"/>
      <c r="N361" s="46"/>
      <c r="O361" s="46"/>
      <c r="P361" s="46"/>
      <c r="R361" s="15">
        <v>1.54E-2</v>
      </c>
      <c r="S361" s="18">
        <f>(Tabela25[[#This Row],[FRETE]]+Tabela25[[#This Row],[DESPESAS]]+Tabela25[[#This Row],[IPI]]+Tabela25[[#This Row],[Vl. Produto]])*Tabela25[[#This Row],[Aliq.%]]</f>
        <v>0</v>
      </c>
    </row>
    <row r="362" spans="13:19" x14ac:dyDescent="0.25">
      <c r="M362" s="46"/>
      <c r="N362" s="46"/>
      <c r="O362" s="46"/>
      <c r="P362" s="46"/>
      <c r="R362" s="15">
        <v>1.54E-2</v>
      </c>
      <c r="S362" s="18">
        <f>(Tabela25[[#This Row],[FRETE]]+Tabela25[[#This Row],[DESPESAS]]+Tabela25[[#This Row],[IPI]]+Tabela25[[#This Row],[Vl. Produto]])*Tabela25[[#This Row],[Aliq.%]]</f>
        <v>0</v>
      </c>
    </row>
    <row r="363" spans="13:19" x14ac:dyDescent="0.25">
      <c r="M363" s="46"/>
      <c r="N363" s="46"/>
      <c r="O363" s="46"/>
      <c r="P363" s="46"/>
      <c r="R363" s="15">
        <v>1.54E-2</v>
      </c>
      <c r="S363" s="18">
        <f>(Tabela25[[#This Row],[FRETE]]+Tabela25[[#This Row],[DESPESAS]]+Tabela25[[#This Row],[IPI]]+Tabela25[[#This Row],[Vl. Produto]])*Tabela25[[#This Row],[Aliq.%]]</f>
        <v>0</v>
      </c>
    </row>
    <row r="364" spans="13:19" x14ac:dyDescent="0.25">
      <c r="M364" s="46"/>
      <c r="N364" s="46"/>
      <c r="O364" s="46"/>
      <c r="P364" s="46"/>
      <c r="R364" s="15">
        <v>1.54E-2</v>
      </c>
      <c r="S364" s="18">
        <f>(Tabela25[[#This Row],[FRETE]]+Tabela25[[#This Row],[DESPESAS]]+Tabela25[[#This Row],[IPI]]+Tabela25[[#This Row],[Vl. Produto]])*Tabela25[[#This Row],[Aliq.%]]</f>
        <v>0</v>
      </c>
    </row>
    <row r="365" spans="13:19" x14ac:dyDescent="0.25">
      <c r="M365" s="46"/>
      <c r="N365" s="46"/>
      <c r="O365" s="46"/>
      <c r="P365" s="46"/>
      <c r="R365" s="15">
        <v>1.54E-2</v>
      </c>
      <c r="S365" s="18">
        <f>(Tabela25[[#This Row],[FRETE]]+Tabela25[[#This Row],[DESPESAS]]+Tabela25[[#This Row],[IPI]]+Tabela25[[#This Row],[Vl. Produto]])*Tabela25[[#This Row],[Aliq.%]]</f>
        <v>0</v>
      </c>
    </row>
    <row r="366" spans="13:19" x14ac:dyDescent="0.25">
      <c r="M366" s="46"/>
      <c r="N366" s="46"/>
      <c r="O366" s="46"/>
      <c r="P366" s="46"/>
      <c r="R366" s="15">
        <v>1.54E-2</v>
      </c>
      <c r="S366" s="18">
        <f>(Tabela25[[#This Row],[FRETE]]+Tabela25[[#This Row],[DESPESAS]]+Tabela25[[#This Row],[IPI]]+Tabela25[[#This Row],[Vl. Produto]])*Tabela25[[#This Row],[Aliq.%]]</f>
        <v>0</v>
      </c>
    </row>
    <row r="367" spans="13:19" x14ac:dyDescent="0.25">
      <c r="M367" s="46"/>
      <c r="N367" s="46"/>
      <c r="O367" s="46"/>
      <c r="P367" s="46"/>
      <c r="R367" s="15">
        <v>1.54E-2</v>
      </c>
      <c r="S367" s="18">
        <f>(Tabela25[[#This Row],[FRETE]]+Tabela25[[#This Row],[DESPESAS]]+Tabela25[[#This Row],[IPI]]+Tabela25[[#This Row],[Vl. Produto]])*Tabela25[[#This Row],[Aliq.%]]</f>
        <v>0</v>
      </c>
    </row>
    <row r="368" spans="13:19" x14ac:dyDescent="0.25">
      <c r="M368" s="46"/>
      <c r="N368" s="46"/>
      <c r="O368" s="46"/>
      <c r="P368" s="46"/>
      <c r="R368" s="15">
        <v>1.54E-2</v>
      </c>
      <c r="S368" s="18">
        <f>(Tabela25[[#This Row],[FRETE]]+Tabela25[[#This Row],[DESPESAS]]+Tabela25[[#This Row],[IPI]]+Tabela25[[#This Row],[Vl. Produto]])*Tabela25[[#This Row],[Aliq.%]]</f>
        <v>0</v>
      </c>
    </row>
    <row r="369" spans="13:19" x14ac:dyDescent="0.25">
      <c r="M369" s="46"/>
      <c r="N369" s="46"/>
      <c r="O369" s="46"/>
      <c r="P369" s="46"/>
      <c r="R369" s="15">
        <v>1.54E-2</v>
      </c>
      <c r="S369" s="18">
        <f>(Tabela25[[#This Row],[FRETE]]+Tabela25[[#This Row],[DESPESAS]]+Tabela25[[#This Row],[IPI]]+Tabela25[[#This Row],[Vl. Produto]])*Tabela25[[#This Row],[Aliq.%]]</f>
        <v>0</v>
      </c>
    </row>
    <row r="370" spans="13:19" x14ac:dyDescent="0.25">
      <c r="M370" s="46"/>
      <c r="N370" s="46"/>
      <c r="O370" s="46"/>
      <c r="P370" s="46"/>
      <c r="R370" s="15">
        <v>1.54E-2</v>
      </c>
      <c r="S370" s="18">
        <f>(Tabela25[[#This Row],[FRETE]]+Tabela25[[#This Row],[DESPESAS]]+Tabela25[[#This Row],[IPI]]+Tabela25[[#This Row],[Vl. Produto]])*Tabela25[[#This Row],[Aliq.%]]</f>
        <v>0</v>
      </c>
    </row>
    <row r="371" spans="13:19" x14ac:dyDescent="0.25">
      <c r="M371" s="46"/>
      <c r="N371" s="46"/>
      <c r="O371" s="46"/>
      <c r="P371" s="46"/>
      <c r="R371" s="15">
        <v>1.54E-2</v>
      </c>
      <c r="S371" s="18">
        <f>(Tabela25[[#This Row],[FRETE]]+Tabela25[[#This Row],[DESPESAS]]+Tabela25[[#This Row],[IPI]]+Tabela25[[#This Row],[Vl. Produto]])*Tabela25[[#This Row],[Aliq.%]]</f>
        <v>0</v>
      </c>
    </row>
    <row r="372" spans="13:19" x14ac:dyDescent="0.25">
      <c r="M372" s="46"/>
      <c r="N372" s="46"/>
      <c r="O372" s="46"/>
      <c r="P372" s="46"/>
      <c r="R372" s="15">
        <v>1.54E-2</v>
      </c>
      <c r="S372" s="18">
        <f>(Tabela25[[#This Row],[FRETE]]+Tabela25[[#This Row],[DESPESAS]]+Tabela25[[#This Row],[IPI]]+Tabela25[[#This Row],[Vl. Produto]])*Tabela25[[#This Row],[Aliq.%]]</f>
        <v>0</v>
      </c>
    </row>
    <row r="373" spans="13:19" x14ac:dyDescent="0.25">
      <c r="M373" s="46"/>
      <c r="N373" s="46"/>
      <c r="O373" s="46"/>
      <c r="P373" s="46"/>
      <c r="R373" s="15">
        <v>1.54E-2</v>
      </c>
      <c r="S373" s="18">
        <f>(Tabela25[[#This Row],[FRETE]]+Tabela25[[#This Row],[DESPESAS]]+Tabela25[[#This Row],[IPI]]+Tabela25[[#This Row],[Vl. Produto]])*Tabela25[[#This Row],[Aliq.%]]</f>
        <v>0</v>
      </c>
    </row>
    <row r="374" spans="13:19" x14ac:dyDescent="0.25">
      <c r="M374" s="46"/>
      <c r="N374" s="46"/>
      <c r="O374" s="46"/>
      <c r="P374" s="46"/>
      <c r="R374" s="15">
        <v>1.54E-2</v>
      </c>
      <c r="S374" s="18">
        <f>(Tabela25[[#This Row],[FRETE]]+Tabela25[[#This Row],[DESPESAS]]+Tabela25[[#This Row],[IPI]]+Tabela25[[#This Row],[Vl. Produto]])*Tabela25[[#This Row],[Aliq.%]]</f>
        <v>0</v>
      </c>
    </row>
    <row r="375" spans="13:19" x14ac:dyDescent="0.25">
      <c r="M375" s="46"/>
      <c r="N375" s="46"/>
      <c r="O375" s="46"/>
      <c r="P375" s="46"/>
      <c r="R375" s="15">
        <v>1.54E-2</v>
      </c>
      <c r="S375" s="18">
        <f>(Tabela25[[#This Row],[FRETE]]+Tabela25[[#This Row],[DESPESAS]]+Tabela25[[#This Row],[IPI]]+Tabela25[[#This Row],[Vl. Produto]])*Tabela25[[#This Row],[Aliq.%]]</f>
        <v>0</v>
      </c>
    </row>
    <row r="376" spans="13:19" x14ac:dyDescent="0.25">
      <c r="M376" s="46"/>
      <c r="N376" s="46"/>
      <c r="O376" s="46"/>
      <c r="P376" s="46"/>
      <c r="R376" s="15">
        <v>1.54E-2</v>
      </c>
      <c r="S376" s="18">
        <f>(Tabela25[[#This Row],[FRETE]]+Tabela25[[#This Row],[DESPESAS]]+Tabela25[[#This Row],[IPI]]+Tabela25[[#This Row],[Vl. Produto]])*Tabela25[[#This Row],[Aliq.%]]</f>
        <v>0</v>
      </c>
    </row>
    <row r="377" spans="13:19" x14ac:dyDescent="0.25">
      <c r="M377" s="46"/>
      <c r="N377" s="46"/>
      <c r="O377" s="46"/>
      <c r="P377" s="46"/>
      <c r="R377" s="15">
        <v>1.54E-2</v>
      </c>
      <c r="S377" s="18">
        <f>(Tabela25[[#This Row],[FRETE]]+Tabela25[[#This Row],[DESPESAS]]+Tabela25[[#This Row],[IPI]]+Tabela25[[#This Row],[Vl. Produto]])*Tabela25[[#This Row],[Aliq.%]]</f>
        <v>0</v>
      </c>
    </row>
    <row r="378" spans="13:19" x14ac:dyDescent="0.25">
      <c r="M378" s="46"/>
      <c r="N378" s="46"/>
      <c r="O378" s="46"/>
      <c r="P378" s="46"/>
      <c r="R378" s="15">
        <v>1.54E-2</v>
      </c>
      <c r="S378" s="18">
        <f>(Tabela25[[#This Row],[FRETE]]+Tabela25[[#This Row],[DESPESAS]]+Tabela25[[#This Row],[IPI]]+Tabela25[[#This Row],[Vl. Produto]])*Tabela25[[#This Row],[Aliq.%]]</f>
        <v>0</v>
      </c>
    </row>
    <row r="379" spans="13:19" x14ac:dyDescent="0.25">
      <c r="M379" s="46"/>
      <c r="N379" s="46"/>
      <c r="O379" s="46"/>
      <c r="P379" s="46"/>
      <c r="R379" s="15">
        <v>1.54E-2</v>
      </c>
      <c r="S379" s="18">
        <f>(Tabela25[[#This Row],[FRETE]]+Tabela25[[#This Row],[DESPESAS]]+Tabela25[[#This Row],[IPI]]+Tabela25[[#This Row],[Vl. Produto]])*Tabela25[[#This Row],[Aliq.%]]</f>
        <v>0</v>
      </c>
    </row>
    <row r="380" spans="13:19" x14ac:dyDescent="0.25">
      <c r="M380" s="46"/>
      <c r="N380" s="46"/>
      <c r="O380" s="46"/>
      <c r="P380" s="46"/>
      <c r="R380" s="15">
        <v>1.54E-2</v>
      </c>
      <c r="S380" s="18">
        <f>(Tabela25[[#This Row],[FRETE]]+Tabela25[[#This Row],[DESPESAS]]+Tabela25[[#This Row],[IPI]]+Tabela25[[#This Row],[Vl. Produto]])*Tabela25[[#This Row],[Aliq.%]]</f>
        <v>0</v>
      </c>
    </row>
    <row r="381" spans="13:19" x14ac:dyDescent="0.25">
      <c r="M381" s="46"/>
      <c r="N381" s="46"/>
      <c r="O381" s="46"/>
      <c r="P381" s="46"/>
      <c r="R381" s="15">
        <v>1.54E-2</v>
      </c>
      <c r="S381" s="18">
        <f>(Tabela25[[#This Row],[FRETE]]+Tabela25[[#This Row],[DESPESAS]]+Tabela25[[#This Row],[IPI]]+Tabela25[[#This Row],[Vl. Produto]])*Tabela25[[#This Row],[Aliq.%]]</f>
        <v>0</v>
      </c>
    </row>
    <row r="382" spans="13:19" x14ac:dyDescent="0.25">
      <c r="M382" s="46"/>
      <c r="N382" s="46"/>
      <c r="O382" s="46"/>
      <c r="P382" s="46"/>
      <c r="R382" s="15">
        <v>1.54E-2</v>
      </c>
      <c r="S382" s="18">
        <f>(Tabela25[[#This Row],[FRETE]]+Tabela25[[#This Row],[DESPESAS]]+Tabela25[[#This Row],[IPI]]+Tabela25[[#This Row],[Vl. Produto]])*Tabela25[[#This Row],[Aliq.%]]</f>
        <v>0</v>
      </c>
    </row>
    <row r="383" spans="13:19" x14ac:dyDescent="0.25">
      <c r="M383" s="46"/>
      <c r="N383" s="46"/>
      <c r="O383" s="46"/>
      <c r="P383" s="46"/>
      <c r="R383" s="15">
        <v>1.54E-2</v>
      </c>
      <c r="S383" s="18">
        <f>(Tabela25[[#This Row],[FRETE]]+Tabela25[[#This Row],[DESPESAS]]+Tabela25[[#This Row],[IPI]]+Tabela25[[#This Row],[Vl. Produto]])*Tabela25[[#This Row],[Aliq.%]]</f>
        <v>0</v>
      </c>
    </row>
    <row r="384" spans="13:19" x14ac:dyDescent="0.25">
      <c r="M384" s="46"/>
      <c r="N384" s="46"/>
      <c r="O384" s="46"/>
      <c r="P384" s="46"/>
      <c r="R384" s="15">
        <v>1.54E-2</v>
      </c>
      <c r="S384" s="18">
        <f>(Tabela25[[#This Row],[FRETE]]+Tabela25[[#This Row],[DESPESAS]]+Tabela25[[#This Row],[IPI]]+Tabela25[[#This Row],[Vl. Produto]])*Tabela25[[#This Row],[Aliq.%]]</f>
        <v>0</v>
      </c>
    </row>
    <row r="385" spans="13:19" x14ac:dyDescent="0.25">
      <c r="M385" s="46"/>
      <c r="N385" s="46"/>
      <c r="O385" s="46"/>
      <c r="P385" s="46"/>
      <c r="R385" s="15">
        <v>1.54E-2</v>
      </c>
      <c r="S385" s="18">
        <f>(Tabela25[[#This Row],[FRETE]]+Tabela25[[#This Row],[DESPESAS]]+Tabela25[[#This Row],[IPI]]+Tabela25[[#This Row],[Vl. Produto]])*Tabela25[[#This Row],[Aliq.%]]</f>
        <v>0</v>
      </c>
    </row>
    <row r="386" spans="13:19" x14ac:dyDescent="0.25">
      <c r="M386" s="46"/>
      <c r="N386" s="46"/>
      <c r="O386" s="46"/>
      <c r="P386" s="46"/>
      <c r="R386" s="15">
        <v>1.54E-2</v>
      </c>
      <c r="S386" s="18">
        <f>(Tabela25[[#This Row],[FRETE]]+Tabela25[[#This Row],[DESPESAS]]+Tabela25[[#This Row],[IPI]]+Tabela25[[#This Row],[Vl. Produto]])*Tabela25[[#This Row],[Aliq.%]]</f>
        <v>0</v>
      </c>
    </row>
    <row r="387" spans="13:19" x14ac:dyDescent="0.25">
      <c r="M387" s="46"/>
      <c r="N387" s="46"/>
      <c r="O387" s="46"/>
      <c r="P387" s="46"/>
      <c r="R387" s="15">
        <v>1.54E-2</v>
      </c>
      <c r="S387" s="18">
        <f>(Tabela25[[#This Row],[FRETE]]+Tabela25[[#This Row],[DESPESAS]]+Tabela25[[#This Row],[IPI]]+Tabela25[[#This Row],[Vl. Produto]])*Tabela25[[#This Row],[Aliq.%]]</f>
        <v>0</v>
      </c>
    </row>
    <row r="388" spans="13:19" x14ac:dyDescent="0.25">
      <c r="M388" s="46"/>
      <c r="N388" s="46"/>
      <c r="O388" s="46"/>
      <c r="P388" s="46"/>
      <c r="R388" s="15">
        <v>1.54E-2</v>
      </c>
      <c r="S388" s="18">
        <f>(Tabela25[[#This Row],[FRETE]]+Tabela25[[#This Row],[DESPESAS]]+Tabela25[[#This Row],[IPI]]+Tabela25[[#This Row],[Vl. Produto]])*Tabela25[[#This Row],[Aliq.%]]</f>
        <v>0</v>
      </c>
    </row>
    <row r="389" spans="13:19" x14ac:dyDescent="0.25">
      <c r="M389" s="46"/>
      <c r="N389" s="46"/>
      <c r="O389" s="46"/>
      <c r="P389" s="46"/>
      <c r="R389" s="15">
        <v>1.54E-2</v>
      </c>
      <c r="S389" s="18">
        <f>(Tabela25[[#This Row],[FRETE]]+Tabela25[[#This Row],[DESPESAS]]+Tabela25[[#This Row],[IPI]]+Tabela25[[#This Row],[Vl. Produto]])*Tabela25[[#This Row],[Aliq.%]]</f>
        <v>0</v>
      </c>
    </row>
    <row r="390" spans="13:19" x14ac:dyDescent="0.25">
      <c r="M390" s="46"/>
      <c r="N390" s="46"/>
      <c r="O390" s="46"/>
      <c r="P390" s="46"/>
      <c r="R390" s="15">
        <v>1.54E-2</v>
      </c>
      <c r="S390" s="18">
        <f>(Tabela25[[#This Row],[FRETE]]+Tabela25[[#This Row],[DESPESAS]]+Tabela25[[#This Row],[IPI]]+Tabela25[[#This Row],[Vl. Produto]])*Tabela25[[#This Row],[Aliq.%]]</f>
        <v>0</v>
      </c>
    </row>
    <row r="391" spans="13:19" x14ac:dyDescent="0.25">
      <c r="M391" s="46"/>
      <c r="N391" s="46"/>
      <c r="O391" s="46"/>
      <c r="P391" s="46"/>
      <c r="R391" s="15">
        <v>1.54E-2</v>
      </c>
      <c r="S391" s="18">
        <f>(Tabela25[[#This Row],[FRETE]]+Tabela25[[#This Row],[DESPESAS]]+Tabela25[[#This Row],[IPI]]+Tabela25[[#This Row],[Vl. Produto]])*Tabela25[[#This Row],[Aliq.%]]</f>
        <v>0</v>
      </c>
    </row>
    <row r="392" spans="13:19" x14ac:dyDescent="0.25">
      <c r="M392" s="46"/>
      <c r="N392" s="46"/>
      <c r="O392" s="46"/>
      <c r="P392" s="46"/>
      <c r="R392" s="15">
        <v>1.54E-2</v>
      </c>
      <c r="S392" s="18">
        <f>(Tabela25[[#This Row],[FRETE]]+Tabela25[[#This Row],[DESPESAS]]+Tabela25[[#This Row],[IPI]]+Tabela25[[#This Row],[Vl. Produto]])*Tabela25[[#This Row],[Aliq.%]]</f>
        <v>0</v>
      </c>
    </row>
    <row r="393" spans="13:19" x14ac:dyDescent="0.25">
      <c r="M393" s="46"/>
      <c r="N393" s="46"/>
      <c r="O393" s="46"/>
      <c r="P393" s="46"/>
      <c r="R393" s="15">
        <v>1.54E-2</v>
      </c>
      <c r="S393" s="18">
        <f>(Tabela25[[#This Row],[FRETE]]+Tabela25[[#This Row],[DESPESAS]]+Tabela25[[#This Row],[IPI]]+Tabela25[[#This Row],[Vl. Produto]])*Tabela25[[#This Row],[Aliq.%]]</f>
        <v>0</v>
      </c>
    </row>
    <row r="394" spans="13:19" x14ac:dyDescent="0.25">
      <c r="M394" s="46"/>
      <c r="N394" s="46"/>
      <c r="O394" s="46"/>
      <c r="P394" s="46"/>
      <c r="R394" s="15">
        <v>1.54E-2</v>
      </c>
      <c r="S394" s="18">
        <f>(Tabela25[[#This Row],[FRETE]]+Tabela25[[#This Row],[DESPESAS]]+Tabela25[[#This Row],[IPI]]+Tabela25[[#This Row],[Vl. Produto]])*Tabela25[[#This Row],[Aliq.%]]</f>
        <v>0</v>
      </c>
    </row>
    <row r="395" spans="13:19" x14ac:dyDescent="0.25">
      <c r="M395" s="46"/>
      <c r="N395" s="46"/>
      <c r="O395" s="46"/>
      <c r="P395" s="46"/>
      <c r="R395" s="15">
        <v>1.54E-2</v>
      </c>
      <c r="S395" s="18">
        <f>(Tabela25[[#This Row],[FRETE]]+Tabela25[[#This Row],[DESPESAS]]+Tabela25[[#This Row],[IPI]]+Tabela25[[#This Row],[Vl. Produto]])*Tabela25[[#This Row],[Aliq.%]]</f>
        <v>0</v>
      </c>
    </row>
    <row r="396" spans="13:19" x14ac:dyDescent="0.25">
      <c r="M396" s="46"/>
      <c r="N396" s="46"/>
      <c r="O396" s="46"/>
      <c r="P396" s="46"/>
      <c r="R396" s="15">
        <v>1.54E-2</v>
      </c>
      <c r="S396" s="18">
        <f>(Tabela25[[#This Row],[FRETE]]+Tabela25[[#This Row],[DESPESAS]]+Tabela25[[#This Row],[IPI]]+Tabela25[[#This Row],[Vl. Produto]])*Tabela25[[#This Row],[Aliq.%]]</f>
        <v>0</v>
      </c>
    </row>
    <row r="397" spans="13:19" x14ac:dyDescent="0.25">
      <c r="M397" s="46"/>
      <c r="N397" s="46"/>
      <c r="O397" s="46"/>
      <c r="P397" s="46"/>
      <c r="R397" s="15">
        <v>1.54E-2</v>
      </c>
      <c r="S397" s="18">
        <f>(Tabela25[[#This Row],[FRETE]]+Tabela25[[#This Row],[DESPESAS]]+Tabela25[[#This Row],[IPI]]+Tabela25[[#This Row],[Vl. Produto]])*Tabela25[[#This Row],[Aliq.%]]</f>
        <v>0</v>
      </c>
    </row>
    <row r="398" spans="13:19" x14ac:dyDescent="0.25">
      <c r="M398" s="46"/>
      <c r="N398" s="46"/>
      <c r="O398" s="46"/>
      <c r="P398" s="46"/>
      <c r="R398" s="15">
        <v>1.54E-2</v>
      </c>
      <c r="S398" s="18">
        <f>(Tabela25[[#This Row],[FRETE]]+Tabela25[[#This Row],[DESPESAS]]+Tabela25[[#This Row],[IPI]]+Tabela25[[#This Row],[Vl. Produto]])*Tabela25[[#This Row],[Aliq.%]]</f>
        <v>0</v>
      </c>
    </row>
    <row r="399" spans="13:19" x14ac:dyDescent="0.25">
      <c r="M399" s="46"/>
      <c r="N399" s="46"/>
      <c r="O399" s="46"/>
      <c r="P399" s="46"/>
      <c r="R399" s="15">
        <v>1.54E-2</v>
      </c>
      <c r="S399" s="18">
        <f>(Tabela25[[#This Row],[FRETE]]+Tabela25[[#This Row],[DESPESAS]]+Tabela25[[#This Row],[IPI]]+Tabela25[[#This Row],[Vl. Produto]])*Tabela25[[#This Row],[Aliq.%]]</f>
        <v>0</v>
      </c>
    </row>
    <row r="400" spans="13:19" x14ac:dyDescent="0.25">
      <c r="M400" s="46"/>
      <c r="N400" s="46"/>
      <c r="O400" s="46"/>
      <c r="P400" s="46"/>
      <c r="R400" s="15">
        <v>1.54E-2</v>
      </c>
      <c r="S400" s="18">
        <f>(Tabela25[[#This Row],[FRETE]]+Tabela25[[#This Row],[DESPESAS]]+Tabela25[[#This Row],[IPI]]+Tabela25[[#This Row],[Vl. Produto]])*Tabela25[[#This Row],[Aliq.%]]</f>
        <v>0</v>
      </c>
    </row>
    <row r="401" spans="13:19" x14ac:dyDescent="0.25">
      <c r="M401" s="46"/>
      <c r="N401" s="46"/>
      <c r="O401" s="46"/>
      <c r="P401" s="46"/>
      <c r="R401" s="15">
        <v>1.54E-2</v>
      </c>
      <c r="S401" s="18">
        <f>(Tabela25[[#This Row],[FRETE]]+Tabela25[[#This Row],[DESPESAS]]+Tabela25[[#This Row],[IPI]]+Tabela25[[#This Row],[Vl. Produto]])*Tabela25[[#This Row],[Aliq.%]]</f>
        <v>0</v>
      </c>
    </row>
    <row r="402" spans="13:19" x14ac:dyDescent="0.25">
      <c r="M402" s="46"/>
      <c r="N402" s="46"/>
      <c r="O402" s="46"/>
      <c r="P402" s="46"/>
      <c r="R402" s="15">
        <v>1.54E-2</v>
      </c>
      <c r="S402" s="18">
        <f>(Tabela25[[#This Row],[FRETE]]+Tabela25[[#This Row],[DESPESAS]]+Tabela25[[#This Row],[IPI]]+Tabela25[[#This Row],[Vl. Produto]])*Tabela25[[#This Row],[Aliq.%]]</f>
        <v>0</v>
      </c>
    </row>
    <row r="403" spans="13:19" x14ac:dyDescent="0.25">
      <c r="M403" s="46"/>
      <c r="N403" s="46"/>
      <c r="O403" s="46"/>
      <c r="P403" s="46"/>
      <c r="R403" s="15">
        <v>1.54E-2</v>
      </c>
      <c r="S403" s="18">
        <f>(Tabela25[[#This Row],[FRETE]]+Tabela25[[#This Row],[DESPESAS]]+Tabela25[[#This Row],[IPI]]+Tabela25[[#This Row],[Vl. Produto]])*Tabela25[[#This Row],[Aliq.%]]</f>
        <v>0</v>
      </c>
    </row>
    <row r="404" spans="13:19" x14ac:dyDescent="0.25">
      <c r="M404" s="46"/>
      <c r="N404" s="46"/>
      <c r="O404" s="46"/>
      <c r="P404" s="46"/>
      <c r="R404" s="15">
        <v>1.54E-2</v>
      </c>
      <c r="S404" s="18">
        <f>(Tabela25[[#This Row],[FRETE]]+Tabela25[[#This Row],[DESPESAS]]+Tabela25[[#This Row],[IPI]]+Tabela25[[#This Row],[Vl. Produto]])*Tabela25[[#This Row],[Aliq.%]]</f>
        <v>0</v>
      </c>
    </row>
    <row r="405" spans="13:19" x14ac:dyDescent="0.25">
      <c r="M405" s="46"/>
      <c r="N405" s="46"/>
      <c r="O405" s="46"/>
      <c r="P405" s="46"/>
      <c r="R405" s="15">
        <v>1.54E-2</v>
      </c>
      <c r="S405" s="18">
        <f>(Tabela25[[#This Row],[FRETE]]+Tabela25[[#This Row],[DESPESAS]]+Tabela25[[#This Row],[IPI]]+Tabela25[[#This Row],[Vl. Produto]])*Tabela25[[#This Row],[Aliq.%]]</f>
        <v>0</v>
      </c>
    </row>
    <row r="406" spans="13:19" x14ac:dyDescent="0.25">
      <c r="M406" s="46"/>
      <c r="N406" s="46"/>
      <c r="O406" s="46"/>
      <c r="P406" s="46"/>
      <c r="R406" s="15">
        <v>1.54E-2</v>
      </c>
      <c r="S406" s="18">
        <f>(Tabela25[[#This Row],[FRETE]]+Tabela25[[#This Row],[DESPESAS]]+Tabela25[[#This Row],[IPI]]+Tabela25[[#This Row],[Vl. Produto]])*Tabela25[[#This Row],[Aliq.%]]</f>
        <v>0</v>
      </c>
    </row>
    <row r="407" spans="13:19" x14ac:dyDescent="0.25">
      <c r="M407" s="46"/>
      <c r="N407" s="46"/>
      <c r="O407" s="46"/>
      <c r="P407" s="46"/>
      <c r="R407" s="15">
        <v>1.54E-2</v>
      </c>
      <c r="S407" s="18">
        <f>(Tabela25[[#This Row],[FRETE]]+Tabela25[[#This Row],[DESPESAS]]+Tabela25[[#This Row],[IPI]]+Tabela25[[#This Row],[Vl. Produto]])*Tabela25[[#This Row],[Aliq.%]]</f>
        <v>0</v>
      </c>
    </row>
    <row r="408" spans="13:19" x14ac:dyDescent="0.25">
      <c r="M408" s="46"/>
      <c r="N408" s="46"/>
      <c r="O408" s="46"/>
      <c r="P408" s="46"/>
      <c r="R408" s="15">
        <v>1.54E-2</v>
      </c>
      <c r="S408" s="18">
        <f>(Tabela25[[#This Row],[FRETE]]+Tabela25[[#This Row],[DESPESAS]]+Tabela25[[#This Row],[IPI]]+Tabela25[[#This Row],[Vl. Produto]])*Tabela25[[#This Row],[Aliq.%]]</f>
        <v>0</v>
      </c>
    </row>
    <row r="409" spans="13:19" x14ac:dyDescent="0.25">
      <c r="M409" s="46"/>
      <c r="N409" s="46"/>
      <c r="O409" s="46"/>
      <c r="P409" s="46"/>
      <c r="R409" s="15">
        <v>1.54E-2</v>
      </c>
      <c r="S409" s="18">
        <f>(Tabela25[[#This Row],[FRETE]]+Tabela25[[#This Row],[DESPESAS]]+Tabela25[[#This Row],[IPI]]+Tabela25[[#This Row],[Vl. Produto]])*Tabela25[[#This Row],[Aliq.%]]</f>
        <v>0</v>
      </c>
    </row>
    <row r="410" spans="13:19" x14ac:dyDescent="0.25">
      <c r="M410" s="46"/>
      <c r="N410" s="46"/>
      <c r="O410" s="46"/>
      <c r="P410" s="46"/>
      <c r="R410" s="15">
        <v>1.54E-2</v>
      </c>
      <c r="S410" s="18">
        <f>(Tabela25[[#This Row],[FRETE]]+Tabela25[[#This Row],[DESPESAS]]+Tabela25[[#This Row],[IPI]]+Tabela25[[#This Row],[Vl. Produto]])*Tabela25[[#This Row],[Aliq.%]]</f>
        <v>0</v>
      </c>
    </row>
    <row r="411" spans="13:19" x14ac:dyDescent="0.25">
      <c r="M411" s="46"/>
      <c r="N411" s="46"/>
      <c r="O411" s="46"/>
      <c r="P411" s="46"/>
      <c r="R411" s="15">
        <v>1.54E-2</v>
      </c>
      <c r="S411" s="18">
        <f>(Tabela25[[#This Row],[FRETE]]+Tabela25[[#This Row],[DESPESAS]]+Tabela25[[#This Row],[IPI]]+Tabela25[[#This Row],[Vl. Produto]])*Tabela25[[#This Row],[Aliq.%]]</f>
        <v>0</v>
      </c>
    </row>
    <row r="412" spans="13:19" x14ac:dyDescent="0.25">
      <c r="M412" s="46"/>
      <c r="N412" s="46"/>
      <c r="O412" s="46"/>
      <c r="P412" s="46"/>
      <c r="R412" s="15">
        <v>1.54E-2</v>
      </c>
      <c r="S412" s="18">
        <f>(Tabela25[[#This Row],[FRETE]]+Tabela25[[#This Row],[DESPESAS]]+Tabela25[[#This Row],[IPI]]+Tabela25[[#This Row],[Vl. Produto]])*Tabela25[[#This Row],[Aliq.%]]</f>
        <v>0</v>
      </c>
    </row>
    <row r="413" spans="13:19" x14ac:dyDescent="0.25">
      <c r="M413" s="46"/>
      <c r="N413" s="46"/>
      <c r="O413" s="46"/>
      <c r="P413" s="46"/>
      <c r="R413" s="15">
        <v>1.54E-2</v>
      </c>
      <c r="S413" s="18">
        <f>(Tabela25[[#This Row],[FRETE]]+Tabela25[[#This Row],[DESPESAS]]+Tabela25[[#This Row],[IPI]]+Tabela25[[#This Row],[Vl. Produto]])*Tabela25[[#This Row],[Aliq.%]]</f>
        <v>0</v>
      </c>
    </row>
    <row r="414" spans="13:19" x14ac:dyDescent="0.25">
      <c r="M414" s="46"/>
      <c r="N414" s="46"/>
      <c r="O414" s="46"/>
      <c r="P414" s="46"/>
      <c r="R414" s="15">
        <v>1.54E-2</v>
      </c>
      <c r="S414" s="18">
        <f>(Tabela25[[#This Row],[FRETE]]+Tabela25[[#This Row],[DESPESAS]]+Tabela25[[#This Row],[IPI]]+Tabela25[[#This Row],[Vl. Produto]])*Tabela25[[#This Row],[Aliq.%]]</f>
        <v>0</v>
      </c>
    </row>
    <row r="415" spans="13:19" x14ac:dyDescent="0.25">
      <c r="M415" s="46"/>
      <c r="N415" s="46"/>
      <c r="O415" s="46"/>
      <c r="P415" s="46"/>
      <c r="R415" s="15">
        <v>1.54E-2</v>
      </c>
      <c r="S415" s="18">
        <f>(Tabela25[[#This Row],[FRETE]]+Tabela25[[#This Row],[DESPESAS]]+Tabela25[[#This Row],[IPI]]+Tabela25[[#This Row],[Vl. Produto]])*Tabela25[[#This Row],[Aliq.%]]</f>
        <v>0</v>
      </c>
    </row>
    <row r="416" spans="13:19" x14ac:dyDescent="0.25">
      <c r="M416" s="46"/>
      <c r="N416" s="46"/>
      <c r="O416" s="46"/>
      <c r="P416" s="46"/>
      <c r="R416" s="15">
        <v>1.54E-2</v>
      </c>
      <c r="S416" s="18">
        <f>(Tabela25[[#This Row],[FRETE]]+Tabela25[[#This Row],[DESPESAS]]+Tabela25[[#This Row],[IPI]]+Tabela25[[#This Row],[Vl. Produto]])*Tabela25[[#This Row],[Aliq.%]]</f>
        <v>0</v>
      </c>
    </row>
    <row r="417" spans="13:19" x14ac:dyDescent="0.25">
      <c r="M417" s="46"/>
      <c r="N417" s="46"/>
      <c r="O417" s="46"/>
      <c r="P417" s="46"/>
      <c r="R417" s="15">
        <v>1.54E-2</v>
      </c>
      <c r="S417" s="18">
        <f>(Tabela25[[#This Row],[FRETE]]+Tabela25[[#This Row],[DESPESAS]]+Tabela25[[#This Row],[IPI]]+Tabela25[[#This Row],[Vl. Produto]])*Tabela25[[#This Row],[Aliq.%]]</f>
        <v>0</v>
      </c>
    </row>
    <row r="418" spans="13:19" x14ac:dyDescent="0.25">
      <c r="M418" s="46"/>
      <c r="N418" s="46"/>
      <c r="O418" s="46"/>
      <c r="P418" s="46"/>
      <c r="R418" s="15">
        <v>1.54E-2</v>
      </c>
      <c r="S418" s="18">
        <f>(Tabela25[[#This Row],[FRETE]]+Tabela25[[#This Row],[DESPESAS]]+Tabela25[[#This Row],[IPI]]+Tabela25[[#This Row],[Vl. Produto]])*Tabela25[[#This Row],[Aliq.%]]</f>
        <v>0</v>
      </c>
    </row>
    <row r="419" spans="13:19" x14ac:dyDescent="0.25">
      <c r="M419" s="46"/>
      <c r="N419" s="46"/>
      <c r="O419" s="46"/>
      <c r="P419" s="46"/>
      <c r="R419" s="15">
        <v>1.54E-2</v>
      </c>
      <c r="S419" s="18">
        <f>(Tabela25[[#This Row],[FRETE]]+Tabela25[[#This Row],[DESPESAS]]+Tabela25[[#This Row],[IPI]]+Tabela25[[#This Row],[Vl. Produto]])*Tabela25[[#This Row],[Aliq.%]]</f>
        <v>0</v>
      </c>
    </row>
    <row r="420" spans="13:19" x14ac:dyDescent="0.25">
      <c r="M420" s="46"/>
      <c r="N420" s="46"/>
      <c r="O420" s="46"/>
      <c r="P420" s="46"/>
      <c r="R420" s="15">
        <v>1.54E-2</v>
      </c>
      <c r="S420" s="18">
        <f>(Tabela25[[#This Row],[FRETE]]+Tabela25[[#This Row],[DESPESAS]]+Tabela25[[#This Row],[IPI]]+Tabela25[[#This Row],[Vl. Produto]])*Tabela25[[#This Row],[Aliq.%]]</f>
        <v>0</v>
      </c>
    </row>
    <row r="421" spans="13:19" x14ac:dyDescent="0.25">
      <c r="M421" s="46"/>
      <c r="N421" s="46"/>
      <c r="O421" s="46"/>
      <c r="P421" s="46"/>
      <c r="R421" s="15">
        <v>1.54E-2</v>
      </c>
      <c r="S421" s="18">
        <f>(Tabela25[[#This Row],[FRETE]]+Tabela25[[#This Row],[DESPESAS]]+Tabela25[[#This Row],[IPI]]+Tabela25[[#This Row],[Vl. Produto]])*Tabela25[[#This Row],[Aliq.%]]</f>
        <v>0</v>
      </c>
    </row>
    <row r="422" spans="13:19" x14ac:dyDescent="0.25">
      <c r="M422" s="46"/>
      <c r="N422" s="46"/>
      <c r="O422" s="46"/>
      <c r="P422" s="46"/>
      <c r="R422" s="15">
        <v>1.54E-2</v>
      </c>
      <c r="S422" s="18">
        <f>(Tabela25[[#This Row],[FRETE]]+Tabela25[[#This Row],[DESPESAS]]+Tabela25[[#This Row],[IPI]]+Tabela25[[#This Row],[Vl. Produto]])*Tabela25[[#This Row],[Aliq.%]]</f>
        <v>0</v>
      </c>
    </row>
    <row r="423" spans="13:19" x14ac:dyDescent="0.25">
      <c r="M423" s="46"/>
      <c r="N423" s="46"/>
      <c r="O423" s="46"/>
      <c r="P423" s="46"/>
      <c r="R423" s="15">
        <v>1.54E-2</v>
      </c>
      <c r="S423" s="18">
        <f>(Tabela25[[#This Row],[FRETE]]+Tabela25[[#This Row],[DESPESAS]]+Tabela25[[#This Row],[IPI]]+Tabela25[[#This Row],[Vl. Produto]])*Tabela25[[#This Row],[Aliq.%]]</f>
        <v>0</v>
      </c>
    </row>
    <row r="424" spans="13:19" x14ac:dyDescent="0.25">
      <c r="M424" s="46"/>
      <c r="N424" s="46"/>
      <c r="O424" s="46"/>
      <c r="P424" s="46"/>
      <c r="R424" s="15">
        <v>1.54E-2</v>
      </c>
      <c r="S424" s="18">
        <f>(Tabela25[[#This Row],[FRETE]]+Tabela25[[#This Row],[DESPESAS]]+Tabela25[[#This Row],[IPI]]+Tabela25[[#This Row],[Vl. Produto]])*Tabela25[[#This Row],[Aliq.%]]</f>
        <v>0</v>
      </c>
    </row>
    <row r="425" spans="13:19" x14ac:dyDescent="0.25">
      <c r="M425" s="46"/>
      <c r="N425" s="46"/>
      <c r="O425" s="46"/>
      <c r="P425" s="46"/>
      <c r="R425" s="15">
        <v>1.54E-2</v>
      </c>
      <c r="S425" s="18">
        <f>(Tabela25[[#This Row],[FRETE]]+Tabela25[[#This Row],[DESPESAS]]+Tabela25[[#This Row],[IPI]]+Tabela25[[#This Row],[Vl. Produto]])*Tabela25[[#This Row],[Aliq.%]]</f>
        <v>0</v>
      </c>
    </row>
    <row r="426" spans="13:19" x14ac:dyDescent="0.25">
      <c r="M426" s="46"/>
      <c r="N426" s="46"/>
      <c r="O426" s="46"/>
      <c r="P426" s="46"/>
      <c r="R426" s="15">
        <v>1.54E-2</v>
      </c>
      <c r="S426" s="18">
        <f>(Tabela25[[#This Row],[FRETE]]+Tabela25[[#This Row],[DESPESAS]]+Tabela25[[#This Row],[IPI]]+Tabela25[[#This Row],[Vl. Produto]])*Tabela25[[#This Row],[Aliq.%]]</f>
        <v>0</v>
      </c>
    </row>
    <row r="427" spans="13:19" x14ac:dyDescent="0.25">
      <c r="M427" s="46"/>
      <c r="N427" s="46"/>
      <c r="O427" s="46"/>
      <c r="P427" s="46"/>
      <c r="R427" s="15">
        <v>1.54E-2</v>
      </c>
      <c r="S427" s="18">
        <f>(Tabela25[[#This Row],[FRETE]]+Tabela25[[#This Row],[DESPESAS]]+Tabela25[[#This Row],[IPI]]+Tabela25[[#This Row],[Vl. Produto]])*Tabela25[[#This Row],[Aliq.%]]</f>
        <v>0</v>
      </c>
    </row>
    <row r="428" spans="13:19" x14ac:dyDescent="0.25">
      <c r="M428" s="46"/>
      <c r="N428" s="46"/>
      <c r="O428" s="46"/>
      <c r="P428" s="46"/>
      <c r="R428" s="15">
        <v>1.54E-2</v>
      </c>
      <c r="S428" s="18">
        <f>(Tabela25[[#This Row],[FRETE]]+Tabela25[[#This Row],[DESPESAS]]+Tabela25[[#This Row],[IPI]]+Tabela25[[#This Row],[Vl. Produto]])*Tabela25[[#This Row],[Aliq.%]]</f>
        <v>0</v>
      </c>
    </row>
    <row r="429" spans="13:19" x14ac:dyDescent="0.25">
      <c r="M429" s="46"/>
      <c r="N429" s="46"/>
      <c r="O429" s="46"/>
      <c r="P429" s="46"/>
      <c r="R429" s="15">
        <v>1.54E-2</v>
      </c>
      <c r="S429" s="18">
        <f>(Tabela25[[#This Row],[FRETE]]+Tabela25[[#This Row],[DESPESAS]]+Tabela25[[#This Row],[IPI]]+Tabela25[[#This Row],[Vl. Produto]])*Tabela25[[#This Row],[Aliq.%]]</f>
        <v>0</v>
      </c>
    </row>
    <row r="430" spans="13:19" x14ac:dyDescent="0.25">
      <c r="M430" s="46"/>
      <c r="N430" s="46"/>
      <c r="O430" s="46"/>
      <c r="P430" s="46"/>
      <c r="R430" s="15">
        <v>1.54E-2</v>
      </c>
      <c r="S430" s="18">
        <f>(Tabela25[[#This Row],[FRETE]]+Tabela25[[#This Row],[DESPESAS]]+Tabela25[[#This Row],[IPI]]+Tabela25[[#This Row],[Vl. Produto]])*Tabela25[[#This Row],[Aliq.%]]</f>
        <v>0</v>
      </c>
    </row>
    <row r="431" spans="13:19" x14ac:dyDescent="0.25">
      <c r="M431" s="46"/>
      <c r="N431" s="46"/>
      <c r="O431" s="46"/>
      <c r="P431" s="46"/>
      <c r="R431" s="15">
        <v>1.54E-2</v>
      </c>
      <c r="S431" s="18">
        <f>(Tabela25[[#This Row],[FRETE]]+Tabela25[[#This Row],[DESPESAS]]+Tabela25[[#This Row],[IPI]]+Tabela25[[#This Row],[Vl. Produto]])*Tabela25[[#This Row],[Aliq.%]]</f>
        <v>0</v>
      </c>
    </row>
    <row r="432" spans="13:19" x14ac:dyDescent="0.25">
      <c r="M432" s="46"/>
      <c r="N432" s="46"/>
      <c r="O432" s="46"/>
      <c r="P432" s="46"/>
      <c r="R432" s="15">
        <v>1.54E-2</v>
      </c>
      <c r="S432" s="18">
        <f>(Tabela25[[#This Row],[FRETE]]+Tabela25[[#This Row],[DESPESAS]]+Tabela25[[#This Row],[IPI]]+Tabela25[[#This Row],[Vl. Produto]])*Tabela25[[#This Row],[Aliq.%]]</f>
        <v>0</v>
      </c>
    </row>
    <row r="433" spans="13:19" x14ac:dyDescent="0.25">
      <c r="M433" s="46"/>
      <c r="N433" s="46"/>
      <c r="O433" s="46"/>
      <c r="P433" s="46"/>
      <c r="R433" s="15">
        <v>1.54E-2</v>
      </c>
      <c r="S433" s="18">
        <f>(Tabela25[[#This Row],[FRETE]]+Tabela25[[#This Row],[DESPESAS]]+Tabela25[[#This Row],[IPI]]+Tabela25[[#This Row],[Vl. Produto]])*Tabela25[[#This Row],[Aliq.%]]</f>
        <v>0</v>
      </c>
    </row>
    <row r="434" spans="13:19" x14ac:dyDescent="0.25">
      <c r="M434" s="46"/>
      <c r="N434" s="46"/>
      <c r="O434" s="46"/>
      <c r="P434" s="46"/>
      <c r="R434" s="15">
        <v>1.54E-2</v>
      </c>
      <c r="S434" s="18">
        <f>(Tabela25[[#This Row],[FRETE]]+Tabela25[[#This Row],[DESPESAS]]+Tabela25[[#This Row],[IPI]]+Tabela25[[#This Row],[Vl. Produto]])*Tabela25[[#This Row],[Aliq.%]]</f>
        <v>0</v>
      </c>
    </row>
    <row r="435" spans="13:19" x14ac:dyDescent="0.25">
      <c r="M435" s="46"/>
      <c r="N435" s="46"/>
      <c r="O435" s="46"/>
      <c r="P435" s="46"/>
      <c r="R435" s="15">
        <v>1.54E-2</v>
      </c>
      <c r="S435" s="18">
        <f>(Tabela25[[#This Row],[FRETE]]+Tabela25[[#This Row],[DESPESAS]]+Tabela25[[#This Row],[IPI]]+Tabela25[[#This Row],[Vl. Produto]])*Tabela25[[#This Row],[Aliq.%]]</f>
        <v>0</v>
      </c>
    </row>
    <row r="436" spans="13:19" x14ac:dyDescent="0.25">
      <c r="M436" s="46"/>
      <c r="N436" s="46"/>
      <c r="O436" s="46"/>
      <c r="P436" s="46"/>
      <c r="R436" s="15">
        <v>1.54E-2</v>
      </c>
      <c r="S436" s="18">
        <f>(Tabela25[[#This Row],[FRETE]]+Tabela25[[#This Row],[DESPESAS]]+Tabela25[[#This Row],[IPI]]+Tabela25[[#This Row],[Vl. Produto]])*Tabela25[[#This Row],[Aliq.%]]</f>
        <v>0</v>
      </c>
    </row>
    <row r="437" spans="13:19" x14ac:dyDescent="0.25">
      <c r="M437" s="46"/>
      <c r="N437" s="46"/>
      <c r="O437" s="46"/>
      <c r="P437" s="46"/>
      <c r="R437" s="15">
        <v>1.54E-2</v>
      </c>
      <c r="S437" s="18">
        <f>(Tabela25[[#This Row],[FRETE]]+Tabela25[[#This Row],[DESPESAS]]+Tabela25[[#This Row],[IPI]]+Tabela25[[#This Row],[Vl. Produto]])*Tabela25[[#This Row],[Aliq.%]]</f>
        <v>0</v>
      </c>
    </row>
    <row r="438" spans="13:19" x14ac:dyDescent="0.25">
      <c r="M438" s="46"/>
      <c r="N438" s="46"/>
      <c r="O438" s="46"/>
      <c r="P438" s="46"/>
      <c r="R438" s="15">
        <v>1.54E-2</v>
      </c>
      <c r="S438" s="18">
        <f>(Tabela25[[#This Row],[FRETE]]+Tabela25[[#This Row],[DESPESAS]]+Tabela25[[#This Row],[IPI]]+Tabela25[[#This Row],[Vl. Produto]])*Tabela25[[#This Row],[Aliq.%]]</f>
        <v>0</v>
      </c>
    </row>
    <row r="439" spans="13:19" x14ac:dyDescent="0.25">
      <c r="M439" s="46"/>
      <c r="N439" s="46"/>
      <c r="O439" s="46"/>
      <c r="P439" s="46"/>
      <c r="R439" s="15">
        <v>1.54E-2</v>
      </c>
      <c r="S439" s="18">
        <f>(Tabela25[[#This Row],[FRETE]]+Tabela25[[#This Row],[DESPESAS]]+Tabela25[[#This Row],[IPI]]+Tabela25[[#This Row],[Vl. Produto]])*Tabela25[[#This Row],[Aliq.%]]</f>
        <v>0</v>
      </c>
    </row>
    <row r="440" spans="13:19" x14ac:dyDescent="0.25">
      <c r="M440" s="46"/>
      <c r="N440" s="46"/>
      <c r="O440" s="46"/>
      <c r="P440" s="46"/>
      <c r="R440" s="15">
        <v>1.54E-2</v>
      </c>
      <c r="S440" s="18">
        <f>(Tabela25[[#This Row],[FRETE]]+Tabela25[[#This Row],[DESPESAS]]+Tabela25[[#This Row],[IPI]]+Tabela25[[#This Row],[Vl. Produto]])*Tabela25[[#This Row],[Aliq.%]]</f>
        <v>0</v>
      </c>
    </row>
    <row r="441" spans="13:19" x14ac:dyDescent="0.25">
      <c r="M441" s="46"/>
      <c r="N441" s="46"/>
      <c r="O441" s="46"/>
      <c r="P441" s="46"/>
      <c r="R441" s="15">
        <v>1.54E-2</v>
      </c>
      <c r="S441" s="18">
        <f>(Tabela25[[#This Row],[FRETE]]+Tabela25[[#This Row],[DESPESAS]]+Tabela25[[#This Row],[IPI]]+Tabela25[[#This Row],[Vl. Produto]])*Tabela25[[#This Row],[Aliq.%]]</f>
        <v>0</v>
      </c>
    </row>
    <row r="442" spans="13:19" x14ac:dyDescent="0.25">
      <c r="M442" s="46"/>
      <c r="N442" s="46"/>
      <c r="O442" s="46"/>
      <c r="P442" s="46"/>
      <c r="R442" s="15">
        <v>1.54E-2</v>
      </c>
      <c r="S442" s="18">
        <f>(Tabela25[[#This Row],[FRETE]]+Tabela25[[#This Row],[DESPESAS]]+Tabela25[[#This Row],[IPI]]+Tabela25[[#This Row],[Vl. Produto]])*Tabela25[[#This Row],[Aliq.%]]</f>
        <v>0</v>
      </c>
    </row>
    <row r="443" spans="13:19" x14ac:dyDescent="0.25">
      <c r="M443" s="46"/>
      <c r="N443" s="46"/>
      <c r="O443" s="46"/>
      <c r="P443" s="46"/>
      <c r="R443" s="15">
        <v>1.54E-2</v>
      </c>
      <c r="S443" s="18">
        <f>(Tabela25[[#This Row],[FRETE]]+Tabela25[[#This Row],[DESPESAS]]+Tabela25[[#This Row],[IPI]]+Tabela25[[#This Row],[Vl. Produto]])*Tabela25[[#This Row],[Aliq.%]]</f>
        <v>0</v>
      </c>
    </row>
    <row r="444" spans="13:19" x14ac:dyDescent="0.25">
      <c r="M444" s="46"/>
      <c r="N444" s="46"/>
      <c r="O444" s="46"/>
      <c r="P444" s="46"/>
      <c r="R444" s="15">
        <v>1.54E-2</v>
      </c>
      <c r="S444" s="18">
        <f>(Tabela25[[#This Row],[FRETE]]+Tabela25[[#This Row],[DESPESAS]]+Tabela25[[#This Row],[IPI]]+Tabela25[[#This Row],[Vl. Produto]])*Tabela25[[#This Row],[Aliq.%]]</f>
        <v>0</v>
      </c>
    </row>
    <row r="445" spans="13:19" x14ac:dyDescent="0.25">
      <c r="M445" s="46"/>
      <c r="N445" s="46"/>
      <c r="O445" s="46"/>
      <c r="P445" s="46"/>
      <c r="R445" s="15">
        <v>1.54E-2</v>
      </c>
      <c r="S445" s="18">
        <f>(Tabela25[[#This Row],[FRETE]]+Tabela25[[#This Row],[DESPESAS]]+Tabela25[[#This Row],[IPI]]+Tabela25[[#This Row],[Vl. Produto]])*Tabela25[[#This Row],[Aliq.%]]</f>
        <v>0</v>
      </c>
    </row>
    <row r="446" spans="13:19" x14ac:dyDescent="0.25">
      <c r="M446" s="46"/>
      <c r="N446" s="46"/>
      <c r="O446" s="46"/>
      <c r="P446" s="46"/>
      <c r="R446" s="15">
        <v>1.54E-2</v>
      </c>
      <c r="S446" s="18">
        <f>(Tabela25[[#This Row],[FRETE]]+Tabela25[[#This Row],[DESPESAS]]+Tabela25[[#This Row],[IPI]]+Tabela25[[#This Row],[Vl. Produto]])*Tabela25[[#This Row],[Aliq.%]]</f>
        <v>0</v>
      </c>
    </row>
    <row r="447" spans="13:19" x14ac:dyDescent="0.25">
      <c r="M447" s="46"/>
      <c r="N447" s="46"/>
      <c r="O447" s="46"/>
      <c r="P447" s="46"/>
      <c r="R447" s="15">
        <v>1.54E-2</v>
      </c>
      <c r="S447" s="18">
        <f>(Tabela25[[#This Row],[FRETE]]+Tabela25[[#This Row],[DESPESAS]]+Tabela25[[#This Row],[IPI]]+Tabela25[[#This Row],[Vl. Produto]])*Tabela25[[#This Row],[Aliq.%]]</f>
        <v>0</v>
      </c>
    </row>
    <row r="448" spans="13:19" x14ac:dyDescent="0.25">
      <c r="M448" s="46"/>
      <c r="N448" s="46"/>
      <c r="O448" s="46"/>
      <c r="P448" s="46"/>
      <c r="R448" s="15">
        <v>1.54E-2</v>
      </c>
      <c r="S448" s="18">
        <f>(Tabela25[[#This Row],[FRETE]]+Tabela25[[#This Row],[DESPESAS]]+Tabela25[[#This Row],[IPI]]+Tabela25[[#This Row],[Vl. Produto]])*Tabela25[[#This Row],[Aliq.%]]</f>
        <v>0</v>
      </c>
    </row>
    <row r="449" spans="13:19" x14ac:dyDescent="0.25">
      <c r="M449" s="46"/>
      <c r="N449" s="46"/>
      <c r="O449" s="46"/>
      <c r="P449" s="46"/>
      <c r="R449" s="15">
        <v>1.54E-2</v>
      </c>
      <c r="S449" s="18">
        <f>(Tabela25[[#This Row],[FRETE]]+Tabela25[[#This Row],[DESPESAS]]+Tabela25[[#This Row],[IPI]]+Tabela25[[#This Row],[Vl. Produto]])*Tabela25[[#This Row],[Aliq.%]]</f>
        <v>0</v>
      </c>
    </row>
    <row r="450" spans="13:19" x14ac:dyDescent="0.25">
      <c r="M450" s="46"/>
      <c r="N450" s="46"/>
      <c r="O450" s="46"/>
      <c r="P450" s="46"/>
      <c r="R450" s="15">
        <v>1.54E-2</v>
      </c>
      <c r="S450" s="18">
        <f>(Tabela25[[#This Row],[FRETE]]+Tabela25[[#This Row],[DESPESAS]]+Tabela25[[#This Row],[IPI]]+Tabela25[[#This Row],[Vl. Produto]])*Tabela25[[#This Row],[Aliq.%]]</f>
        <v>0</v>
      </c>
    </row>
    <row r="451" spans="13:19" x14ac:dyDescent="0.25">
      <c r="M451" s="46"/>
      <c r="N451" s="46"/>
      <c r="O451" s="46"/>
      <c r="P451" s="46"/>
      <c r="R451" s="15">
        <v>1.54E-2</v>
      </c>
      <c r="S451" s="18">
        <f>(Tabela25[[#This Row],[FRETE]]+Tabela25[[#This Row],[DESPESAS]]+Tabela25[[#This Row],[IPI]]+Tabela25[[#This Row],[Vl. Produto]])*Tabela25[[#This Row],[Aliq.%]]</f>
        <v>0</v>
      </c>
    </row>
    <row r="452" spans="13:19" x14ac:dyDescent="0.25">
      <c r="M452" s="46"/>
      <c r="N452" s="46"/>
      <c r="O452" s="46"/>
      <c r="P452" s="46"/>
      <c r="R452" s="15">
        <v>1.54E-2</v>
      </c>
      <c r="S452" s="18">
        <f>(Tabela25[[#This Row],[FRETE]]+Tabela25[[#This Row],[DESPESAS]]+Tabela25[[#This Row],[IPI]]+Tabela25[[#This Row],[Vl. Produto]])*Tabela25[[#This Row],[Aliq.%]]</f>
        <v>0</v>
      </c>
    </row>
    <row r="453" spans="13:19" x14ac:dyDescent="0.25">
      <c r="M453" s="46"/>
      <c r="N453" s="46"/>
      <c r="O453" s="46"/>
      <c r="P453" s="46"/>
      <c r="R453" s="15">
        <v>1.54E-2</v>
      </c>
      <c r="S453" s="18">
        <f>(Tabela25[[#This Row],[FRETE]]+Tabela25[[#This Row],[DESPESAS]]+Tabela25[[#This Row],[IPI]]+Tabela25[[#This Row],[Vl. Produto]])*Tabela25[[#This Row],[Aliq.%]]</f>
        <v>0</v>
      </c>
    </row>
    <row r="454" spans="13:19" x14ac:dyDescent="0.25">
      <c r="M454" s="46"/>
      <c r="N454" s="46"/>
      <c r="O454" s="46"/>
      <c r="P454" s="46"/>
      <c r="R454" s="15">
        <v>1.54E-2</v>
      </c>
      <c r="S454" s="18">
        <f>(Tabela25[[#This Row],[FRETE]]+Tabela25[[#This Row],[DESPESAS]]+Tabela25[[#This Row],[IPI]]+Tabela25[[#This Row],[Vl. Produto]])*Tabela25[[#This Row],[Aliq.%]]</f>
        <v>0</v>
      </c>
    </row>
    <row r="455" spans="13:19" x14ac:dyDescent="0.25">
      <c r="M455" s="46"/>
      <c r="N455" s="46"/>
      <c r="O455" s="46"/>
      <c r="P455" s="46"/>
      <c r="R455" s="15">
        <v>1.54E-2</v>
      </c>
      <c r="S455" s="18">
        <f>(Tabela25[[#This Row],[FRETE]]+Tabela25[[#This Row],[DESPESAS]]+Tabela25[[#This Row],[IPI]]+Tabela25[[#This Row],[Vl. Produto]])*Tabela25[[#This Row],[Aliq.%]]</f>
        <v>0</v>
      </c>
    </row>
    <row r="456" spans="13:19" x14ac:dyDescent="0.25">
      <c r="M456" s="46"/>
      <c r="N456" s="46"/>
      <c r="O456" s="46"/>
      <c r="P456" s="46"/>
      <c r="R456" s="15">
        <v>1.54E-2</v>
      </c>
      <c r="S456" s="18">
        <f>(Tabela25[[#This Row],[FRETE]]+Tabela25[[#This Row],[DESPESAS]]+Tabela25[[#This Row],[IPI]]+Tabela25[[#This Row],[Vl. Produto]])*Tabela25[[#This Row],[Aliq.%]]</f>
        <v>0</v>
      </c>
    </row>
    <row r="457" spans="13:19" x14ac:dyDescent="0.25">
      <c r="M457" s="46"/>
      <c r="N457" s="46"/>
      <c r="O457" s="46"/>
      <c r="P457" s="46"/>
      <c r="R457" s="15">
        <v>1.54E-2</v>
      </c>
      <c r="S457" s="18">
        <f>(Tabela25[[#This Row],[FRETE]]+Tabela25[[#This Row],[DESPESAS]]+Tabela25[[#This Row],[IPI]]+Tabela25[[#This Row],[Vl. Produto]])*Tabela25[[#This Row],[Aliq.%]]</f>
        <v>0</v>
      </c>
    </row>
    <row r="458" spans="13:19" x14ac:dyDescent="0.25">
      <c r="M458" s="46"/>
      <c r="N458" s="46"/>
      <c r="O458" s="46"/>
      <c r="P458" s="46"/>
      <c r="R458" s="15">
        <v>1.54E-2</v>
      </c>
      <c r="S458" s="18">
        <f>(Tabela25[[#This Row],[FRETE]]+Tabela25[[#This Row],[DESPESAS]]+Tabela25[[#This Row],[IPI]]+Tabela25[[#This Row],[Vl. Produto]])*Tabela25[[#This Row],[Aliq.%]]</f>
        <v>0</v>
      </c>
    </row>
    <row r="459" spans="13:19" x14ac:dyDescent="0.25">
      <c r="M459" s="46"/>
      <c r="N459" s="46"/>
      <c r="O459" s="46"/>
      <c r="P459" s="46"/>
      <c r="R459" s="15">
        <v>1.54E-2</v>
      </c>
      <c r="S459" s="18">
        <f>(Tabela25[[#This Row],[FRETE]]+Tabela25[[#This Row],[DESPESAS]]+Tabela25[[#This Row],[IPI]]+Tabela25[[#This Row],[Vl. Produto]])*Tabela25[[#This Row],[Aliq.%]]</f>
        <v>0</v>
      </c>
    </row>
    <row r="460" spans="13:19" x14ac:dyDescent="0.25">
      <c r="M460" s="46"/>
      <c r="N460" s="46"/>
      <c r="O460" s="46"/>
      <c r="P460" s="46"/>
      <c r="R460" s="15">
        <v>1.54E-2</v>
      </c>
      <c r="S460" s="18">
        <f>(Tabela25[[#This Row],[FRETE]]+Tabela25[[#This Row],[DESPESAS]]+Tabela25[[#This Row],[IPI]]+Tabela25[[#This Row],[Vl. Produto]])*Tabela25[[#This Row],[Aliq.%]]</f>
        <v>0</v>
      </c>
    </row>
    <row r="461" spans="13:19" x14ac:dyDescent="0.25">
      <c r="M461" s="46"/>
      <c r="N461" s="46"/>
      <c r="O461" s="46"/>
      <c r="P461" s="46"/>
      <c r="R461" s="15">
        <v>1.54E-2</v>
      </c>
      <c r="S461" s="18">
        <f>(Tabela25[[#This Row],[FRETE]]+Tabela25[[#This Row],[DESPESAS]]+Tabela25[[#This Row],[IPI]]+Tabela25[[#This Row],[Vl. Produto]])*Tabela25[[#This Row],[Aliq.%]]</f>
        <v>0</v>
      </c>
    </row>
    <row r="462" spans="13:19" x14ac:dyDescent="0.25">
      <c r="M462" s="46"/>
      <c r="N462" s="46"/>
      <c r="O462" s="46"/>
      <c r="P462" s="46"/>
      <c r="R462" s="15">
        <v>1.54E-2</v>
      </c>
      <c r="S462" s="18">
        <f>(Tabela25[[#This Row],[FRETE]]+Tabela25[[#This Row],[DESPESAS]]+Tabela25[[#This Row],[IPI]]+Tabela25[[#This Row],[Vl. Produto]])*Tabela25[[#This Row],[Aliq.%]]</f>
        <v>0</v>
      </c>
    </row>
    <row r="463" spans="13:19" x14ac:dyDescent="0.25">
      <c r="M463" s="46"/>
      <c r="N463" s="46"/>
      <c r="O463" s="46"/>
      <c r="P463" s="46"/>
      <c r="R463" s="15">
        <v>1.54E-2</v>
      </c>
      <c r="S463" s="18">
        <f>(Tabela25[[#This Row],[FRETE]]+Tabela25[[#This Row],[DESPESAS]]+Tabela25[[#This Row],[IPI]]+Tabela25[[#This Row],[Vl. Produto]])*Tabela25[[#This Row],[Aliq.%]]</f>
        <v>0</v>
      </c>
    </row>
    <row r="464" spans="13:19" x14ac:dyDescent="0.25">
      <c r="M464" s="46"/>
      <c r="N464" s="46"/>
      <c r="O464" s="46"/>
      <c r="P464" s="46"/>
      <c r="R464" s="15">
        <v>1.54E-2</v>
      </c>
      <c r="S464" s="18">
        <f>(Tabela25[[#This Row],[FRETE]]+Tabela25[[#This Row],[DESPESAS]]+Tabela25[[#This Row],[IPI]]+Tabela25[[#This Row],[Vl. Produto]])*Tabela25[[#This Row],[Aliq.%]]</f>
        <v>0</v>
      </c>
    </row>
    <row r="465" spans="13:19" x14ac:dyDescent="0.25">
      <c r="M465" s="46"/>
      <c r="N465" s="46"/>
      <c r="O465" s="46"/>
      <c r="P465" s="46"/>
      <c r="R465" s="15">
        <v>1.54E-2</v>
      </c>
      <c r="S465" s="18">
        <f>(Tabela25[[#This Row],[FRETE]]+Tabela25[[#This Row],[DESPESAS]]+Tabela25[[#This Row],[IPI]]+Tabela25[[#This Row],[Vl. Produto]])*Tabela25[[#This Row],[Aliq.%]]</f>
        <v>0</v>
      </c>
    </row>
    <row r="466" spans="13:19" x14ac:dyDescent="0.25">
      <c r="M466" s="46"/>
      <c r="N466" s="46"/>
      <c r="O466" s="46"/>
      <c r="P466" s="46"/>
      <c r="R466" s="15">
        <v>1.54E-2</v>
      </c>
      <c r="S466" s="18">
        <f>(Tabela25[[#This Row],[FRETE]]+Tabela25[[#This Row],[DESPESAS]]+Tabela25[[#This Row],[IPI]]+Tabela25[[#This Row],[Vl. Produto]])*Tabela25[[#This Row],[Aliq.%]]</f>
        <v>0</v>
      </c>
    </row>
    <row r="467" spans="13:19" x14ac:dyDescent="0.25">
      <c r="M467" s="46"/>
      <c r="N467" s="46"/>
      <c r="O467" s="46"/>
      <c r="P467" s="46"/>
      <c r="R467" s="15">
        <v>1.54E-2</v>
      </c>
      <c r="S467" s="18">
        <f>(Tabela25[[#This Row],[FRETE]]+Tabela25[[#This Row],[DESPESAS]]+Tabela25[[#This Row],[IPI]]+Tabela25[[#This Row],[Vl. Produto]])*Tabela25[[#This Row],[Aliq.%]]</f>
        <v>0</v>
      </c>
    </row>
    <row r="468" spans="13:19" x14ac:dyDescent="0.25">
      <c r="M468" s="46"/>
      <c r="N468" s="46"/>
      <c r="O468" s="46"/>
      <c r="P468" s="46"/>
      <c r="R468" s="15">
        <v>1.54E-2</v>
      </c>
      <c r="S468" s="18">
        <f>(Tabela25[[#This Row],[FRETE]]+Tabela25[[#This Row],[DESPESAS]]+Tabela25[[#This Row],[IPI]]+Tabela25[[#This Row],[Vl. Produto]])*Tabela25[[#This Row],[Aliq.%]]</f>
        <v>0</v>
      </c>
    </row>
    <row r="469" spans="13:19" x14ac:dyDescent="0.25">
      <c r="M469" s="46"/>
      <c r="N469" s="46"/>
      <c r="O469" s="46"/>
      <c r="P469" s="46"/>
      <c r="R469" s="15">
        <v>1.54E-2</v>
      </c>
      <c r="S469" s="18">
        <f>(Tabela25[[#This Row],[FRETE]]+Tabela25[[#This Row],[DESPESAS]]+Tabela25[[#This Row],[IPI]]+Tabela25[[#This Row],[Vl. Produto]])*Tabela25[[#This Row],[Aliq.%]]</f>
        <v>0</v>
      </c>
    </row>
    <row r="470" spans="13:19" x14ac:dyDescent="0.25">
      <c r="M470" s="46"/>
      <c r="N470" s="46"/>
      <c r="O470" s="46"/>
      <c r="P470" s="46"/>
      <c r="R470" s="15">
        <v>1.54E-2</v>
      </c>
      <c r="S470" s="18">
        <f>(Tabela25[[#This Row],[FRETE]]+Tabela25[[#This Row],[DESPESAS]]+Tabela25[[#This Row],[IPI]]+Tabela25[[#This Row],[Vl. Produto]])*Tabela25[[#This Row],[Aliq.%]]</f>
        <v>0</v>
      </c>
    </row>
    <row r="471" spans="13:19" x14ac:dyDescent="0.25">
      <c r="M471" s="46"/>
      <c r="N471" s="46"/>
      <c r="O471" s="46"/>
      <c r="P471" s="46"/>
      <c r="R471" s="15">
        <v>1.54E-2</v>
      </c>
      <c r="S471" s="18">
        <f>(Tabela25[[#This Row],[FRETE]]+Tabela25[[#This Row],[DESPESAS]]+Tabela25[[#This Row],[IPI]]+Tabela25[[#This Row],[Vl. Produto]])*Tabela25[[#This Row],[Aliq.%]]</f>
        <v>0</v>
      </c>
    </row>
    <row r="472" spans="13:19" x14ac:dyDescent="0.25">
      <c r="M472" s="46"/>
      <c r="N472" s="46"/>
      <c r="O472" s="46"/>
      <c r="P472" s="46"/>
      <c r="R472" s="15">
        <v>1.54E-2</v>
      </c>
      <c r="S472" s="18">
        <f>(Tabela25[[#This Row],[FRETE]]+Tabela25[[#This Row],[DESPESAS]]+Tabela25[[#This Row],[IPI]]+Tabela25[[#This Row],[Vl. Produto]])*Tabela25[[#This Row],[Aliq.%]]</f>
        <v>0</v>
      </c>
    </row>
    <row r="473" spans="13:19" x14ac:dyDescent="0.25">
      <c r="M473" s="46"/>
      <c r="N473" s="46"/>
      <c r="O473" s="46"/>
      <c r="P473" s="46"/>
      <c r="R473" s="15">
        <v>1.54E-2</v>
      </c>
      <c r="S473" s="18">
        <f>(Tabela25[[#This Row],[FRETE]]+Tabela25[[#This Row],[DESPESAS]]+Tabela25[[#This Row],[IPI]]+Tabela25[[#This Row],[Vl. Produto]])*Tabela25[[#This Row],[Aliq.%]]</f>
        <v>0</v>
      </c>
    </row>
    <row r="474" spans="13:19" x14ac:dyDescent="0.25">
      <c r="M474" s="46"/>
      <c r="N474" s="46"/>
      <c r="O474" s="46"/>
      <c r="P474" s="46"/>
      <c r="R474" s="15">
        <v>1.54E-2</v>
      </c>
      <c r="S474" s="18">
        <f>(Tabela25[[#This Row],[FRETE]]+Tabela25[[#This Row],[DESPESAS]]+Tabela25[[#This Row],[IPI]]+Tabela25[[#This Row],[Vl. Produto]])*Tabela25[[#This Row],[Aliq.%]]</f>
        <v>0</v>
      </c>
    </row>
    <row r="475" spans="13:19" x14ac:dyDescent="0.25">
      <c r="M475" s="46"/>
      <c r="N475" s="46"/>
      <c r="O475" s="46"/>
      <c r="P475" s="46"/>
      <c r="R475" s="15">
        <v>1.54E-2</v>
      </c>
      <c r="S475" s="18">
        <f>(Tabela25[[#This Row],[FRETE]]+Tabela25[[#This Row],[DESPESAS]]+Tabela25[[#This Row],[IPI]]+Tabela25[[#This Row],[Vl. Produto]])*Tabela25[[#This Row],[Aliq.%]]</f>
        <v>0</v>
      </c>
    </row>
    <row r="476" spans="13:19" x14ac:dyDescent="0.25">
      <c r="M476" s="46"/>
      <c r="N476" s="46"/>
      <c r="O476" s="46"/>
      <c r="P476" s="46"/>
      <c r="R476" s="15">
        <v>1.54E-2</v>
      </c>
      <c r="S476" s="18">
        <f>(Tabela25[[#This Row],[FRETE]]+Tabela25[[#This Row],[DESPESAS]]+Tabela25[[#This Row],[IPI]]+Tabela25[[#This Row],[Vl. Produto]])*Tabela25[[#This Row],[Aliq.%]]</f>
        <v>0</v>
      </c>
    </row>
    <row r="477" spans="13:19" x14ac:dyDescent="0.25">
      <c r="M477" s="46"/>
      <c r="N477" s="46"/>
      <c r="O477" s="46"/>
      <c r="P477" s="46"/>
      <c r="R477" s="15">
        <v>1.54E-2</v>
      </c>
      <c r="S477" s="18">
        <f>(Tabela25[[#This Row],[FRETE]]+Tabela25[[#This Row],[DESPESAS]]+Tabela25[[#This Row],[IPI]]+Tabela25[[#This Row],[Vl. Produto]])*Tabela25[[#This Row],[Aliq.%]]</f>
        <v>0</v>
      </c>
    </row>
    <row r="478" spans="13:19" x14ac:dyDescent="0.25">
      <c r="M478" s="46"/>
      <c r="N478" s="46"/>
      <c r="O478" s="46"/>
      <c r="P478" s="46"/>
      <c r="R478" s="15">
        <v>1.54E-2</v>
      </c>
      <c r="S478" s="18">
        <f>(Tabela25[[#This Row],[FRETE]]+Tabela25[[#This Row],[DESPESAS]]+Tabela25[[#This Row],[IPI]]+Tabela25[[#This Row],[Vl. Produto]])*Tabela25[[#This Row],[Aliq.%]]</f>
        <v>0</v>
      </c>
    </row>
    <row r="479" spans="13:19" x14ac:dyDescent="0.25">
      <c r="M479" s="46"/>
      <c r="N479" s="46"/>
      <c r="O479" s="46"/>
      <c r="P479" s="46"/>
      <c r="R479" s="15">
        <v>1.54E-2</v>
      </c>
      <c r="S479" s="18">
        <f>(Tabela25[[#This Row],[FRETE]]+Tabela25[[#This Row],[DESPESAS]]+Tabela25[[#This Row],[IPI]]+Tabela25[[#This Row],[Vl. Produto]])*Tabela25[[#This Row],[Aliq.%]]</f>
        <v>0</v>
      </c>
    </row>
    <row r="480" spans="13:19" x14ac:dyDescent="0.25">
      <c r="M480" s="46"/>
      <c r="N480" s="46"/>
      <c r="O480" s="46"/>
      <c r="P480" s="46"/>
      <c r="R480" s="15">
        <v>1.54E-2</v>
      </c>
      <c r="S480" s="18">
        <f>(Tabela25[[#This Row],[FRETE]]+Tabela25[[#This Row],[DESPESAS]]+Tabela25[[#This Row],[IPI]]+Tabela25[[#This Row],[Vl. Produto]])*Tabela25[[#This Row],[Aliq.%]]</f>
        <v>0</v>
      </c>
    </row>
    <row r="481" spans="13:19" x14ac:dyDescent="0.25">
      <c r="M481" s="46"/>
      <c r="N481" s="46"/>
      <c r="O481" s="46"/>
      <c r="P481" s="46"/>
      <c r="R481" s="15">
        <v>1.54E-2</v>
      </c>
      <c r="S481" s="18">
        <f>(Tabela25[[#This Row],[FRETE]]+Tabela25[[#This Row],[DESPESAS]]+Tabela25[[#This Row],[IPI]]+Tabela25[[#This Row],[Vl. Produto]])*Tabela25[[#This Row],[Aliq.%]]</f>
        <v>0</v>
      </c>
    </row>
    <row r="482" spans="13:19" x14ac:dyDescent="0.25">
      <c r="M482" s="46"/>
      <c r="N482" s="46"/>
      <c r="O482" s="46"/>
      <c r="P482" s="46"/>
      <c r="R482" s="15">
        <v>1.54E-2</v>
      </c>
      <c r="S482" s="18">
        <f>(Tabela25[[#This Row],[FRETE]]+Tabela25[[#This Row],[DESPESAS]]+Tabela25[[#This Row],[IPI]]+Tabela25[[#This Row],[Vl. Produto]])*Tabela25[[#This Row],[Aliq.%]]</f>
        <v>0</v>
      </c>
    </row>
    <row r="483" spans="13:19" x14ac:dyDescent="0.25">
      <c r="M483" s="46"/>
      <c r="N483" s="46"/>
      <c r="O483" s="46"/>
      <c r="P483" s="46"/>
      <c r="R483" s="15">
        <v>1.54E-2</v>
      </c>
      <c r="S483" s="18">
        <f>(Tabela25[[#This Row],[FRETE]]+Tabela25[[#This Row],[DESPESAS]]+Tabela25[[#This Row],[IPI]]+Tabela25[[#This Row],[Vl. Produto]])*Tabela25[[#This Row],[Aliq.%]]</f>
        <v>0</v>
      </c>
    </row>
    <row r="484" spans="13:19" x14ac:dyDescent="0.25">
      <c r="M484" s="46"/>
      <c r="N484" s="46"/>
      <c r="O484" s="46"/>
      <c r="P484" s="46"/>
      <c r="R484" s="15">
        <v>1.54E-2</v>
      </c>
      <c r="S484" s="18">
        <f>(Tabela25[[#This Row],[FRETE]]+Tabela25[[#This Row],[DESPESAS]]+Tabela25[[#This Row],[IPI]]+Tabela25[[#This Row],[Vl. Produto]])*Tabela25[[#This Row],[Aliq.%]]</f>
        <v>0</v>
      </c>
    </row>
    <row r="485" spans="13:19" x14ac:dyDescent="0.25">
      <c r="M485" s="46"/>
      <c r="N485" s="46"/>
      <c r="O485" s="46"/>
      <c r="P485" s="46"/>
      <c r="R485" s="15">
        <v>1.54E-2</v>
      </c>
      <c r="S485" s="18">
        <f>(Tabela25[[#This Row],[FRETE]]+Tabela25[[#This Row],[DESPESAS]]+Tabela25[[#This Row],[IPI]]+Tabela25[[#This Row],[Vl. Produto]])*Tabela25[[#This Row],[Aliq.%]]</f>
        <v>0</v>
      </c>
    </row>
    <row r="486" spans="13:19" x14ac:dyDescent="0.25">
      <c r="M486" s="46"/>
      <c r="N486" s="46"/>
      <c r="O486" s="46"/>
      <c r="P486" s="46"/>
      <c r="R486" s="15">
        <v>1.54E-2</v>
      </c>
      <c r="S486" s="18">
        <f>(Tabela25[[#This Row],[FRETE]]+Tabela25[[#This Row],[DESPESAS]]+Tabela25[[#This Row],[IPI]]+Tabela25[[#This Row],[Vl. Produto]])*Tabela25[[#This Row],[Aliq.%]]</f>
        <v>0</v>
      </c>
    </row>
    <row r="487" spans="13:19" x14ac:dyDescent="0.25">
      <c r="M487" s="46"/>
      <c r="N487" s="46"/>
      <c r="O487" s="46"/>
      <c r="P487" s="46"/>
      <c r="R487" s="15">
        <v>1.54E-2</v>
      </c>
      <c r="S487" s="18">
        <f>(Tabela25[[#This Row],[FRETE]]+Tabela25[[#This Row],[DESPESAS]]+Tabela25[[#This Row],[IPI]]+Tabela25[[#This Row],[Vl. Produto]])*Tabela25[[#This Row],[Aliq.%]]</f>
        <v>0</v>
      </c>
    </row>
    <row r="488" spans="13:19" x14ac:dyDescent="0.25">
      <c r="M488" s="46"/>
      <c r="N488" s="46"/>
      <c r="O488" s="46"/>
      <c r="P488" s="46"/>
      <c r="R488" s="15">
        <v>1.54E-2</v>
      </c>
      <c r="S488" s="18">
        <f>(Tabela25[[#This Row],[FRETE]]+Tabela25[[#This Row],[DESPESAS]]+Tabela25[[#This Row],[IPI]]+Tabela25[[#This Row],[Vl. Produto]])*Tabela25[[#This Row],[Aliq.%]]</f>
        <v>0</v>
      </c>
    </row>
    <row r="489" spans="13:19" x14ac:dyDescent="0.25">
      <c r="M489" s="46"/>
      <c r="N489" s="46"/>
      <c r="O489" s="46"/>
      <c r="P489" s="46"/>
      <c r="R489" s="15">
        <v>1.54E-2</v>
      </c>
      <c r="S489" s="18">
        <f>(Tabela25[[#This Row],[FRETE]]+Tabela25[[#This Row],[DESPESAS]]+Tabela25[[#This Row],[IPI]]+Tabela25[[#This Row],[Vl. Produto]])*Tabela25[[#This Row],[Aliq.%]]</f>
        <v>0</v>
      </c>
    </row>
    <row r="490" spans="13:19" x14ac:dyDescent="0.25">
      <c r="M490" s="46"/>
      <c r="N490" s="46"/>
      <c r="O490" s="46"/>
      <c r="P490" s="46"/>
      <c r="R490" s="15">
        <v>1.54E-2</v>
      </c>
      <c r="S490" s="18">
        <f>(Tabela25[[#This Row],[FRETE]]+Tabela25[[#This Row],[DESPESAS]]+Tabela25[[#This Row],[IPI]]+Tabela25[[#This Row],[Vl. Produto]])*Tabela25[[#This Row],[Aliq.%]]</f>
        <v>0</v>
      </c>
    </row>
    <row r="491" spans="13:19" x14ac:dyDescent="0.25">
      <c r="M491" s="46"/>
      <c r="N491" s="46"/>
      <c r="O491" s="46"/>
      <c r="P491" s="46"/>
      <c r="R491" s="15">
        <v>1.54E-2</v>
      </c>
      <c r="S491" s="18">
        <f>(Tabela25[[#This Row],[FRETE]]+Tabela25[[#This Row],[DESPESAS]]+Tabela25[[#This Row],[IPI]]+Tabela25[[#This Row],[Vl. Produto]])*Tabela25[[#This Row],[Aliq.%]]</f>
        <v>0</v>
      </c>
    </row>
    <row r="492" spans="13:19" x14ac:dyDescent="0.25">
      <c r="M492" s="46"/>
      <c r="N492" s="46"/>
      <c r="O492" s="46"/>
      <c r="P492" s="46"/>
      <c r="R492" s="15">
        <v>1.54E-2</v>
      </c>
      <c r="S492" s="18">
        <f>(Tabela25[[#This Row],[FRETE]]+Tabela25[[#This Row],[DESPESAS]]+Tabela25[[#This Row],[IPI]]+Tabela25[[#This Row],[Vl. Produto]])*Tabela25[[#This Row],[Aliq.%]]</f>
        <v>0</v>
      </c>
    </row>
    <row r="493" spans="13:19" x14ac:dyDescent="0.25">
      <c r="M493" s="46"/>
      <c r="N493" s="46"/>
      <c r="O493" s="46"/>
      <c r="P493" s="46"/>
      <c r="R493" s="15">
        <v>1.54E-2</v>
      </c>
      <c r="S493" s="18">
        <f>(Tabela25[[#This Row],[FRETE]]+Tabela25[[#This Row],[DESPESAS]]+Tabela25[[#This Row],[IPI]]+Tabela25[[#This Row],[Vl. Produto]])*Tabela25[[#This Row],[Aliq.%]]</f>
        <v>0</v>
      </c>
    </row>
    <row r="494" spans="13:19" x14ac:dyDescent="0.25">
      <c r="M494" s="46"/>
      <c r="N494" s="46"/>
      <c r="O494" s="46"/>
      <c r="P494" s="46"/>
      <c r="R494" s="15">
        <v>1.54E-2</v>
      </c>
      <c r="S494" s="18">
        <f>(Tabela25[[#This Row],[FRETE]]+Tabela25[[#This Row],[DESPESAS]]+Tabela25[[#This Row],[IPI]]+Tabela25[[#This Row],[Vl. Produto]])*Tabela25[[#This Row],[Aliq.%]]</f>
        <v>0</v>
      </c>
    </row>
    <row r="495" spans="13:19" x14ac:dyDescent="0.25">
      <c r="M495" s="46"/>
      <c r="N495" s="46"/>
      <c r="O495" s="46"/>
      <c r="P495" s="46"/>
      <c r="R495" s="15">
        <v>1.54E-2</v>
      </c>
      <c r="S495" s="18">
        <f>(Tabela25[[#This Row],[FRETE]]+Tabela25[[#This Row],[DESPESAS]]+Tabela25[[#This Row],[IPI]]+Tabela25[[#This Row],[Vl. Produto]])*Tabela25[[#This Row],[Aliq.%]]</f>
        <v>0</v>
      </c>
    </row>
    <row r="496" spans="13:19" x14ac:dyDescent="0.25">
      <c r="M496" s="46"/>
      <c r="N496" s="46"/>
      <c r="O496" s="46"/>
      <c r="P496" s="46"/>
      <c r="R496" s="15">
        <v>1.54E-2</v>
      </c>
      <c r="S496" s="18">
        <f>(Tabela25[[#This Row],[FRETE]]+Tabela25[[#This Row],[DESPESAS]]+Tabela25[[#This Row],[IPI]]+Tabela25[[#This Row],[Vl. Produto]])*Tabela25[[#This Row],[Aliq.%]]</f>
        <v>0</v>
      </c>
    </row>
    <row r="497" spans="13:19" x14ac:dyDescent="0.25">
      <c r="M497" s="46"/>
      <c r="N497" s="46"/>
      <c r="O497" s="46"/>
      <c r="P497" s="46"/>
      <c r="R497" s="15">
        <v>1.54E-2</v>
      </c>
      <c r="S497" s="18">
        <f>(Tabela25[[#This Row],[FRETE]]+Tabela25[[#This Row],[DESPESAS]]+Tabela25[[#This Row],[IPI]]+Tabela25[[#This Row],[Vl. Produto]])*Tabela25[[#This Row],[Aliq.%]]</f>
        <v>0</v>
      </c>
    </row>
    <row r="498" spans="13:19" x14ac:dyDescent="0.25">
      <c r="M498" s="46"/>
      <c r="N498" s="46"/>
      <c r="O498" s="46"/>
      <c r="P498" s="46"/>
      <c r="R498" s="15">
        <v>1.54E-2</v>
      </c>
      <c r="S498" s="18">
        <f>(Tabela25[[#This Row],[FRETE]]+Tabela25[[#This Row],[DESPESAS]]+Tabela25[[#This Row],[IPI]]+Tabela25[[#This Row],[Vl. Produto]])*Tabela25[[#This Row],[Aliq.%]]</f>
        <v>0</v>
      </c>
    </row>
    <row r="499" spans="13:19" x14ac:dyDescent="0.25">
      <c r="M499" s="46"/>
      <c r="N499" s="46"/>
      <c r="O499" s="46"/>
      <c r="P499" s="46"/>
      <c r="R499" s="15">
        <v>1.54E-2</v>
      </c>
      <c r="S499" s="18">
        <f>(Tabela25[[#This Row],[FRETE]]+Tabela25[[#This Row],[DESPESAS]]+Tabela25[[#This Row],[IPI]]+Tabela25[[#This Row],[Vl. Produto]])*Tabela25[[#This Row],[Aliq.%]]</f>
        <v>0</v>
      </c>
    </row>
    <row r="500" spans="13:19" x14ac:dyDescent="0.25">
      <c r="M500" s="46"/>
      <c r="N500" s="46"/>
      <c r="O500" s="46"/>
      <c r="P500" s="46"/>
      <c r="R500" s="15">
        <v>1.54E-2</v>
      </c>
      <c r="S500" s="18">
        <f>(Tabela25[[#This Row],[FRETE]]+Tabela25[[#This Row],[DESPESAS]]+Tabela25[[#This Row],[IPI]]+Tabela25[[#This Row],[Vl. Produto]])*Tabela25[[#This Row],[Aliq.%]]</f>
        <v>0</v>
      </c>
    </row>
    <row r="501" spans="13:19" x14ac:dyDescent="0.25">
      <c r="M501" s="46"/>
      <c r="N501" s="46"/>
      <c r="O501" s="46"/>
      <c r="P501" s="46"/>
      <c r="R501" s="15">
        <v>1.54E-2</v>
      </c>
      <c r="S501" s="18">
        <f>(Tabela25[[#This Row],[FRETE]]+Tabela25[[#This Row],[DESPESAS]]+Tabela25[[#This Row],[IPI]]+Tabela25[[#This Row],[Vl. Produto]])*Tabela25[[#This Row],[Aliq.%]]</f>
        <v>0</v>
      </c>
    </row>
    <row r="502" spans="13:19" x14ac:dyDescent="0.25">
      <c r="M502" s="46"/>
      <c r="N502" s="46"/>
      <c r="O502" s="46"/>
      <c r="P502" s="46"/>
      <c r="R502" s="15">
        <v>1.54E-2</v>
      </c>
      <c r="S502" s="18">
        <f>(Tabela25[[#This Row],[FRETE]]+Tabela25[[#This Row],[DESPESAS]]+Tabela25[[#This Row],[IPI]]+Tabela25[[#This Row],[Vl. Produto]])*Tabela25[[#This Row],[Aliq.%]]</f>
        <v>0</v>
      </c>
    </row>
    <row r="503" spans="13:19" x14ac:dyDescent="0.25">
      <c r="M503" s="46"/>
      <c r="N503" s="46"/>
      <c r="O503" s="46"/>
      <c r="P503" s="46"/>
      <c r="R503" s="15">
        <v>1.54E-2</v>
      </c>
      <c r="S503" s="18">
        <f>(Tabela25[[#This Row],[FRETE]]+Tabela25[[#This Row],[DESPESAS]]+Tabela25[[#This Row],[IPI]]+Tabela25[[#This Row],[Vl. Produto]])*Tabela25[[#This Row],[Aliq.%]]</f>
        <v>0</v>
      </c>
    </row>
    <row r="504" spans="13:19" x14ac:dyDescent="0.25">
      <c r="M504" s="46"/>
      <c r="N504" s="46"/>
      <c r="O504" s="46"/>
      <c r="P504" s="46"/>
      <c r="R504" s="15">
        <v>1.54E-2</v>
      </c>
      <c r="S504" s="18">
        <f>(Tabela25[[#This Row],[FRETE]]+Tabela25[[#This Row],[DESPESAS]]+Tabela25[[#This Row],[IPI]]+Tabela25[[#This Row],[Vl. Produto]])*Tabela25[[#This Row],[Aliq.%]]</f>
        <v>0</v>
      </c>
    </row>
    <row r="505" spans="13:19" x14ac:dyDescent="0.25">
      <c r="M505" s="46"/>
      <c r="N505" s="46"/>
      <c r="O505" s="46"/>
      <c r="P505" s="46"/>
      <c r="R505" s="15">
        <v>1.54E-2</v>
      </c>
      <c r="S505" s="18">
        <f>(Tabela25[[#This Row],[FRETE]]+Tabela25[[#This Row],[DESPESAS]]+Tabela25[[#This Row],[IPI]]+Tabela25[[#This Row],[Vl. Produto]])*Tabela25[[#This Row],[Aliq.%]]</f>
        <v>0</v>
      </c>
    </row>
    <row r="506" spans="13:19" x14ac:dyDescent="0.25">
      <c r="M506" s="46"/>
      <c r="N506" s="46"/>
      <c r="O506" s="46"/>
      <c r="P506" s="46"/>
      <c r="R506" s="15">
        <v>1.54E-2</v>
      </c>
      <c r="S506" s="18">
        <f>(Tabela25[[#This Row],[FRETE]]+Tabela25[[#This Row],[DESPESAS]]+Tabela25[[#This Row],[IPI]]+Tabela25[[#This Row],[Vl. Produto]])*Tabela25[[#This Row],[Aliq.%]]</f>
        <v>0</v>
      </c>
    </row>
    <row r="507" spans="13:19" x14ac:dyDescent="0.25">
      <c r="M507" s="46"/>
      <c r="N507" s="46"/>
      <c r="O507" s="46"/>
      <c r="P507" s="46"/>
      <c r="R507" s="15">
        <v>1.54E-2</v>
      </c>
      <c r="S507" s="18">
        <f>(Tabela25[[#This Row],[FRETE]]+Tabela25[[#This Row],[DESPESAS]]+Tabela25[[#This Row],[IPI]]+Tabela25[[#This Row],[Vl. Produto]])*Tabela25[[#This Row],[Aliq.%]]</f>
        <v>0</v>
      </c>
    </row>
    <row r="508" spans="13:19" x14ac:dyDescent="0.25">
      <c r="M508" s="46"/>
      <c r="N508" s="46"/>
      <c r="O508" s="46"/>
      <c r="P508" s="46"/>
      <c r="R508" s="15">
        <v>1.54E-2</v>
      </c>
      <c r="S508" s="18">
        <f>(Tabela25[[#This Row],[FRETE]]+Tabela25[[#This Row],[DESPESAS]]+Tabela25[[#This Row],[IPI]]+Tabela25[[#This Row],[Vl. Produto]])*Tabela25[[#This Row],[Aliq.%]]</f>
        <v>0</v>
      </c>
    </row>
    <row r="509" spans="13:19" x14ac:dyDescent="0.25">
      <c r="M509" s="46"/>
      <c r="N509" s="46"/>
      <c r="O509" s="46"/>
      <c r="P509" s="46"/>
      <c r="R509" s="15">
        <v>1.54E-2</v>
      </c>
      <c r="S509" s="18">
        <f>(Tabela25[[#This Row],[FRETE]]+Tabela25[[#This Row],[DESPESAS]]+Tabela25[[#This Row],[IPI]]+Tabela25[[#This Row],[Vl. Produto]])*Tabela25[[#This Row],[Aliq.%]]</f>
        <v>0</v>
      </c>
    </row>
    <row r="510" spans="13:19" x14ac:dyDescent="0.25">
      <c r="M510" s="46"/>
      <c r="N510" s="46"/>
      <c r="O510" s="46"/>
      <c r="P510" s="46"/>
      <c r="R510" s="15">
        <v>1.54E-2</v>
      </c>
      <c r="S510" s="18">
        <f>(Tabela25[[#This Row],[FRETE]]+Tabela25[[#This Row],[DESPESAS]]+Tabela25[[#This Row],[IPI]]+Tabela25[[#This Row],[Vl. Produto]])*Tabela25[[#This Row],[Aliq.%]]</f>
        <v>0</v>
      </c>
    </row>
    <row r="511" spans="13:19" x14ac:dyDescent="0.25">
      <c r="M511" s="46"/>
      <c r="N511" s="46"/>
      <c r="O511" s="46"/>
      <c r="P511" s="46"/>
      <c r="R511" s="15">
        <v>1.54E-2</v>
      </c>
      <c r="S511" s="18">
        <f>(Tabela25[[#This Row],[FRETE]]+Tabela25[[#This Row],[DESPESAS]]+Tabela25[[#This Row],[IPI]]+Tabela25[[#This Row],[Vl. Produto]])*Tabela25[[#This Row],[Aliq.%]]</f>
        <v>0</v>
      </c>
    </row>
    <row r="512" spans="13:19" x14ac:dyDescent="0.25">
      <c r="M512" s="46"/>
      <c r="N512" s="46"/>
      <c r="O512" s="46"/>
      <c r="P512" s="46"/>
      <c r="R512" s="15">
        <v>1.54E-2</v>
      </c>
      <c r="S512" s="18">
        <f>(Tabela25[[#This Row],[FRETE]]+Tabela25[[#This Row],[DESPESAS]]+Tabela25[[#This Row],[IPI]]+Tabela25[[#This Row],[Vl. Produto]])*Tabela25[[#This Row],[Aliq.%]]</f>
        <v>0</v>
      </c>
    </row>
    <row r="513" spans="13:19" x14ac:dyDescent="0.25">
      <c r="M513" s="46"/>
      <c r="N513" s="46"/>
      <c r="O513" s="46"/>
      <c r="P513" s="46"/>
      <c r="R513" s="15">
        <v>1.54E-2</v>
      </c>
      <c r="S513" s="18">
        <f>(Tabela25[[#This Row],[FRETE]]+Tabela25[[#This Row],[DESPESAS]]+Tabela25[[#This Row],[IPI]]+Tabela25[[#This Row],[Vl. Produto]])*Tabela25[[#This Row],[Aliq.%]]</f>
        <v>0</v>
      </c>
    </row>
    <row r="514" spans="13:19" x14ac:dyDescent="0.25">
      <c r="M514" s="46"/>
      <c r="N514" s="46"/>
      <c r="O514" s="46"/>
      <c r="P514" s="46"/>
      <c r="R514" s="15">
        <v>1.54E-2</v>
      </c>
      <c r="S514" s="18">
        <f>(Tabela25[[#This Row],[FRETE]]+Tabela25[[#This Row],[DESPESAS]]+Tabela25[[#This Row],[IPI]]+Tabela25[[#This Row],[Vl. Produto]])*Tabela25[[#This Row],[Aliq.%]]</f>
        <v>0</v>
      </c>
    </row>
    <row r="515" spans="13:19" x14ac:dyDescent="0.25">
      <c r="M515" s="46"/>
      <c r="N515" s="46"/>
      <c r="O515" s="46"/>
      <c r="P515" s="46"/>
      <c r="R515" s="15">
        <v>1.54E-2</v>
      </c>
      <c r="S515" s="18">
        <f>(Tabela25[[#This Row],[FRETE]]+Tabela25[[#This Row],[DESPESAS]]+Tabela25[[#This Row],[IPI]]+Tabela25[[#This Row],[Vl. Produto]])*Tabela25[[#This Row],[Aliq.%]]</f>
        <v>0</v>
      </c>
    </row>
    <row r="516" spans="13:19" x14ac:dyDescent="0.25">
      <c r="M516" s="46"/>
      <c r="N516" s="46"/>
      <c r="O516" s="46"/>
      <c r="P516" s="46"/>
      <c r="R516" s="15">
        <v>1.54E-2</v>
      </c>
      <c r="S516" s="18">
        <f>(Tabela25[[#This Row],[FRETE]]+Tabela25[[#This Row],[DESPESAS]]+Tabela25[[#This Row],[IPI]]+Tabela25[[#This Row],[Vl. Produto]])*Tabela25[[#This Row],[Aliq.%]]</f>
        <v>0</v>
      </c>
    </row>
    <row r="517" spans="13:19" x14ac:dyDescent="0.25">
      <c r="M517" s="46"/>
      <c r="N517" s="46"/>
      <c r="O517" s="46"/>
      <c r="P517" s="46"/>
      <c r="R517" s="15">
        <v>1.54E-2</v>
      </c>
      <c r="S517" s="18">
        <f>(Tabela25[[#This Row],[FRETE]]+Tabela25[[#This Row],[DESPESAS]]+Tabela25[[#This Row],[IPI]]+Tabela25[[#This Row],[Vl. Produto]])*Tabela25[[#This Row],[Aliq.%]]</f>
        <v>0</v>
      </c>
    </row>
    <row r="518" spans="13:19" x14ac:dyDescent="0.25">
      <c r="M518" s="46"/>
      <c r="N518" s="46"/>
      <c r="O518" s="46"/>
      <c r="P518" s="46"/>
      <c r="R518" s="15">
        <v>1.54E-2</v>
      </c>
      <c r="S518" s="18">
        <f>(Tabela25[[#This Row],[FRETE]]+Tabela25[[#This Row],[DESPESAS]]+Tabela25[[#This Row],[IPI]]+Tabela25[[#This Row],[Vl. Produto]])*Tabela25[[#This Row],[Aliq.%]]</f>
        <v>0</v>
      </c>
    </row>
    <row r="519" spans="13:19" x14ac:dyDescent="0.25">
      <c r="M519" s="46"/>
      <c r="N519" s="46"/>
      <c r="O519" s="46"/>
      <c r="P519" s="46"/>
      <c r="R519" s="15">
        <v>1.54E-2</v>
      </c>
      <c r="S519" s="18">
        <f>(Tabela25[[#This Row],[FRETE]]+Tabela25[[#This Row],[DESPESAS]]+Tabela25[[#This Row],[IPI]]+Tabela25[[#This Row],[Vl. Produto]])*Tabela25[[#This Row],[Aliq.%]]</f>
        <v>0</v>
      </c>
    </row>
    <row r="520" spans="13:19" x14ac:dyDescent="0.25">
      <c r="M520" s="46"/>
      <c r="N520" s="46"/>
      <c r="O520" s="46"/>
      <c r="P520" s="46"/>
      <c r="R520" s="15">
        <v>1.54E-2</v>
      </c>
      <c r="S520" s="18">
        <f>(Tabela25[[#This Row],[FRETE]]+Tabela25[[#This Row],[DESPESAS]]+Tabela25[[#This Row],[IPI]]+Tabela25[[#This Row],[Vl. Produto]])*Tabela25[[#This Row],[Aliq.%]]</f>
        <v>0</v>
      </c>
    </row>
    <row r="521" spans="13:19" x14ac:dyDescent="0.25">
      <c r="M521" s="46"/>
      <c r="N521" s="46"/>
      <c r="O521" s="46"/>
      <c r="P521" s="46"/>
      <c r="R521" s="15">
        <v>1.54E-2</v>
      </c>
      <c r="S521" s="18">
        <f>(Tabela25[[#This Row],[FRETE]]+Tabela25[[#This Row],[DESPESAS]]+Tabela25[[#This Row],[IPI]]+Tabela25[[#This Row],[Vl. Produto]])*Tabela25[[#This Row],[Aliq.%]]</f>
        <v>0</v>
      </c>
    </row>
    <row r="522" spans="13:19" x14ac:dyDescent="0.25">
      <c r="M522" s="46"/>
      <c r="N522" s="46"/>
      <c r="O522" s="46"/>
      <c r="P522" s="46"/>
      <c r="R522" s="15">
        <v>1.54E-2</v>
      </c>
      <c r="S522" s="18">
        <f>(Tabela25[[#This Row],[FRETE]]+Tabela25[[#This Row],[DESPESAS]]+Tabela25[[#This Row],[IPI]]+Tabela25[[#This Row],[Vl. Produto]])*Tabela25[[#This Row],[Aliq.%]]</f>
        <v>0</v>
      </c>
    </row>
    <row r="523" spans="13:19" x14ac:dyDescent="0.25">
      <c r="M523" s="46"/>
      <c r="N523" s="46"/>
      <c r="O523" s="46"/>
      <c r="P523" s="46"/>
      <c r="R523" s="15">
        <v>1.54E-2</v>
      </c>
      <c r="S523" s="18">
        <f>(Tabela25[[#This Row],[FRETE]]+Tabela25[[#This Row],[DESPESAS]]+Tabela25[[#This Row],[IPI]]+Tabela25[[#This Row],[Vl. Produto]])*Tabela25[[#This Row],[Aliq.%]]</f>
        <v>0</v>
      </c>
    </row>
    <row r="524" spans="13:19" x14ac:dyDescent="0.25">
      <c r="M524" s="46"/>
      <c r="N524" s="46"/>
      <c r="O524" s="46"/>
      <c r="P524" s="46"/>
      <c r="R524" s="15">
        <v>1.54E-2</v>
      </c>
      <c r="S524" s="18">
        <f>(Tabela25[[#This Row],[FRETE]]+Tabela25[[#This Row],[DESPESAS]]+Tabela25[[#This Row],[IPI]]+Tabela25[[#This Row],[Vl. Produto]])*Tabela25[[#This Row],[Aliq.%]]</f>
        <v>0</v>
      </c>
    </row>
    <row r="525" spans="13:19" x14ac:dyDescent="0.25">
      <c r="M525" s="46"/>
      <c r="N525" s="46"/>
      <c r="O525" s="46"/>
      <c r="P525" s="46"/>
      <c r="R525" s="15">
        <v>1.54E-2</v>
      </c>
      <c r="S525" s="18">
        <f>(Tabela25[[#This Row],[FRETE]]+Tabela25[[#This Row],[DESPESAS]]+Tabela25[[#This Row],[IPI]]+Tabela25[[#This Row],[Vl. Produto]])*Tabela25[[#This Row],[Aliq.%]]</f>
        <v>0</v>
      </c>
    </row>
    <row r="526" spans="13:19" x14ac:dyDescent="0.25">
      <c r="M526" s="46"/>
      <c r="N526" s="46"/>
      <c r="O526" s="46"/>
      <c r="P526" s="46"/>
      <c r="R526" s="15">
        <v>1.54E-2</v>
      </c>
      <c r="S526" s="18">
        <f>(Tabela25[[#This Row],[FRETE]]+Tabela25[[#This Row],[DESPESAS]]+Tabela25[[#This Row],[IPI]]+Tabela25[[#This Row],[Vl. Produto]])*Tabela25[[#This Row],[Aliq.%]]</f>
        <v>0</v>
      </c>
    </row>
    <row r="527" spans="13:19" x14ac:dyDescent="0.25">
      <c r="M527" s="46"/>
      <c r="N527" s="46"/>
      <c r="O527" s="46"/>
      <c r="P527" s="46"/>
      <c r="R527" s="15">
        <v>1.54E-2</v>
      </c>
      <c r="S527" s="18">
        <f>(Tabela25[[#This Row],[FRETE]]+Tabela25[[#This Row],[DESPESAS]]+Tabela25[[#This Row],[IPI]]+Tabela25[[#This Row],[Vl. Produto]])*Tabela25[[#This Row],[Aliq.%]]</f>
        <v>0</v>
      </c>
    </row>
    <row r="528" spans="13:19" x14ac:dyDescent="0.25">
      <c r="M528" s="46"/>
      <c r="N528" s="46"/>
      <c r="O528" s="46"/>
      <c r="P528" s="46"/>
      <c r="R528" s="15">
        <v>1.54E-2</v>
      </c>
      <c r="S528" s="18">
        <f>(Tabela25[[#This Row],[FRETE]]+Tabela25[[#This Row],[DESPESAS]]+Tabela25[[#This Row],[IPI]]+Tabela25[[#This Row],[Vl. Produto]])*Tabela25[[#This Row],[Aliq.%]]</f>
        <v>0</v>
      </c>
    </row>
    <row r="529" spans="13:19" x14ac:dyDescent="0.25">
      <c r="M529" s="46"/>
      <c r="N529" s="46"/>
      <c r="O529" s="46"/>
      <c r="P529" s="46"/>
      <c r="R529" s="15">
        <v>1.54E-2</v>
      </c>
      <c r="S529" s="18">
        <f>(Tabela25[[#This Row],[FRETE]]+Tabela25[[#This Row],[DESPESAS]]+Tabela25[[#This Row],[IPI]]+Tabela25[[#This Row],[Vl. Produto]])*Tabela25[[#This Row],[Aliq.%]]</f>
        <v>0</v>
      </c>
    </row>
    <row r="530" spans="13:19" x14ac:dyDescent="0.25">
      <c r="M530" s="46"/>
      <c r="N530" s="46"/>
      <c r="O530" s="46"/>
      <c r="P530" s="46"/>
      <c r="R530" s="15">
        <v>1.54E-2</v>
      </c>
      <c r="S530" s="18">
        <f>(Tabela25[[#This Row],[FRETE]]+Tabela25[[#This Row],[DESPESAS]]+Tabela25[[#This Row],[IPI]]+Tabela25[[#This Row],[Vl. Produto]])*Tabela25[[#This Row],[Aliq.%]]</f>
        <v>0</v>
      </c>
    </row>
    <row r="531" spans="13:19" x14ac:dyDescent="0.25">
      <c r="M531" s="46"/>
      <c r="N531" s="46"/>
      <c r="O531" s="46"/>
      <c r="P531" s="46"/>
      <c r="R531" s="15">
        <v>1.54E-2</v>
      </c>
      <c r="S531" s="18">
        <f>(Tabela25[[#This Row],[FRETE]]+Tabela25[[#This Row],[DESPESAS]]+Tabela25[[#This Row],[IPI]]+Tabela25[[#This Row],[Vl. Produto]])*Tabela25[[#This Row],[Aliq.%]]</f>
        <v>0</v>
      </c>
    </row>
    <row r="532" spans="13:19" x14ac:dyDescent="0.25">
      <c r="M532" s="46"/>
      <c r="N532" s="46"/>
      <c r="O532" s="46"/>
      <c r="P532" s="46"/>
      <c r="R532" s="15">
        <v>1.54E-2</v>
      </c>
      <c r="S532" s="18">
        <f>(Tabela25[[#This Row],[FRETE]]+Tabela25[[#This Row],[DESPESAS]]+Tabela25[[#This Row],[IPI]]+Tabela25[[#This Row],[Vl. Produto]])*Tabela25[[#This Row],[Aliq.%]]</f>
        <v>0</v>
      </c>
    </row>
    <row r="533" spans="13:19" x14ac:dyDescent="0.25">
      <c r="M533" s="46"/>
      <c r="N533" s="46"/>
      <c r="O533" s="46"/>
      <c r="P533" s="46"/>
      <c r="R533" s="15">
        <v>1.54E-2</v>
      </c>
      <c r="S533" s="18">
        <f>(Tabela25[[#This Row],[FRETE]]+Tabela25[[#This Row],[DESPESAS]]+Tabela25[[#This Row],[IPI]]+Tabela25[[#This Row],[Vl. Produto]])*Tabela25[[#This Row],[Aliq.%]]</f>
        <v>0</v>
      </c>
    </row>
    <row r="534" spans="13:19" x14ac:dyDescent="0.25">
      <c r="M534" s="46"/>
      <c r="N534" s="46"/>
      <c r="O534" s="46"/>
      <c r="P534" s="46"/>
      <c r="R534" s="15">
        <v>1.54E-2</v>
      </c>
      <c r="S534" s="18">
        <f>(Tabela25[[#This Row],[FRETE]]+Tabela25[[#This Row],[DESPESAS]]+Tabela25[[#This Row],[IPI]]+Tabela25[[#This Row],[Vl. Produto]])*Tabela25[[#This Row],[Aliq.%]]</f>
        <v>0</v>
      </c>
    </row>
    <row r="535" spans="13:19" x14ac:dyDescent="0.25">
      <c r="M535" s="46"/>
      <c r="N535" s="46"/>
      <c r="O535" s="46"/>
      <c r="P535" s="46"/>
      <c r="R535" s="15">
        <v>1.54E-2</v>
      </c>
      <c r="S535" s="18">
        <f>(Tabela25[[#This Row],[FRETE]]+Tabela25[[#This Row],[DESPESAS]]+Tabela25[[#This Row],[IPI]]+Tabela25[[#This Row],[Vl. Produto]])*Tabela25[[#This Row],[Aliq.%]]</f>
        <v>0</v>
      </c>
    </row>
    <row r="536" spans="13:19" x14ac:dyDescent="0.25">
      <c r="M536" s="46"/>
      <c r="N536" s="46"/>
      <c r="O536" s="46"/>
      <c r="P536" s="46"/>
      <c r="R536" s="15">
        <v>1.54E-2</v>
      </c>
      <c r="S536" s="18">
        <f>(Tabela25[[#This Row],[FRETE]]+Tabela25[[#This Row],[DESPESAS]]+Tabela25[[#This Row],[IPI]]+Tabela25[[#This Row],[Vl. Produto]])*Tabela25[[#This Row],[Aliq.%]]</f>
        <v>0</v>
      </c>
    </row>
    <row r="537" spans="13:19" x14ac:dyDescent="0.25">
      <c r="M537" s="46"/>
      <c r="N537" s="46"/>
      <c r="O537" s="46"/>
      <c r="P537" s="46"/>
      <c r="R537" s="15">
        <v>1.54E-2</v>
      </c>
      <c r="S537" s="18">
        <f>(Tabela25[[#This Row],[FRETE]]+Tabela25[[#This Row],[DESPESAS]]+Tabela25[[#This Row],[IPI]]+Tabela25[[#This Row],[Vl. Produto]])*Tabela25[[#This Row],[Aliq.%]]</f>
        <v>0</v>
      </c>
    </row>
    <row r="538" spans="13:19" x14ac:dyDescent="0.25">
      <c r="M538" s="46"/>
      <c r="N538" s="46"/>
      <c r="O538" s="46"/>
      <c r="P538" s="46"/>
      <c r="R538" s="15">
        <v>1.54E-2</v>
      </c>
      <c r="S538" s="18">
        <f>(Tabela25[[#This Row],[FRETE]]+Tabela25[[#This Row],[DESPESAS]]+Tabela25[[#This Row],[IPI]]+Tabela25[[#This Row],[Vl. Produto]])*Tabela25[[#This Row],[Aliq.%]]</f>
        <v>0</v>
      </c>
    </row>
    <row r="539" spans="13:19" x14ac:dyDescent="0.25">
      <c r="M539" s="46"/>
      <c r="N539" s="46"/>
      <c r="O539" s="46"/>
      <c r="P539" s="46"/>
      <c r="R539" s="15">
        <v>1.54E-2</v>
      </c>
      <c r="S539" s="18">
        <f>(Tabela25[[#This Row],[FRETE]]+Tabela25[[#This Row],[DESPESAS]]+Tabela25[[#This Row],[IPI]]+Tabela25[[#This Row],[Vl. Produto]])*Tabela25[[#This Row],[Aliq.%]]</f>
        <v>0</v>
      </c>
    </row>
    <row r="540" spans="13:19" x14ac:dyDescent="0.25">
      <c r="M540" s="46"/>
      <c r="N540" s="46"/>
      <c r="O540" s="46"/>
      <c r="P540" s="46"/>
      <c r="R540" s="15">
        <v>1.54E-2</v>
      </c>
      <c r="S540" s="18">
        <f>(Tabela25[[#This Row],[FRETE]]+Tabela25[[#This Row],[DESPESAS]]+Tabela25[[#This Row],[IPI]]+Tabela25[[#This Row],[Vl. Produto]])*Tabela25[[#This Row],[Aliq.%]]</f>
        <v>0</v>
      </c>
    </row>
    <row r="541" spans="13:19" x14ac:dyDescent="0.25">
      <c r="M541" s="46"/>
      <c r="N541" s="46"/>
      <c r="O541" s="46"/>
      <c r="P541" s="46"/>
      <c r="R541" s="15">
        <v>1.54E-2</v>
      </c>
      <c r="S541" s="18">
        <f>(Tabela25[[#This Row],[FRETE]]+Tabela25[[#This Row],[DESPESAS]]+Tabela25[[#This Row],[IPI]]+Tabela25[[#This Row],[Vl. Produto]])*Tabela25[[#This Row],[Aliq.%]]</f>
        <v>0</v>
      </c>
    </row>
    <row r="542" spans="13:19" x14ac:dyDescent="0.25">
      <c r="M542" s="46"/>
      <c r="N542" s="46"/>
      <c r="O542" s="46"/>
      <c r="P542" s="46"/>
      <c r="R542" s="15">
        <v>1.54E-2</v>
      </c>
      <c r="S542" s="18">
        <f>(Tabela25[[#This Row],[FRETE]]+Tabela25[[#This Row],[DESPESAS]]+Tabela25[[#This Row],[IPI]]+Tabela25[[#This Row],[Vl. Produto]])*Tabela25[[#This Row],[Aliq.%]]</f>
        <v>0</v>
      </c>
    </row>
    <row r="543" spans="13:19" x14ac:dyDescent="0.25">
      <c r="M543" s="46"/>
      <c r="N543" s="46"/>
      <c r="O543" s="46"/>
      <c r="P543" s="46"/>
      <c r="R543" s="15">
        <v>1.54E-2</v>
      </c>
      <c r="S543" s="18">
        <f>(Tabela25[[#This Row],[FRETE]]+Tabela25[[#This Row],[DESPESAS]]+Tabela25[[#This Row],[IPI]]+Tabela25[[#This Row],[Vl. Produto]])*Tabela25[[#This Row],[Aliq.%]]</f>
        <v>0</v>
      </c>
    </row>
    <row r="544" spans="13:19" x14ac:dyDescent="0.25">
      <c r="M544" s="46"/>
      <c r="N544" s="46"/>
      <c r="O544" s="46"/>
      <c r="P544" s="46"/>
      <c r="R544" s="15">
        <v>1.54E-2</v>
      </c>
      <c r="S544" s="18">
        <f>(Tabela25[[#This Row],[FRETE]]+Tabela25[[#This Row],[DESPESAS]]+Tabela25[[#This Row],[IPI]]+Tabela25[[#This Row],[Vl. Produto]])*Tabela25[[#This Row],[Aliq.%]]</f>
        <v>0</v>
      </c>
    </row>
    <row r="545" spans="13:19" x14ac:dyDescent="0.25">
      <c r="M545" s="46"/>
      <c r="N545" s="46"/>
      <c r="O545" s="46"/>
      <c r="P545" s="46"/>
      <c r="R545" s="15">
        <v>1.54E-2</v>
      </c>
      <c r="S545" s="18">
        <f>(Tabela25[[#This Row],[FRETE]]+Tabela25[[#This Row],[DESPESAS]]+Tabela25[[#This Row],[IPI]]+Tabela25[[#This Row],[Vl. Produto]])*Tabela25[[#This Row],[Aliq.%]]</f>
        <v>0</v>
      </c>
    </row>
    <row r="546" spans="13:19" x14ac:dyDescent="0.25">
      <c r="M546" s="46"/>
      <c r="N546" s="46"/>
      <c r="O546" s="46"/>
      <c r="P546" s="46"/>
      <c r="R546" s="15">
        <v>1.54E-2</v>
      </c>
      <c r="S546" s="18">
        <f>(Tabela25[[#This Row],[FRETE]]+Tabela25[[#This Row],[DESPESAS]]+Tabela25[[#This Row],[IPI]]+Tabela25[[#This Row],[Vl. Produto]])*Tabela25[[#This Row],[Aliq.%]]</f>
        <v>0</v>
      </c>
    </row>
    <row r="547" spans="13:19" x14ac:dyDescent="0.25">
      <c r="M547" s="46"/>
      <c r="N547" s="46"/>
      <c r="O547" s="46"/>
      <c r="P547" s="46"/>
      <c r="R547" s="15">
        <v>1.54E-2</v>
      </c>
      <c r="S547" s="18">
        <f>(Tabela25[[#This Row],[FRETE]]+Tabela25[[#This Row],[DESPESAS]]+Tabela25[[#This Row],[IPI]]+Tabela25[[#This Row],[Vl. Produto]])*Tabela25[[#This Row],[Aliq.%]]</f>
        <v>0</v>
      </c>
    </row>
    <row r="548" spans="13:19" x14ac:dyDescent="0.25">
      <c r="M548" s="46"/>
      <c r="N548" s="46"/>
      <c r="O548" s="46"/>
      <c r="P548" s="46"/>
      <c r="R548" s="15">
        <v>1.54E-2</v>
      </c>
      <c r="S548" s="18">
        <f>(Tabela25[[#This Row],[FRETE]]+Tabela25[[#This Row],[DESPESAS]]+Tabela25[[#This Row],[IPI]]+Tabela25[[#This Row],[Vl. Produto]])*Tabela25[[#This Row],[Aliq.%]]</f>
        <v>0</v>
      </c>
    </row>
    <row r="549" spans="13:19" x14ac:dyDescent="0.25">
      <c r="M549" s="46"/>
      <c r="N549" s="46"/>
      <c r="O549" s="46"/>
      <c r="P549" s="46"/>
      <c r="R549" s="15">
        <v>1.54E-2</v>
      </c>
      <c r="S549" s="18">
        <f>(Tabela25[[#This Row],[FRETE]]+Tabela25[[#This Row],[DESPESAS]]+Tabela25[[#This Row],[IPI]]+Tabela25[[#This Row],[Vl. Produto]])*Tabela25[[#This Row],[Aliq.%]]</f>
        <v>0</v>
      </c>
    </row>
    <row r="550" spans="13:19" x14ac:dyDescent="0.25">
      <c r="M550" s="46"/>
      <c r="N550" s="46"/>
      <c r="O550" s="46"/>
      <c r="P550" s="46"/>
      <c r="R550" s="15">
        <v>1.54E-2</v>
      </c>
      <c r="S550" s="18">
        <f>(Tabela25[[#This Row],[FRETE]]+Tabela25[[#This Row],[DESPESAS]]+Tabela25[[#This Row],[IPI]]+Tabela25[[#This Row],[Vl. Produto]])*Tabela25[[#This Row],[Aliq.%]]</f>
        <v>0</v>
      </c>
    </row>
    <row r="551" spans="13:19" x14ac:dyDescent="0.25">
      <c r="M551" s="46"/>
      <c r="N551" s="46"/>
      <c r="O551" s="46"/>
      <c r="P551" s="46"/>
      <c r="R551" s="15">
        <v>1.54E-2</v>
      </c>
      <c r="S551" s="18">
        <f>(Tabela25[[#This Row],[FRETE]]+Tabela25[[#This Row],[DESPESAS]]+Tabela25[[#This Row],[IPI]]+Tabela25[[#This Row],[Vl. Produto]])*Tabela25[[#This Row],[Aliq.%]]</f>
        <v>0</v>
      </c>
    </row>
    <row r="552" spans="13:19" x14ac:dyDescent="0.25">
      <c r="M552" s="46"/>
      <c r="N552" s="46"/>
      <c r="O552" s="46"/>
      <c r="P552" s="46"/>
      <c r="R552" s="15">
        <v>1.54E-2</v>
      </c>
      <c r="S552" s="18">
        <f>(Tabela25[[#This Row],[FRETE]]+Tabela25[[#This Row],[DESPESAS]]+Tabela25[[#This Row],[IPI]]+Tabela25[[#This Row],[Vl. Produto]])*Tabela25[[#This Row],[Aliq.%]]</f>
        <v>0</v>
      </c>
    </row>
    <row r="553" spans="13:19" x14ac:dyDescent="0.25">
      <c r="M553" s="46"/>
      <c r="N553" s="46"/>
      <c r="O553" s="46"/>
      <c r="P553" s="46"/>
      <c r="R553" s="15">
        <v>1.54E-2</v>
      </c>
      <c r="S553" s="18">
        <f>(Tabela25[[#This Row],[FRETE]]+Tabela25[[#This Row],[DESPESAS]]+Tabela25[[#This Row],[IPI]]+Tabela25[[#This Row],[Vl. Produto]])*Tabela25[[#This Row],[Aliq.%]]</f>
        <v>0</v>
      </c>
    </row>
    <row r="554" spans="13:19" x14ac:dyDescent="0.25">
      <c r="M554" s="46"/>
      <c r="N554" s="46"/>
      <c r="O554" s="46"/>
      <c r="P554" s="46"/>
      <c r="R554" s="15">
        <v>1.54E-2</v>
      </c>
      <c r="S554" s="18">
        <f>(Tabela25[[#This Row],[FRETE]]+Tabela25[[#This Row],[DESPESAS]]+Tabela25[[#This Row],[IPI]]+Tabela25[[#This Row],[Vl. Produto]])*Tabela25[[#This Row],[Aliq.%]]</f>
        <v>0</v>
      </c>
    </row>
    <row r="555" spans="13:19" x14ac:dyDescent="0.25">
      <c r="M555" s="46"/>
      <c r="N555" s="46"/>
      <c r="O555" s="46"/>
      <c r="P555" s="46"/>
      <c r="R555" s="15">
        <v>1.54E-2</v>
      </c>
      <c r="S555" s="18">
        <f>(Tabela25[[#This Row],[FRETE]]+Tabela25[[#This Row],[DESPESAS]]+Tabela25[[#This Row],[IPI]]+Tabela25[[#This Row],[Vl. Produto]])*Tabela25[[#This Row],[Aliq.%]]</f>
        <v>0</v>
      </c>
    </row>
    <row r="556" spans="13:19" x14ac:dyDescent="0.25">
      <c r="M556" s="46"/>
      <c r="N556" s="46"/>
      <c r="O556" s="46"/>
      <c r="P556" s="46"/>
      <c r="R556" s="15">
        <v>1.54E-2</v>
      </c>
      <c r="S556" s="18">
        <f>(Tabela25[[#This Row],[FRETE]]+Tabela25[[#This Row],[DESPESAS]]+Tabela25[[#This Row],[IPI]]+Tabela25[[#This Row],[Vl. Produto]])*Tabela25[[#This Row],[Aliq.%]]</f>
        <v>0</v>
      </c>
    </row>
    <row r="557" spans="13:19" x14ac:dyDescent="0.25">
      <c r="M557" s="46"/>
      <c r="N557" s="46"/>
      <c r="O557" s="46"/>
      <c r="P557" s="46"/>
      <c r="R557" s="15">
        <v>1.54E-2</v>
      </c>
      <c r="S557" s="18">
        <f>(Tabela25[[#This Row],[FRETE]]+Tabela25[[#This Row],[DESPESAS]]+Tabela25[[#This Row],[IPI]]+Tabela25[[#This Row],[Vl. Produto]])*Tabela25[[#This Row],[Aliq.%]]</f>
        <v>0</v>
      </c>
    </row>
    <row r="558" spans="13:19" x14ac:dyDescent="0.25">
      <c r="M558" s="46"/>
      <c r="N558" s="46"/>
      <c r="O558" s="46"/>
      <c r="P558" s="46"/>
      <c r="R558" s="15">
        <v>1.54E-2</v>
      </c>
      <c r="S558" s="18">
        <f>(Tabela25[[#This Row],[FRETE]]+Tabela25[[#This Row],[DESPESAS]]+Tabela25[[#This Row],[IPI]]+Tabela25[[#This Row],[Vl. Produto]])*Tabela25[[#This Row],[Aliq.%]]</f>
        <v>0</v>
      </c>
    </row>
    <row r="559" spans="13:19" x14ac:dyDescent="0.25">
      <c r="M559" s="46"/>
      <c r="N559" s="46"/>
      <c r="O559" s="46"/>
      <c r="P559" s="46"/>
      <c r="R559" s="15">
        <v>1.54E-2</v>
      </c>
      <c r="S559" s="18">
        <f>(Tabela25[[#This Row],[FRETE]]+Tabela25[[#This Row],[DESPESAS]]+Tabela25[[#This Row],[IPI]]+Tabela25[[#This Row],[Vl. Produto]])*Tabela25[[#This Row],[Aliq.%]]</f>
        <v>0</v>
      </c>
    </row>
    <row r="560" spans="13:19" x14ac:dyDescent="0.25">
      <c r="M560" s="46"/>
      <c r="N560" s="46"/>
      <c r="O560" s="46"/>
      <c r="P560" s="46"/>
      <c r="R560" s="15">
        <v>1.54E-2</v>
      </c>
      <c r="S560" s="18">
        <f>(Tabela25[[#This Row],[FRETE]]+Tabela25[[#This Row],[DESPESAS]]+Tabela25[[#This Row],[IPI]]+Tabela25[[#This Row],[Vl. Produto]])*Tabela25[[#This Row],[Aliq.%]]</f>
        <v>0</v>
      </c>
    </row>
    <row r="561" spans="13:19" x14ac:dyDescent="0.25">
      <c r="M561" s="46"/>
      <c r="N561" s="46"/>
      <c r="O561" s="46"/>
      <c r="P561" s="46"/>
      <c r="R561" s="15">
        <v>1.54E-2</v>
      </c>
      <c r="S561" s="18">
        <f>(Tabela25[[#This Row],[FRETE]]+Tabela25[[#This Row],[DESPESAS]]+Tabela25[[#This Row],[IPI]]+Tabela25[[#This Row],[Vl. Produto]])*Tabela25[[#This Row],[Aliq.%]]</f>
        <v>0</v>
      </c>
    </row>
    <row r="562" spans="13:19" x14ac:dyDescent="0.25">
      <c r="M562" s="46"/>
      <c r="N562" s="46"/>
      <c r="O562" s="46"/>
      <c r="P562" s="46"/>
      <c r="R562" s="15">
        <v>1.54E-2</v>
      </c>
      <c r="S562" s="18">
        <f>(Tabela25[[#This Row],[FRETE]]+Tabela25[[#This Row],[DESPESAS]]+Tabela25[[#This Row],[IPI]]+Tabela25[[#This Row],[Vl. Produto]])*Tabela25[[#This Row],[Aliq.%]]</f>
        <v>0</v>
      </c>
    </row>
    <row r="563" spans="13:19" x14ac:dyDescent="0.25">
      <c r="M563" s="46"/>
      <c r="N563" s="46"/>
      <c r="O563" s="46"/>
      <c r="P563" s="46"/>
      <c r="R563" s="15">
        <v>1.54E-2</v>
      </c>
      <c r="S563" s="18">
        <f>(Tabela25[[#This Row],[FRETE]]+Tabela25[[#This Row],[DESPESAS]]+Tabela25[[#This Row],[IPI]]+Tabela25[[#This Row],[Vl. Produto]])*Tabela25[[#This Row],[Aliq.%]]</f>
        <v>0</v>
      </c>
    </row>
    <row r="564" spans="13:19" x14ac:dyDescent="0.25">
      <c r="M564" s="46"/>
      <c r="N564" s="46"/>
      <c r="O564" s="46"/>
      <c r="P564" s="46"/>
      <c r="R564" s="15">
        <v>1.54E-2</v>
      </c>
      <c r="S564" s="18">
        <f>(Tabela25[[#This Row],[FRETE]]+Tabela25[[#This Row],[DESPESAS]]+Tabela25[[#This Row],[IPI]]+Tabela25[[#This Row],[Vl. Produto]])*Tabela25[[#This Row],[Aliq.%]]</f>
        <v>0</v>
      </c>
    </row>
    <row r="565" spans="13:19" x14ac:dyDescent="0.25">
      <c r="M565" s="46"/>
      <c r="N565" s="46"/>
      <c r="O565" s="46"/>
      <c r="P565" s="46"/>
      <c r="R565" s="15">
        <v>1.54E-2</v>
      </c>
      <c r="S565" s="18">
        <f>(Tabela25[[#This Row],[FRETE]]+Tabela25[[#This Row],[DESPESAS]]+Tabela25[[#This Row],[IPI]]+Tabela25[[#This Row],[Vl. Produto]])*Tabela25[[#This Row],[Aliq.%]]</f>
        <v>0</v>
      </c>
    </row>
    <row r="566" spans="13:19" x14ac:dyDescent="0.25">
      <c r="M566" s="46"/>
      <c r="N566" s="46"/>
      <c r="O566" s="46"/>
      <c r="P566" s="46"/>
      <c r="R566" s="15">
        <v>1.54E-2</v>
      </c>
      <c r="S566" s="18">
        <f>(Tabela25[[#This Row],[FRETE]]+Tabela25[[#This Row],[DESPESAS]]+Tabela25[[#This Row],[IPI]]+Tabela25[[#This Row],[Vl. Produto]])*Tabela25[[#This Row],[Aliq.%]]</f>
        <v>0</v>
      </c>
    </row>
    <row r="567" spans="13:19" x14ac:dyDescent="0.25">
      <c r="M567" s="46"/>
      <c r="N567" s="46"/>
      <c r="O567" s="46"/>
      <c r="P567" s="46"/>
      <c r="R567" s="15">
        <v>1.54E-2</v>
      </c>
      <c r="S567" s="18">
        <f>(Tabela25[[#This Row],[FRETE]]+Tabela25[[#This Row],[DESPESAS]]+Tabela25[[#This Row],[IPI]]+Tabela25[[#This Row],[Vl. Produto]])*Tabela25[[#This Row],[Aliq.%]]</f>
        <v>0</v>
      </c>
    </row>
    <row r="568" spans="13:19" x14ac:dyDescent="0.25">
      <c r="M568" s="46"/>
      <c r="N568" s="46"/>
      <c r="O568" s="46"/>
      <c r="P568" s="46"/>
      <c r="R568" s="15">
        <v>1.54E-2</v>
      </c>
      <c r="S568" s="18">
        <f>(Tabela25[[#This Row],[FRETE]]+Tabela25[[#This Row],[DESPESAS]]+Tabela25[[#This Row],[IPI]]+Tabela25[[#This Row],[Vl. Produto]])*Tabela25[[#This Row],[Aliq.%]]</f>
        <v>0</v>
      </c>
    </row>
    <row r="569" spans="13:19" x14ac:dyDescent="0.25">
      <c r="M569" s="46"/>
      <c r="N569" s="46"/>
      <c r="O569" s="46"/>
      <c r="P569" s="46"/>
      <c r="R569" s="15">
        <v>1.54E-2</v>
      </c>
      <c r="S569" s="18">
        <f>(Tabela25[[#This Row],[FRETE]]+Tabela25[[#This Row],[DESPESAS]]+Tabela25[[#This Row],[IPI]]+Tabela25[[#This Row],[Vl. Produto]])*Tabela25[[#This Row],[Aliq.%]]</f>
        <v>0</v>
      </c>
    </row>
    <row r="570" spans="13:19" x14ac:dyDescent="0.25">
      <c r="M570" s="46"/>
      <c r="N570" s="46"/>
      <c r="O570" s="46"/>
      <c r="P570" s="46"/>
      <c r="R570" s="15">
        <v>1.54E-2</v>
      </c>
      <c r="S570" s="18">
        <f>(Tabela25[[#This Row],[FRETE]]+Tabela25[[#This Row],[DESPESAS]]+Tabela25[[#This Row],[IPI]]+Tabela25[[#This Row],[Vl. Produto]])*Tabela25[[#This Row],[Aliq.%]]</f>
        <v>0</v>
      </c>
    </row>
    <row r="571" spans="13:19" x14ac:dyDescent="0.25">
      <c r="M571" s="46"/>
      <c r="N571" s="46"/>
      <c r="O571" s="46"/>
      <c r="P571" s="46"/>
      <c r="R571" s="15">
        <v>1.54E-2</v>
      </c>
      <c r="S571" s="18">
        <f>(Tabela25[[#This Row],[FRETE]]+Tabela25[[#This Row],[DESPESAS]]+Tabela25[[#This Row],[IPI]]+Tabela25[[#This Row],[Vl. Produto]])*Tabela25[[#This Row],[Aliq.%]]</f>
        <v>0</v>
      </c>
    </row>
    <row r="572" spans="13:19" x14ac:dyDescent="0.25">
      <c r="M572" s="46"/>
      <c r="N572" s="46"/>
      <c r="O572" s="46"/>
      <c r="P572" s="46"/>
      <c r="R572" s="15">
        <v>1.54E-2</v>
      </c>
      <c r="S572" s="18">
        <f>(Tabela25[[#This Row],[FRETE]]+Tabela25[[#This Row],[DESPESAS]]+Tabela25[[#This Row],[IPI]]+Tabela25[[#This Row],[Vl. Produto]])*Tabela25[[#This Row],[Aliq.%]]</f>
        <v>0</v>
      </c>
    </row>
    <row r="573" spans="13:19" x14ac:dyDescent="0.25">
      <c r="M573" s="46"/>
      <c r="N573" s="46"/>
      <c r="O573" s="46"/>
      <c r="P573" s="46"/>
      <c r="R573" s="15">
        <v>1.54E-2</v>
      </c>
      <c r="S573" s="18">
        <f>(Tabela25[[#This Row],[FRETE]]+Tabela25[[#This Row],[DESPESAS]]+Tabela25[[#This Row],[IPI]]+Tabela25[[#This Row],[Vl. Produto]])*Tabela25[[#This Row],[Aliq.%]]</f>
        <v>0</v>
      </c>
    </row>
    <row r="574" spans="13:19" x14ac:dyDescent="0.25">
      <c r="M574" s="46"/>
      <c r="N574" s="46"/>
      <c r="O574" s="46"/>
      <c r="P574" s="46"/>
      <c r="R574" s="15">
        <v>1.54E-2</v>
      </c>
      <c r="S574" s="18">
        <f>(Tabela25[[#This Row],[FRETE]]+Tabela25[[#This Row],[DESPESAS]]+Tabela25[[#This Row],[IPI]]+Tabela25[[#This Row],[Vl. Produto]])*Tabela25[[#This Row],[Aliq.%]]</f>
        <v>0</v>
      </c>
    </row>
    <row r="575" spans="13:19" x14ac:dyDescent="0.25">
      <c r="M575" s="46"/>
      <c r="N575" s="46"/>
      <c r="O575" s="46"/>
      <c r="P575" s="46"/>
      <c r="R575" s="15">
        <v>1.54E-2</v>
      </c>
      <c r="S575" s="18">
        <f>(Tabela25[[#This Row],[FRETE]]+Tabela25[[#This Row],[DESPESAS]]+Tabela25[[#This Row],[IPI]]+Tabela25[[#This Row],[Vl. Produto]])*Tabela25[[#This Row],[Aliq.%]]</f>
        <v>0</v>
      </c>
    </row>
    <row r="576" spans="13:19" x14ac:dyDescent="0.25">
      <c r="M576" s="46"/>
      <c r="N576" s="46"/>
      <c r="O576" s="46"/>
      <c r="P576" s="46"/>
      <c r="R576" s="15">
        <v>1.54E-2</v>
      </c>
      <c r="S576" s="18">
        <f>(Tabela25[[#This Row],[FRETE]]+Tabela25[[#This Row],[DESPESAS]]+Tabela25[[#This Row],[IPI]]+Tabela25[[#This Row],[Vl. Produto]])*Tabela25[[#This Row],[Aliq.%]]</f>
        <v>0</v>
      </c>
    </row>
    <row r="577" spans="13:19" x14ac:dyDescent="0.25">
      <c r="M577" s="46"/>
      <c r="N577" s="46"/>
      <c r="O577" s="46"/>
      <c r="P577" s="46"/>
      <c r="R577" s="15">
        <v>1.54E-2</v>
      </c>
      <c r="S577" s="18">
        <f>(Tabela25[[#This Row],[FRETE]]+Tabela25[[#This Row],[DESPESAS]]+Tabela25[[#This Row],[IPI]]+Tabela25[[#This Row],[Vl. Produto]])*Tabela25[[#This Row],[Aliq.%]]</f>
        <v>0</v>
      </c>
    </row>
    <row r="578" spans="13:19" x14ac:dyDescent="0.25">
      <c r="M578" s="46"/>
      <c r="N578" s="46"/>
      <c r="O578" s="46"/>
      <c r="P578" s="46"/>
      <c r="R578" s="15">
        <v>1.54E-2</v>
      </c>
      <c r="S578" s="18">
        <f>(Tabela25[[#This Row],[FRETE]]+Tabela25[[#This Row],[DESPESAS]]+Tabela25[[#This Row],[IPI]]+Tabela25[[#This Row],[Vl. Produto]])*Tabela25[[#This Row],[Aliq.%]]</f>
        <v>0</v>
      </c>
    </row>
    <row r="579" spans="13:19" x14ac:dyDescent="0.25">
      <c r="M579" s="46"/>
      <c r="N579" s="46"/>
      <c r="O579" s="46"/>
      <c r="P579" s="46"/>
      <c r="R579" s="15">
        <v>1.54E-2</v>
      </c>
      <c r="S579" s="18">
        <f>(Tabela25[[#This Row],[FRETE]]+Tabela25[[#This Row],[DESPESAS]]+Tabela25[[#This Row],[IPI]]+Tabela25[[#This Row],[Vl. Produto]])*Tabela25[[#This Row],[Aliq.%]]</f>
        <v>0</v>
      </c>
    </row>
    <row r="580" spans="13:19" x14ac:dyDescent="0.25">
      <c r="M580" s="46"/>
      <c r="N580" s="46"/>
      <c r="O580" s="46"/>
      <c r="P580" s="46"/>
      <c r="R580" s="15">
        <v>1.54E-2</v>
      </c>
      <c r="S580" s="18">
        <f>(Tabela25[[#This Row],[FRETE]]+Tabela25[[#This Row],[DESPESAS]]+Tabela25[[#This Row],[IPI]]+Tabela25[[#This Row],[Vl. Produto]])*Tabela25[[#This Row],[Aliq.%]]</f>
        <v>0</v>
      </c>
    </row>
    <row r="581" spans="13:19" x14ac:dyDescent="0.25">
      <c r="M581" s="46"/>
      <c r="N581" s="46"/>
      <c r="O581" s="46"/>
      <c r="P581" s="46"/>
      <c r="R581" s="15">
        <v>1.54E-2</v>
      </c>
      <c r="S581" s="18">
        <f>(Tabela25[[#This Row],[FRETE]]+Tabela25[[#This Row],[DESPESAS]]+Tabela25[[#This Row],[IPI]]+Tabela25[[#This Row],[Vl. Produto]])*Tabela25[[#This Row],[Aliq.%]]</f>
        <v>0</v>
      </c>
    </row>
    <row r="582" spans="13:19" x14ac:dyDescent="0.25">
      <c r="M582" s="46"/>
      <c r="N582" s="46"/>
      <c r="O582" s="46"/>
      <c r="P582" s="46"/>
      <c r="R582" s="15">
        <v>1.54E-2</v>
      </c>
      <c r="S582" s="18">
        <f>(Tabela25[[#This Row],[FRETE]]+Tabela25[[#This Row],[DESPESAS]]+Tabela25[[#This Row],[IPI]]+Tabela25[[#This Row],[Vl. Produto]])*Tabela25[[#This Row],[Aliq.%]]</f>
        <v>0</v>
      </c>
    </row>
    <row r="583" spans="13:19" x14ac:dyDescent="0.25">
      <c r="M583" s="46"/>
      <c r="N583" s="46"/>
      <c r="O583" s="46"/>
      <c r="P583" s="46"/>
      <c r="R583" s="15">
        <v>1.54E-2</v>
      </c>
      <c r="S583" s="18">
        <f>(Tabela25[[#This Row],[FRETE]]+Tabela25[[#This Row],[DESPESAS]]+Tabela25[[#This Row],[IPI]]+Tabela25[[#This Row],[Vl. Produto]])*Tabela25[[#This Row],[Aliq.%]]</f>
        <v>0</v>
      </c>
    </row>
    <row r="584" spans="13:19" x14ac:dyDescent="0.25">
      <c r="M584" s="46"/>
      <c r="N584" s="46"/>
      <c r="O584" s="46"/>
      <c r="P584" s="46"/>
      <c r="R584" s="15">
        <v>1.54E-2</v>
      </c>
      <c r="S584" s="18">
        <f>(Tabela25[[#This Row],[FRETE]]+Tabela25[[#This Row],[DESPESAS]]+Tabela25[[#This Row],[IPI]]+Tabela25[[#This Row],[Vl. Produto]])*Tabela25[[#This Row],[Aliq.%]]</f>
        <v>0</v>
      </c>
    </row>
    <row r="585" spans="13:19" x14ac:dyDescent="0.25">
      <c r="M585" s="46"/>
      <c r="N585" s="46"/>
      <c r="O585" s="46"/>
      <c r="P585" s="46"/>
      <c r="R585" s="15">
        <v>1.54E-2</v>
      </c>
      <c r="S585" s="18">
        <f>(Tabela25[[#This Row],[FRETE]]+Tabela25[[#This Row],[DESPESAS]]+Tabela25[[#This Row],[IPI]]+Tabela25[[#This Row],[Vl. Produto]])*Tabela25[[#This Row],[Aliq.%]]</f>
        <v>0</v>
      </c>
    </row>
    <row r="586" spans="13:19" x14ac:dyDescent="0.25">
      <c r="M586" s="46"/>
      <c r="N586" s="46"/>
      <c r="O586" s="46"/>
      <c r="P586" s="46"/>
      <c r="R586" s="15">
        <v>1.54E-2</v>
      </c>
      <c r="S586" s="18">
        <f>(Tabela25[[#This Row],[FRETE]]+Tabela25[[#This Row],[DESPESAS]]+Tabela25[[#This Row],[IPI]]+Tabela25[[#This Row],[Vl. Produto]])*Tabela25[[#This Row],[Aliq.%]]</f>
        <v>0</v>
      </c>
    </row>
    <row r="587" spans="13:19" x14ac:dyDescent="0.25">
      <c r="M587" s="46"/>
      <c r="N587" s="46"/>
      <c r="O587" s="46"/>
      <c r="P587" s="46"/>
      <c r="R587" s="15">
        <v>1.54E-2</v>
      </c>
      <c r="S587" s="18">
        <f>(Tabela25[[#This Row],[FRETE]]+Tabela25[[#This Row],[DESPESAS]]+Tabela25[[#This Row],[IPI]]+Tabela25[[#This Row],[Vl. Produto]])*Tabela25[[#This Row],[Aliq.%]]</f>
        <v>0</v>
      </c>
    </row>
    <row r="588" spans="13:19" x14ac:dyDescent="0.25">
      <c r="M588" s="46"/>
      <c r="N588" s="46"/>
      <c r="O588" s="46"/>
      <c r="P588" s="46"/>
      <c r="R588" s="15">
        <v>1.54E-2</v>
      </c>
      <c r="S588" s="18">
        <f>(Tabela25[[#This Row],[FRETE]]+Tabela25[[#This Row],[DESPESAS]]+Tabela25[[#This Row],[IPI]]+Tabela25[[#This Row],[Vl. Produto]])*Tabela25[[#This Row],[Aliq.%]]</f>
        <v>0</v>
      </c>
    </row>
    <row r="589" spans="13:19" x14ac:dyDescent="0.25">
      <c r="M589" s="46"/>
      <c r="N589" s="46"/>
      <c r="O589" s="46"/>
      <c r="P589" s="46"/>
      <c r="R589" s="15">
        <v>1.54E-2</v>
      </c>
      <c r="S589" s="18">
        <f>(Tabela25[[#This Row],[FRETE]]+Tabela25[[#This Row],[DESPESAS]]+Tabela25[[#This Row],[IPI]]+Tabela25[[#This Row],[Vl. Produto]])*Tabela25[[#This Row],[Aliq.%]]</f>
        <v>0</v>
      </c>
    </row>
    <row r="590" spans="13:19" x14ac:dyDescent="0.25">
      <c r="M590" s="46"/>
      <c r="N590" s="46"/>
      <c r="O590" s="46"/>
      <c r="P590" s="46"/>
      <c r="R590" s="15">
        <v>1.54E-2</v>
      </c>
      <c r="S590" s="18">
        <f>(Tabela25[[#This Row],[FRETE]]+Tabela25[[#This Row],[DESPESAS]]+Tabela25[[#This Row],[IPI]]+Tabela25[[#This Row],[Vl. Produto]])*Tabela25[[#This Row],[Aliq.%]]</f>
        <v>0</v>
      </c>
    </row>
    <row r="591" spans="13:19" x14ac:dyDescent="0.25">
      <c r="M591" s="46"/>
      <c r="N591" s="46"/>
      <c r="O591" s="46"/>
      <c r="P591" s="46"/>
      <c r="R591" s="15">
        <v>1.54E-2</v>
      </c>
      <c r="S591" s="18">
        <f>(Tabela25[[#This Row],[FRETE]]+Tabela25[[#This Row],[DESPESAS]]+Tabela25[[#This Row],[IPI]]+Tabela25[[#This Row],[Vl. Produto]])*Tabela25[[#This Row],[Aliq.%]]</f>
        <v>0</v>
      </c>
    </row>
    <row r="592" spans="13:19" x14ac:dyDescent="0.25">
      <c r="M592" s="46"/>
      <c r="N592" s="46"/>
      <c r="O592" s="46"/>
      <c r="P592" s="46"/>
      <c r="R592" s="15">
        <v>1.54E-2</v>
      </c>
      <c r="S592" s="18">
        <f>(Tabela25[[#This Row],[FRETE]]+Tabela25[[#This Row],[DESPESAS]]+Tabela25[[#This Row],[IPI]]+Tabela25[[#This Row],[Vl. Produto]])*Tabela25[[#This Row],[Aliq.%]]</f>
        <v>0</v>
      </c>
    </row>
    <row r="593" spans="13:19" x14ac:dyDescent="0.25">
      <c r="M593" s="46"/>
      <c r="N593" s="46"/>
      <c r="O593" s="46"/>
      <c r="P593" s="46"/>
      <c r="R593" s="15">
        <v>1.54E-2</v>
      </c>
      <c r="S593" s="18">
        <f>(Tabela25[[#This Row],[FRETE]]+Tabela25[[#This Row],[DESPESAS]]+Tabela25[[#This Row],[IPI]]+Tabela25[[#This Row],[Vl. Produto]])*Tabela25[[#This Row],[Aliq.%]]</f>
        <v>0</v>
      </c>
    </row>
    <row r="594" spans="13:19" x14ac:dyDescent="0.25">
      <c r="M594" s="46"/>
      <c r="N594" s="46"/>
      <c r="O594" s="46"/>
      <c r="P594" s="46"/>
      <c r="R594" s="15">
        <v>1.54E-2</v>
      </c>
      <c r="S594" s="18">
        <f>(Tabela25[[#This Row],[FRETE]]+Tabela25[[#This Row],[DESPESAS]]+Tabela25[[#This Row],[IPI]]+Tabela25[[#This Row],[Vl. Produto]])*Tabela25[[#This Row],[Aliq.%]]</f>
        <v>0</v>
      </c>
    </row>
    <row r="595" spans="13:19" x14ac:dyDescent="0.25">
      <c r="M595" s="46"/>
      <c r="N595" s="46"/>
      <c r="O595" s="46"/>
      <c r="P595" s="46"/>
      <c r="R595" s="15">
        <v>1.54E-2</v>
      </c>
      <c r="S595" s="18">
        <f>(Tabela25[[#This Row],[FRETE]]+Tabela25[[#This Row],[DESPESAS]]+Tabela25[[#This Row],[IPI]]+Tabela25[[#This Row],[Vl. Produto]])*Tabela25[[#This Row],[Aliq.%]]</f>
        <v>0</v>
      </c>
    </row>
    <row r="596" spans="13:19" x14ac:dyDescent="0.25">
      <c r="M596" s="46"/>
      <c r="N596" s="46"/>
      <c r="O596" s="46"/>
      <c r="P596" s="46"/>
      <c r="R596" s="15">
        <v>1.54E-2</v>
      </c>
      <c r="S596" s="18">
        <f>(Tabela25[[#This Row],[FRETE]]+Tabela25[[#This Row],[DESPESAS]]+Tabela25[[#This Row],[IPI]]+Tabela25[[#This Row],[Vl. Produto]])*Tabela25[[#This Row],[Aliq.%]]</f>
        <v>0</v>
      </c>
    </row>
    <row r="597" spans="13:19" x14ac:dyDescent="0.25">
      <c r="M597" s="46"/>
      <c r="N597" s="46"/>
      <c r="O597" s="46"/>
      <c r="P597" s="46"/>
      <c r="R597" s="15">
        <v>1.54E-2</v>
      </c>
      <c r="S597" s="18">
        <f>(Tabela25[[#This Row],[FRETE]]+Tabela25[[#This Row],[DESPESAS]]+Tabela25[[#This Row],[IPI]]+Tabela25[[#This Row],[Vl. Produto]])*Tabela25[[#This Row],[Aliq.%]]</f>
        <v>0</v>
      </c>
    </row>
    <row r="598" spans="13:19" x14ac:dyDescent="0.25">
      <c r="M598" s="46"/>
      <c r="N598" s="46"/>
      <c r="O598" s="46"/>
      <c r="P598" s="46"/>
      <c r="R598" s="15">
        <v>1.54E-2</v>
      </c>
      <c r="S598" s="18">
        <f>(Tabela25[[#This Row],[FRETE]]+Tabela25[[#This Row],[DESPESAS]]+Tabela25[[#This Row],[IPI]]+Tabela25[[#This Row],[Vl. Produto]])*Tabela25[[#This Row],[Aliq.%]]</f>
        <v>0</v>
      </c>
    </row>
    <row r="599" spans="13:19" x14ac:dyDescent="0.25">
      <c r="M599" s="46"/>
      <c r="N599" s="46"/>
      <c r="O599" s="46"/>
      <c r="P599" s="46"/>
      <c r="R599" s="15">
        <v>1.54E-2</v>
      </c>
      <c r="S599" s="18">
        <f>(Tabela25[[#This Row],[FRETE]]+Tabela25[[#This Row],[DESPESAS]]+Tabela25[[#This Row],[IPI]]+Tabela25[[#This Row],[Vl. Produto]])*Tabela25[[#This Row],[Aliq.%]]</f>
        <v>0</v>
      </c>
    </row>
    <row r="600" spans="13:19" x14ac:dyDescent="0.25">
      <c r="M600" s="46"/>
      <c r="N600" s="46"/>
      <c r="O600" s="46"/>
      <c r="P600" s="46"/>
      <c r="R600" s="15">
        <v>1.54E-2</v>
      </c>
      <c r="S600" s="18">
        <f>(Tabela25[[#This Row],[FRETE]]+Tabela25[[#This Row],[DESPESAS]]+Tabela25[[#This Row],[IPI]]+Tabela25[[#This Row],[Vl. Produto]])*Tabela25[[#This Row],[Aliq.%]]</f>
        <v>0</v>
      </c>
    </row>
    <row r="601" spans="13:19" x14ac:dyDescent="0.25">
      <c r="M601" s="46"/>
      <c r="N601" s="46"/>
      <c r="O601" s="46"/>
      <c r="P601" s="46"/>
      <c r="R601" s="15">
        <v>1.54E-2</v>
      </c>
      <c r="S601" s="18">
        <f>(Tabela25[[#This Row],[FRETE]]+Tabela25[[#This Row],[DESPESAS]]+Tabela25[[#This Row],[IPI]]+Tabela25[[#This Row],[Vl. Produto]])*Tabela25[[#This Row],[Aliq.%]]</f>
        <v>0</v>
      </c>
    </row>
    <row r="602" spans="13:19" x14ac:dyDescent="0.25">
      <c r="M602" s="46"/>
      <c r="N602" s="46"/>
      <c r="O602" s="46"/>
      <c r="P602" s="46"/>
      <c r="R602" s="15">
        <v>1.54E-2</v>
      </c>
      <c r="S602" s="18">
        <f>(Tabela25[[#This Row],[FRETE]]+Tabela25[[#This Row],[DESPESAS]]+Tabela25[[#This Row],[IPI]]+Tabela25[[#This Row],[Vl. Produto]])*Tabela25[[#This Row],[Aliq.%]]</f>
        <v>0</v>
      </c>
    </row>
    <row r="603" spans="13:19" x14ac:dyDescent="0.25">
      <c r="M603" s="46"/>
      <c r="N603" s="46"/>
      <c r="O603" s="46"/>
      <c r="P603" s="46"/>
      <c r="R603" s="15">
        <v>1.54E-2</v>
      </c>
      <c r="S603" s="18">
        <f>(Tabela25[[#This Row],[FRETE]]+Tabela25[[#This Row],[DESPESAS]]+Tabela25[[#This Row],[IPI]]+Tabela25[[#This Row],[Vl. Produto]])*Tabela25[[#This Row],[Aliq.%]]</f>
        <v>0</v>
      </c>
    </row>
    <row r="604" spans="13:19" x14ac:dyDescent="0.25">
      <c r="M604" s="46"/>
      <c r="N604" s="46"/>
      <c r="O604" s="46"/>
      <c r="P604" s="46"/>
      <c r="R604" s="15">
        <v>1.54E-2</v>
      </c>
      <c r="S604" s="18">
        <f>(Tabela25[[#This Row],[FRETE]]+Tabela25[[#This Row],[DESPESAS]]+Tabela25[[#This Row],[IPI]]+Tabela25[[#This Row],[Vl. Produto]])*Tabela25[[#This Row],[Aliq.%]]</f>
        <v>0</v>
      </c>
    </row>
    <row r="605" spans="13:19" x14ac:dyDescent="0.25">
      <c r="M605" s="46"/>
      <c r="N605" s="46"/>
      <c r="O605" s="46"/>
      <c r="P605" s="46"/>
      <c r="R605" s="15">
        <v>1.54E-2</v>
      </c>
      <c r="S605" s="18">
        <f>(Tabela25[[#This Row],[FRETE]]+Tabela25[[#This Row],[DESPESAS]]+Tabela25[[#This Row],[IPI]]+Tabela25[[#This Row],[Vl. Produto]])*Tabela25[[#This Row],[Aliq.%]]</f>
        <v>0</v>
      </c>
    </row>
    <row r="606" spans="13:19" x14ac:dyDescent="0.25">
      <c r="M606" s="46"/>
      <c r="N606" s="46"/>
      <c r="O606" s="46"/>
      <c r="P606" s="46"/>
      <c r="R606" s="15">
        <v>1.54E-2</v>
      </c>
      <c r="S606" s="18">
        <f>(Tabela25[[#This Row],[FRETE]]+Tabela25[[#This Row],[DESPESAS]]+Tabela25[[#This Row],[IPI]]+Tabela25[[#This Row],[Vl. Produto]])*Tabela25[[#This Row],[Aliq.%]]</f>
        <v>0</v>
      </c>
    </row>
    <row r="607" spans="13:19" x14ac:dyDescent="0.25">
      <c r="M607" s="46"/>
      <c r="N607" s="46"/>
      <c r="O607" s="46"/>
      <c r="P607" s="46"/>
      <c r="R607" s="15">
        <v>1.54E-2</v>
      </c>
      <c r="S607" s="18">
        <f>(Tabela25[[#This Row],[FRETE]]+Tabela25[[#This Row],[DESPESAS]]+Tabela25[[#This Row],[IPI]]+Tabela25[[#This Row],[Vl. Produto]])*Tabela25[[#This Row],[Aliq.%]]</f>
        <v>0</v>
      </c>
    </row>
    <row r="608" spans="13:19" x14ac:dyDescent="0.25">
      <c r="M608" s="46"/>
      <c r="N608" s="46"/>
      <c r="O608" s="46"/>
      <c r="P608" s="46"/>
      <c r="R608" s="15">
        <v>1.54E-2</v>
      </c>
      <c r="S608" s="18">
        <f>(Tabela25[[#This Row],[FRETE]]+Tabela25[[#This Row],[DESPESAS]]+Tabela25[[#This Row],[IPI]]+Tabela25[[#This Row],[Vl. Produto]])*Tabela25[[#This Row],[Aliq.%]]</f>
        <v>0</v>
      </c>
    </row>
    <row r="609" spans="13:19" x14ac:dyDescent="0.25">
      <c r="M609" s="46"/>
      <c r="N609" s="46"/>
      <c r="O609" s="46"/>
      <c r="P609" s="46"/>
      <c r="R609" s="15">
        <v>1.54E-2</v>
      </c>
      <c r="S609" s="18">
        <f>(Tabela25[[#This Row],[FRETE]]+Tabela25[[#This Row],[DESPESAS]]+Tabela25[[#This Row],[IPI]]+Tabela25[[#This Row],[Vl. Produto]])*Tabela25[[#This Row],[Aliq.%]]</f>
        <v>0</v>
      </c>
    </row>
    <row r="610" spans="13:19" x14ac:dyDescent="0.25">
      <c r="M610" s="46"/>
      <c r="N610" s="46"/>
      <c r="O610" s="46"/>
      <c r="P610" s="46"/>
      <c r="R610" s="15">
        <v>1.54E-2</v>
      </c>
      <c r="S610" s="18">
        <f>(Tabela25[[#This Row],[FRETE]]+Tabela25[[#This Row],[DESPESAS]]+Tabela25[[#This Row],[IPI]]+Tabela25[[#This Row],[Vl. Produto]])*Tabela25[[#This Row],[Aliq.%]]</f>
        <v>0</v>
      </c>
    </row>
    <row r="611" spans="13:19" x14ac:dyDescent="0.25">
      <c r="M611" s="46"/>
      <c r="N611" s="46"/>
      <c r="O611" s="46"/>
      <c r="P611" s="46"/>
      <c r="R611" s="15">
        <v>1.54E-2</v>
      </c>
      <c r="S611" s="18">
        <f>(Tabela25[[#This Row],[FRETE]]+Tabela25[[#This Row],[DESPESAS]]+Tabela25[[#This Row],[IPI]]+Tabela25[[#This Row],[Vl. Produto]])*Tabela25[[#This Row],[Aliq.%]]</f>
        <v>0</v>
      </c>
    </row>
    <row r="612" spans="13:19" x14ac:dyDescent="0.25">
      <c r="M612" s="46"/>
      <c r="N612" s="46"/>
      <c r="O612" s="46"/>
      <c r="P612" s="46"/>
      <c r="R612" s="15">
        <v>1.54E-2</v>
      </c>
      <c r="S612" s="18">
        <f>(Tabela25[[#This Row],[FRETE]]+Tabela25[[#This Row],[DESPESAS]]+Tabela25[[#This Row],[IPI]]+Tabela25[[#This Row],[Vl. Produto]])*Tabela25[[#This Row],[Aliq.%]]</f>
        <v>0</v>
      </c>
    </row>
    <row r="613" spans="13:19" x14ac:dyDescent="0.25">
      <c r="M613" s="46"/>
      <c r="N613" s="46"/>
      <c r="O613" s="46"/>
      <c r="P613" s="46"/>
      <c r="R613" s="15">
        <v>1.54E-2</v>
      </c>
      <c r="S613" s="18">
        <f>(Tabela25[[#This Row],[FRETE]]+Tabela25[[#This Row],[DESPESAS]]+Tabela25[[#This Row],[IPI]]+Tabela25[[#This Row],[Vl. Produto]])*Tabela25[[#This Row],[Aliq.%]]</f>
        <v>0</v>
      </c>
    </row>
    <row r="614" spans="13:19" x14ac:dyDescent="0.25">
      <c r="M614" s="46"/>
      <c r="N614" s="46"/>
      <c r="O614" s="46"/>
      <c r="P614" s="46"/>
      <c r="R614" s="15">
        <v>1.54E-2</v>
      </c>
      <c r="S614" s="18">
        <f>(Tabela25[[#This Row],[FRETE]]+Tabela25[[#This Row],[DESPESAS]]+Tabela25[[#This Row],[IPI]]+Tabela25[[#This Row],[Vl. Produto]])*Tabela25[[#This Row],[Aliq.%]]</f>
        <v>0</v>
      </c>
    </row>
    <row r="615" spans="13:19" x14ac:dyDescent="0.25">
      <c r="M615" s="46"/>
      <c r="N615" s="46"/>
      <c r="O615" s="46"/>
      <c r="P615" s="46"/>
      <c r="R615" s="15">
        <v>1.54E-2</v>
      </c>
      <c r="S615" s="18">
        <f>(Tabela25[[#This Row],[FRETE]]+Tabela25[[#This Row],[DESPESAS]]+Tabela25[[#This Row],[IPI]]+Tabela25[[#This Row],[Vl. Produto]])*Tabela25[[#This Row],[Aliq.%]]</f>
        <v>0</v>
      </c>
    </row>
    <row r="616" spans="13:19" x14ac:dyDescent="0.25">
      <c r="M616" s="46"/>
      <c r="N616" s="46"/>
      <c r="O616" s="46"/>
      <c r="P616" s="46"/>
      <c r="R616" s="15">
        <v>1.54E-2</v>
      </c>
      <c r="S616" s="18">
        <f>(Tabela25[[#This Row],[FRETE]]+Tabela25[[#This Row],[DESPESAS]]+Tabela25[[#This Row],[IPI]]+Tabela25[[#This Row],[Vl. Produto]])*Tabela25[[#This Row],[Aliq.%]]</f>
        <v>0</v>
      </c>
    </row>
    <row r="617" spans="13:19" x14ac:dyDescent="0.25">
      <c r="M617" s="46"/>
      <c r="N617" s="46"/>
      <c r="O617" s="46"/>
      <c r="P617" s="46"/>
      <c r="R617" s="15">
        <v>1.54E-2</v>
      </c>
      <c r="S617" s="18">
        <f>(Tabela25[[#This Row],[FRETE]]+Tabela25[[#This Row],[DESPESAS]]+Tabela25[[#This Row],[IPI]]+Tabela25[[#This Row],[Vl. Produto]])*Tabela25[[#This Row],[Aliq.%]]</f>
        <v>0</v>
      </c>
    </row>
    <row r="618" spans="13:19" x14ac:dyDescent="0.25">
      <c r="M618" s="46"/>
      <c r="N618" s="46"/>
      <c r="O618" s="46"/>
      <c r="P618" s="46"/>
      <c r="R618" s="15">
        <v>1.54E-2</v>
      </c>
      <c r="S618" s="18">
        <f>(Tabela25[[#This Row],[FRETE]]+Tabela25[[#This Row],[DESPESAS]]+Tabela25[[#This Row],[IPI]]+Tabela25[[#This Row],[Vl. Produto]])*Tabela25[[#This Row],[Aliq.%]]</f>
        <v>0</v>
      </c>
    </row>
    <row r="619" spans="13:19" x14ac:dyDescent="0.25">
      <c r="M619" s="46"/>
      <c r="N619" s="46"/>
      <c r="O619" s="46"/>
      <c r="P619" s="46"/>
      <c r="R619" s="15">
        <v>1.54E-2</v>
      </c>
      <c r="S619" s="18">
        <f>(Tabela25[[#This Row],[FRETE]]+Tabela25[[#This Row],[DESPESAS]]+Tabela25[[#This Row],[IPI]]+Tabela25[[#This Row],[Vl. Produto]])*Tabela25[[#This Row],[Aliq.%]]</f>
        <v>0</v>
      </c>
    </row>
    <row r="620" spans="13:19" x14ac:dyDescent="0.25">
      <c r="M620" s="46"/>
      <c r="N620" s="46"/>
      <c r="O620" s="46"/>
      <c r="P620" s="46"/>
      <c r="R620" s="15">
        <v>1.54E-2</v>
      </c>
      <c r="S620" s="18">
        <f>(Tabela25[[#This Row],[FRETE]]+Tabela25[[#This Row],[DESPESAS]]+Tabela25[[#This Row],[IPI]]+Tabela25[[#This Row],[Vl. Produto]])*Tabela25[[#This Row],[Aliq.%]]</f>
        <v>0</v>
      </c>
    </row>
    <row r="621" spans="13:19" x14ac:dyDescent="0.25">
      <c r="M621" s="46"/>
      <c r="N621" s="46"/>
      <c r="O621" s="46"/>
      <c r="P621" s="46"/>
      <c r="R621" s="15">
        <v>1.54E-2</v>
      </c>
      <c r="S621" s="18">
        <f>(Tabela25[[#This Row],[FRETE]]+Tabela25[[#This Row],[DESPESAS]]+Tabela25[[#This Row],[IPI]]+Tabela25[[#This Row],[Vl. Produto]])*Tabela25[[#This Row],[Aliq.%]]</f>
        <v>0</v>
      </c>
    </row>
    <row r="622" spans="13:19" x14ac:dyDescent="0.25">
      <c r="M622" s="46"/>
      <c r="N622" s="46"/>
      <c r="O622" s="46"/>
      <c r="P622" s="46"/>
      <c r="R622" s="15">
        <v>1.54E-2</v>
      </c>
      <c r="S622" s="18">
        <f>(Tabela25[[#This Row],[FRETE]]+Tabela25[[#This Row],[DESPESAS]]+Tabela25[[#This Row],[IPI]]+Tabela25[[#This Row],[Vl. Produto]])*Tabela25[[#This Row],[Aliq.%]]</f>
        <v>0</v>
      </c>
    </row>
    <row r="623" spans="13:19" x14ac:dyDescent="0.25">
      <c r="M623" s="46"/>
      <c r="N623" s="46"/>
      <c r="O623" s="46"/>
      <c r="P623" s="46"/>
      <c r="R623" s="15">
        <v>1.54E-2</v>
      </c>
      <c r="S623" s="18">
        <f>(Tabela25[[#This Row],[FRETE]]+Tabela25[[#This Row],[DESPESAS]]+Tabela25[[#This Row],[IPI]]+Tabela25[[#This Row],[Vl. Produto]])*Tabela25[[#This Row],[Aliq.%]]</f>
        <v>0</v>
      </c>
    </row>
    <row r="624" spans="13:19" x14ac:dyDescent="0.25">
      <c r="M624" s="46"/>
      <c r="N624" s="46"/>
      <c r="O624" s="46"/>
      <c r="P624" s="46"/>
      <c r="R624" s="15">
        <v>1.54E-2</v>
      </c>
      <c r="S624" s="18">
        <f>(Tabela25[[#This Row],[FRETE]]+Tabela25[[#This Row],[DESPESAS]]+Tabela25[[#This Row],[IPI]]+Tabela25[[#This Row],[Vl. Produto]])*Tabela25[[#This Row],[Aliq.%]]</f>
        <v>0</v>
      </c>
    </row>
    <row r="625" spans="13:19" x14ac:dyDescent="0.25">
      <c r="M625" s="46"/>
      <c r="N625" s="46"/>
      <c r="O625" s="46"/>
      <c r="P625" s="46"/>
      <c r="R625" s="15">
        <v>1.54E-2</v>
      </c>
      <c r="S625" s="18">
        <f>(Tabela25[[#This Row],[FRETE]]+Tabela25[[#This Row],[DESPESAS]]+Tabela25[[#This Row],[IPI]]+Tabela25[[#This Row],[Vl. Produto]])*Tabela25[[#This Row],[Aliq.%]]</f>
        <v>0</v>
      </c>
    </row>
    <row r="626" spans="13:19" x14ac:dyDescent="0.25">
      <c r="M626" s="46"/>
      <c r="N626" s="46"/>
      <c r="O626" s="46"/>
      <c r="P626" s="46"/>
      <c r="R626" s="15">
        <v>1.54E-2</v>
      </c>
      <c r="S626" s="18">
        <f>(Tabela25[[#This Row],[FRETE]]+Tabela25[[#This Row],[DESPESAS]]+Tabela25[[#This Row],[IPI]]+Tabela25[[#This Row],[Vl. Produto]])*Tabela25[[#This Row],[Aliq.%]]</f>
        <v>0</v>
      </c>
    </row>
    <row r="627" spans="13:19" x14ac:dyDescent="0.25">
      <c r="M627" s="46"/>
      <c r="N627" s="46"/>
      <c r="O627" s="46"/>
      <c r="P627" s="46"/>
      <c r="R627" s="15">
        <v>1.54E-2</v>
      </c>
      <c r="S627" s="18">
        <f>(Tabela25[[#This Row],[FRETE]]+Tabela25[[#This Row],[DESPESAS]]+Tabela25[[#This Row],[IPI]]+Tabela25[[#This Row],[Vl. Produto]])*Tabela25[[#This Row],[Aliq.%]]</f>
        <v>0</v>
      </c>
    </row>
    <row r="628" spans="13:19" x14ac:dyDescent="0.25">
      <c r="M628" s="46"/>
      <c r="N628" s="46"/>
      <c r="O628" s="46"/>
      <c r="P628" s="46"/>
      <c r="R628" s="15">
        <v>1.54E-2</v>
      </c>
      <c r="S628" s="18">
        <f>(Tabela25[[#This Row],[FRETE]]+Tabela25[[#This Row],[DESPESAS]]+Tabela25[[#This Row],[IPI]]+Tabela25[[#This Row],[Vl. Produto]])*Tabela25[[#This Row],[Aliq.%]]</f>
        <v>0</v>
      </c>
    </row>
    <row r="629" spans="13:19" x14ac:dyDescent="0.25">
      <c r="M629" s="46"/>
      <c r="N629" s="46"/>
      <c r="O629" s="46"/>
      <c r="P629" s="46"/>
      <c r="R629" s="15">
        <v>1.54E-2</v>
      </c>
      <c r="S629" s="18">
        <f>(Tabela25[[#This Row],[FRETE]]+Tabela25[[#This Row],[DESPESAS]]+Tabela25[[#This Row],[IPI]]+Tabela25[[#This Row],[Vl. Produto]])*Tabela25[[#This Row],[Aliq.%]]</f>
        <v>0</v>
      </c>
    </row>
    <row r="630" spans="13:19" x14ac:dyDescent="0.25">
      <c r="M630" s="46"/>
      <c r="N630" s="46"/>
      <c r="O630" s="46"/>
      <c r="P630" s="46"/>
      <c r="R630" s="15">
        <v>1.54E-2</v>
      </c>
      <c r="S630" s="18">
        <f>(Tabela25[[#This Row],[FRETE]]+Tabela25[[#This Row],[DESPESAS]]+Tabela25[[#This Row],[IPI]]+Tabela25[[#This Row],[Vl. Produto]])*Tabela25[[#This Row],[Aliq.%]]</f>
        <v>0</v>
      </c>
    </row>
    <row r="631" spans="13:19" x14ac:dyDescent="0.25">
      <c r="M631" s="46"/>
      <c r="N631" s="46"/>
      <c r="O631" s="46"/>
      <c r="P631" s="46"/>
      <c r="R631" s="15">
        <v>1.54E-2</v>
      </c>
      <c r="S631" s="18">
        <f>(Tabela25[[#This Row],[FRETE]]+Tabela25[[#This Row],[DESPESAS]]+Tabela25[[#This Row],[IPI]]+Tabela25[[#This Row],[Vl. Produto]])*Tabela25[[#This Row],[Aliq.%]]</f>
        <v>0</v>
      </c>
    </row>
    <row r="632" spans="13:19" x14ac:dyDescent="0.25">
      <c r="M632" s="46"/>
      <c r="N632" s="46"/>
      <c r="O632" s="46"/>
      <c r="P632" s="46"/>
      <c r="R632" s="15">
        <v>1.54E-2</v>
      </c>
      <c r="S632" s="18">
        <f>(Tabela25[[#This Row],[FRETE]]+Tabela25[[#This Row],[DESPESAS]]+Tabela25[[#This Row],[IPI]]+Tabela25[[#This Row],[Vl. Produto]])*Tabela25[[#This Row],[Aliq.%]]</f>
        <v>0</v>
      </c>
    </row>
    <row r="633" spans="13:19" x14ac:dyDescent="0.25">
      <c r="M633" s="46"/>
      <c r="N633" s="46"/>
      <c r="O633" s="46"/>
      <c r="P633" s="46"/>
      <c r="R633" s="15">
        <v>1.54E-2</v>
      </c>
      <c r="S633" s="18">
        <f>(Tabela25[[#This Row],[FRETE]]+Tabela25[[#This Row],[DESPESAS]]+Tabela25[[#This Row],[IPI]]+Tabela25[[#This Row],[Vl. Produto]])*Tabela25[[#This Row],[Aliq.%]]</f>
        <v>0</v>
      </c>
    </row>
    <row r="634" spans="13:19" x14ac:dyDescent="0.25">
      <c r="M634" s="46"/>
      <c r="N634" s="46"/>
      <c r="O634" s="46"/>
      <c r="P634" s="46"/>
      <c r="R634" s="15">
        <v>1.54E-2</v>
      </c>
      <c r="S634" s="18">
        <f>(Tabela25[[#This Row],[FRETE]]+Tabela25[[#This Row],[DESPESAS]]+Tabela25[[#This Row],[IPI]]+Tabela25[[#This Row],[Vl. Produto]])*Tabela25[[#This Row],[Aliq.%]]</f>
        <v>0</v>
      </c>
    </row>
    <row r="635" spans="13:19" x14ac:dyDescent="0.25">
      <c r="M635" s="46"/>
      <c r="N635" s="46"/>
      <c r="O635" s="46"/>
      <c r="P635" s="46"/>
      <c r="R635" s="15">
        <v>1.54E-2</v>
      </c>
      <c r="S635" s="18">
        <f>(Tabela25[[#This Row],[FRETE]]+Tabela25[[#This Row],[DESPESAS]]+Tabela25[[#This Row],[IPI]]+Tabela25[[#This Row],[Vl. Produto]])*Tabela25[[#This Row],[Aliq.%]]</f>
        <v>0</v>
      </c>
    </row>
    <row r="636" spans="13:19" x14ac:dyDescent="0.25">
      <c r="M636" s="46"/>
      <c r="N636" s="46"/>
      <c r="O636" s="46"/>
      <c r="P636" s="46"/>
      <c r="R636" s="15">
        <v>1.54E-2</v>
      </c>
      <c r="S636" s="18">
        <f>(Tabela25[[#This Row],[FRETE]]+Tabela25[[#This Row],[DESPESAS]]+Tabela25[[#This Row],[IPI]]+Tabela25[[#This Row],[Vl. Produto]])*Tabela25[[#This Row],[Aliq.%]]</f>
        <v>0</v>
      </c>
    </row>
    <row r="637" spans="13:19" x14ac:dyDescent="0.25">
      <c r="M637" s="46"/>
      <c r="N637" s="46"/>
      <c r="O637" s="46"/>
      <c r="P637" s="46"/>
      <c r="R637" s="15">
        <v>1.54E-2</v>
      </c>
      <c r="S637" s="18">
        <f>(Tabela25[[#This Row],[FRETE]]+Tabela25[[#This Row],[DESPESAS]]+Tabela25[[#This Row],[IPI]]+Tabela25[[#This Row],[Vl. Produto]])*Tabela25[[#This Row],[Aliq.%]]</f>
        <v>0</v>
      </c>
    </row>
    <row r="638" spans="13:19" x14ac:dyDescent="0.25">
      <c r="M638" s="46"/>
      <c r="N638" s="46"/>
      <c r="O638" s="46"/>
      <c r="P638" s="46"/>
      <c r="R638" s="15">
        <v>1.54E-2</v>
      </c>
      <c r="S638" s="18">
        <f>(Tabela25[[#This Row],[FRETE]]+Tabela25[[#This Row],[DESPESAS]]+Tabela25[[#This Row],[IPI]]+Tabela25[[#This Row],[Vl. Produto]])*Tabela25[[#This Row],[Aliq.%]]</f>
        <v>0</v>
      </c>
    </row>
    <row r="639" spans="13:19" x14ac:dyDescent="0.25">
      <c r="M639" s="46"/>
      <c r="N639" s="46"/>
      <c r="O639" s="46"/>
      <c r="P639" s="46"/>
      <c r="R639" s="15">
        <v>1.54E-2</v>
      </c>
      <c r="S639" s="18">
        <f>(Tabela25[[#This Row],[FRETE]]+Tabela25[[#This Row],[DESPESAS]]+Tabela25[[#This Row],[IPI]]+Tabela25[[#This Row],[Vl. Produto]])*Tabela25[[#This Row],[Aliq.%]]</f>
        <v>0</v>
      </c>
    </row>
    <row r="640" spans="13:19" x14ac:dyDescent="0.25">
      <c r="M640" s="46"/>
      <c r="N640" s="46"/>
      <c r="O640" s="46"/>
      <c r="P640" s="46"/>
      <c r="R640" s="15">
        <v>1.54E-2</v>
      </c>
      <c r="S640" s="18">
        <f>(Tabela25[[#This Row],[FRETE]]+Tabela25[[#This Row],[DESPESAS]]+Tabela25[[#This Row],[IPI]]+Tabela25[[#This Row],[Vl. Produto]])*Tabela25[[#This Row],[Aliq.%]]</f>
        <v>0</v>
      </c>
    </row>
    <row r="641" spans="13:19" x14ac:dyDescent="0.25">
      <c r="M641" s="46"/>
      <c r="N641" s="46"/>
      <c r="O641" s="46"/>
      <c r="P641" s="46"/>
      <c r="R641" s="15">
        <v>1.54E-2</v>
      </c>
      <c r="S641" s="18">
        <f>(Tabela25[[#This Row],[FRETE]]+Tabela25[[#This Row],[DESPESAS]]+Tabela25[[#This Row],[IPI]]+Tabela25[[#This Row],[Vl. Produto]])*Tabela25[[#This Row],[Aliq.%]]</f>
        <v>0</v>
      </c>
    </row>
    <row r="642" spans="13:19" x14ac:dyDescent="0.25">
      <c r="M642" s="46"/>
      <c r="N642" s="46"/>
      <c r="O642" s="46"/>
      <c r="P642" s="46"/>
      <c r="R642" s="15">
        <v>1.54E-2</v>
      </c>
      <c r="S642" s="18">
        <f>(Tabela25[[#This Row],[FRETE]]+Tabela25[[#This Row],[DESPESAS]]+Tabela25[[#This Row],[IPI]]+Tabela25[[#This Row],[Vl. Produto]])*Tabela25[[#This Row],[Aliq.%]]</f>
        <v>0</v>
      </c>
    </row>
    <row r="643" spans="13:19" x14ac:dyDescent="0.25">
      <c r="M643" s="46"/>
      <c r="N643" s="46"/>
      <c r="O643" s="46"/>
      <c r="P643" s="46"/>
      <c r="R643" s="15">
        <v>1.54E-2</v>
      </c>
      <c r="S643" s="18">
        <f>(Tabela25[[#This Row],[FRETE]]+Tabela25[[#This Row],[DESPESAS]]+Tabela25[[#This Row],[IPI]]+Tabela25[[#This Row],[Vl. Produto]])*Tabela25[[#This Row],[Aliq.%]]</f>
        <v>0</v>
      </c>
    </row>
    <row r="644" spans="13:19" x14ac:dyDescent="0.25">
      <c r="M644" s="46"/>
      <c r="N644" s="46"/>
      <c r="O644" s="46"/>
      <c r="P644" s="46"/>
      <c r="R644" s="15">
        <v>1.54E-2</v>
      </c>
      <c r="S644" s="18">
        <f>(Tabela25[[#This Row],[FRETE]]+Tabela25[[#This Row],[DESPESAS]]+Tabela25[[#This Row],[IPI]]+Tabela25[[#This Row],[Vl. Produto]])*Tabela25[[#This Row],[Aliq.%]]</f>
        <v>0</v>
      </c>
    </row>
    <row r="645" spans="13:19" x14ac:dyDescent="0.25">
      <c r="M645" s="46"/>
      <c r="N645" s="46"/>
      <c r="O645" s="46"/>
      <c r="P645" s="46"/>
      <c r="R645" s="15">
        <v>1.54E-2</v>
      </c>
      <c r="S645" s="18">
        <f>(Tabela25[[#This Row],[FRETE]]+Tabela25[[#This Row],[DESPESAS]]+Tabela25[[#This Row],[IPI]]+Tabela25[[#This Row],[Vl. Produto]])*Tabela25[[#This Row],[Aliq.%]]</f>
        <v>0</v>
      </c>
    </row>
    <row r="646" spans="13:19" x14ac:dyDescent="0.25">
      <c r="M646" s="46"/>
      <c r="N646" s="46"/>
      <c r="O646" s="46"/>
      <c r="P646" s="46"/>
      <c r="R646" s="15">
        <v>1.54E-2</v>
      </c>
      <c r="S646" s="18">
        <f>(Tabela25[[#This Row],[FRETE]]+Tabela25[[#This Row],[DESPESAS]]+Tabela25[[#This Row],[IPI]]+Tabela25[[#This Row],[Vl. Produto]])*Tabela25[[#This Row],[Aliq.%]]</f>
        <v>0</v>
      </c>
    </row>
    <row r="647" spans="13:19" x14ac:dyDescent="0.25">
      <c r="M647" s="46"/>
      <c r="N647" s="46"/>
      <c r="O647" s="46"/>
      <c r="P647" s="46"/>
      <c r="R647" s="15">
        <v>1.54E-2</v>
      </c>
      <c r="S647" s="18">
        <f>(Tabela25[[#This Row],[FRETE]]+Tabela25[[#This Row],[DESPESAS]]+Tabela25[[#This Row],[IPI]]+Tabela25[[#This Row],[Vl. Produto]])*Tabela25[[#This Row],[Aliq.%]]</f>
        <v>0</v>
      </c>
    </row>
    <row r="648" spans="13:19" x14ac:dyDescent="0.25">
      <c r="M648" s="46"/>
      <c r="N648" s="46"/>
      <c r="O648" s="46"/>
      <c r="P648" s="46"/>
      <c r="R648" s="15">
        <v>1.54E-2</v>
      </c>
      <c r="S648" s="18">
        <f>(Tabela25[[#This Row],[FRETE]]+Tabela25[[#This Row],[DESPESAS]]+Tabela25[[#This Row],[IPI]]+Tabela25[[#This Row],[Vl. Produto]])*Tabela25[[#This Row],[Aliq.%]]</f>
        <v>0</v>
      </c>
    </row>
    <row r="649" spans="13:19" x14ac:dyDescent="0.25">
      <c r="M649" s="46"/>
      <c r="N649" s="46"/>
      <c r="O649" s="46"/>
      <c r="P649" s="46"/>
      <c r="R649" s="15">
        <v>1.54E-2</v>
      </c>
      <c r="S649" s="18">
        <f>(Tabela25[[#This Row],[FRETE]]+Tabela25[[#This Row],[DESPESAS]]+Tabela25[[#This Row],[IPI]]+Tabela25[[#This Row],[Vl. Produto]])*Tabela25[[#This Row],[Aliq.%]]</f>
        <v>0</v>
      </c>
    </row>
    <row r="650" spans="13:19" x14ac:dyDescent="0.25">
      <c r="M650" s="46"/>
      <c r="N650" s="46"/>
      <c r="O650" s="46"/>
      <c r="P650" s="46"/>
      <c r="R650" s="15">
        <v>1.54E-2</v>
      </c>
      <c r="S650" s="18">
        <f>(Tabela25[[#This Row],[FRETE]]+Tabela25[[#This Row],[DESPESAS]]+Tabela25[[#This Row],[IPI]]+Tabela25[[#This Row],[Vl. Produto]])*Tabela25[[#This Row],[Aliq.%]]</f>
        <v>0</v>
      </c>
    </row>
    <row r="651" spans="13:19" x14ac:dyDescent="0.25">
      <c r="M651" s="46"/>
      <c r="N651" s="46"/>
      <c r="O651" s="46"/>
      <c r="P651" s="46"/>
      <c r="R651" s="15">
        <v>1.54E-2</v>
      </c>
      <c r="S651" s="18">
        <f>(Tabela25[[#This Row],[FRETE]]+Tabela25[[#This Row],[DESPESAS]]+Tabela25[[#This Row],[IPI]]+Tabela25[[#This Row],[Vl. Produto]])*Tabela25[[#This Row],[Aliq.%]]</f>
        <v>0</v>
      </c>
    </row>
    <row r="652" spans="13:19" x14ac:dyDescent="0.25">
      <c r="M652" s="46"/>
      <c r="N652" s="46"/>
      <c r="O652" s="46"/>
      <c r="P652" s="46"/>
      <c r="R652" s="15">
        <v>1.54E-2</v>
      </c>
      <c r="S652" s="18">
        <f>(Tabela25[[#This Row],[FRETE]]+Tabela25[[#This Row],[DESPESAS]]+Tabela25[[#This Row],[IPI]]+Tabela25[[#This Row],[Vl. Produto]])*Tabela25[[#This Row],[Aliq.%]]</f>
        <v>0</v>
      </c>
    </row>
    <row r="653" spans="13:19" x14ac:dyDescent="0.25">
      <c r="M653" s="46"/>
      <c r="N653" s="46"/>
      <c r="O653" s="46"/>
      <c r="P653" s="46"/>
      <c r="R653" s="15">
        <v>1.54E-2</v>
      </c>
      <c r="S653" s="18">
        <f>(Tabela25[[#This Row],[FRETE]]+Tabela25[[#This Row],[DESPESAS]]+Tabela25[[#This Row],[IPI]]+Tabela25[[#This Row],[Vl. Produto]])*Tabela25[[#This Row],[Aliq.%]]</f>
        <v>0</v>
      </c>
    </row>
    <row r="654" spans="13:19" x14ac:dyDescent="0.25">
      <c r="M654" s="46"/>
      <c r="N654" s="46"/>
      <c r="O654" s="46"/>
      <c r="P654" s="46"/>
      <c r="R654" s="15">
        <v>1.54E-2</v>
      </c>
      <c r="S654" s="18">
        <f>(Tabela25[[#This Row],[FRETE]]+Tabela25[[#This Row],[DESPESAS]]+Tabela25[[#This Row],[IPI]]+Tabela25[[#This Row],[Vl. Produto]])*Tabela25[[#This Row],[Aliq.%]]</f>
        <v>0</v>
      </c>
    </row>
    <row r="655" spans="13:19" x14ac:dyDescent="0.25">
      <c r="M655" s="46"/>
      <c r="N655" s="46"/>
      <c r="O655" s="46"/>
      <c r="P655" s="46"/>
      <c r="R655" s="15">
        <v>1.54E-2</v>
      </c>
      <c r="S655" s="18">
        <f>(Tabela25[[#This Row],[FRETE]]+Tabela25[[#This Row],[DESPESAS]]+Tabela25[[#This Row],[IPI]]+Tabela25[[#This Row],[Vl. Produto]])*Tabela25[[#This Row],[Aliq.%]]</f>
        <v>0</v>
      </c>
    </row>
    <row r="656" spans="13:19" x14ac:dyDescent="0.25">
      <c r="M656" s="46"/>
      <c r="N656" s="46"/>
      <c r="O656" s="46"/>
      <c r="P656" s="46"/>
      <c r="R656" s="15">
        <v>1.54E-2</v>
      </c>
      <c r="S656" s="18">
        <f>(Tabela25[[#This Row],[FRETE]]+Tabela25[[#This Row],[DESPESAS]]+Tabela25[[#This Row],[IPI]]+Tabela25[[#This Row],[Vl. Produto]])*Tabela25[[#This Row],[Aliq.%]]</f>
        <v>0</v>
      </c>
    </row>
    <row r="657" spans="13:19" x14ac:dyDescent="0.25">
      <c r="M657" s="46"/>
      <c r="N657" s="46"/>
      <c r="O657" s="46"/>
      <c r="P657" s="46"/>
      <c r="R657" s="15">
        <v>1.54E-2</v>
      </c>
      <c r="S657" s="18">
        <f>(Tabela25[[#This Row],[FRETE]]+Tabela25[[#This Row],[DESPESAS]]+Tabela25[[#This Row],[IPI]]+Tabela25[[#This Row],[Vl. Produto]])*Tabela25[[#This Row],[Aliq.%]]</f>
        <v>0</v>
      </c>
    </row>
    <row r="658" spans="13:19" x14ac:dyDescent="0.25">
      <c r="M658" s="46"/>
      <c r="N658" s="46"/>
      <c r="O658" s="46"/>
      <c r="P658" s="46"/>
      <c r="R658" s="15">
        <v>1.54E-2</v>
      </c>
      <c r="S658" s="18">
        <f>(Tabela25[[#This Row],[FRETE]]+Tabela25[[#This Row],[DESPESAS]]+Tabela25[[#This Row],[IPI]]+Tabela25[[#This Row],[Vl. Produto]])*Tabela25[[#This Row],[Aliq.%]]</f>
        <v>0</v>
      </c>
    </row>
    <row r="659" spans="13:19" x14ac:dyDescent="0.25">
      <c r="M659" s="46"/>
      <c r="N659" s="46"/>
      <c r="O659" s="46"/>
      <c r="P659" s="46"/>
      <c r="R659" s="15">
        <v>1.54E-2</v>
      </c>
      <c r="S659" s="18">
        <f>(Tabela25[[#This Row],[FRETE]]+Tabela25[[#This Row],[DESPESAS]]+Tabela25[[#This Row],[IPI]]+Tabela25[[#This Row],[Vl. Produto]])*Tabela25[[#This Row],[Aliq.%]]</f>
        <v>0</v>
      </c>
    </row>
    <row r="660" spans="13:19" x14ac:dyDescent="0.25">
      <c r="M660" s="46"/>
      <c r="N660" s="46"/>
      <c r="O660" s="46"/>
      <c r="P660" s="46"/>
      <c r="R660" s="15">
        <v>1.54E-2</v>
      </c>
      <c r="S660" s="18">
        <f>(Tabela25[[#This Row],[FRETE]]+Tabela25[[#This Row],[DESPESAS]]+Tabela25[[#This Row],[IPI]]+Tabela25[[#This Row],[Vl. Produto]])*Tabela25[[#This Row],[Aliq.%]]</f>
        <v>0</v>
      </c>
    </row>
    <row r="661" spans="13:19" x14ac:dyDescent="0.25">
      <c r="M661" s="46"/>
      <c r="N661" s="46"/>
      <c r="O661" s="46"/>
      <c r="P661" s="46"/>
      <c r="R661" s="15">
        <v>1.54E-2</v>
      </c>
      <c r="S661" s="18">
        <f>(Tabela25[[#This Row],[FRETE]]+Tabela25[[#This Row],[DESPESAS]]+Tabela25[[#This Row],[IPI]]+Tabela25[[#This Row],[Vl. Produto]])*Tabela25[[#This Row],[Aliq.%]]</f>
        <v>0</v>
      </c>
    </row>
    <row r="662" spans="13:19" x14ac:dyDescent="0.25">
      <c r="M662" s="46"/>
      <c r="N662" s="46"/>
      <c r="O662" s="46"/>
      <c r="P662" s="46"/>
      <c r="R662" s="15">
        <v>1.54E-2</v>
      </c>
      <c r="S662" s="18">
        <f>(Tabela25[[#This Row],[FRETE]]+Tabela25[[#This Row],[DESPESAS]]+Tabela25[[#This Row],[IPI]]+Tabela25[[#This Row],[Vl. Produto]])*Tabela25[[#This Row],[Aliq.%]]</f>
        <v>0</v>
      </c>
    </row>
    <row r="663" spans="13:19" x14ac:dyDescent="0.25">
      <c r="M663" s="46"/>
      <c r="N663" s="46"/>
      <c r="O663" s="46"/>
      <c r="P663" s="46"/>
      <c r="R663" s="15">
        <v>1.54E-2</v>
      </c>
      <c r="S663" s="18">
        <f>(Tabela25[[#This Row],[FRETE]]+Tabela25[[#This Row],[DESPESAS]]+Tabela25[[#This Row],[IPI]]+Tabela25[[#This Row],[Vl. Produto]])*Tabela25[[#This Row],[Aliq.%]]</f>
        <v>0</v>
      </c>
    </row>
    <row r="664" spans="13:19" x14ac:dyDescent="0.25">
      <c r="M664" s="46"/>
      <c r="N664" s="46"/>
      <c r="O664" s="46"/>
      <c r="P664" s="46"/>
      <c r="R664" s="15">
        <v>1.54E-2</v>
      </c>
      <c r="S664" s="18">
        <f>(Tabela25[[#This Row],[FRETE]]+Tabela25[[#This Row],[DESPESAS]]+Tabela25[[#This Row],[IPI]]+Tabela25[[#This Row],[Vl. Produto]])*Tabela25[[#This Row],[Aliq.%]]</f>
        <v>0</v>
      </c>
    </row>
    <row r="665" spans="13:19" x14ac:dyDescent="0.25">
      <c r="M665" s="46"/>
      <c r="N665" s="46"/>
      <c r="O665" s="46"/>
      <c r="P665" s="46"/>
      <c r="R665" s="15">
        <v>1.54E-2</v>
      </c>
      <c r="S665" s="18">
        <f>(Tabela25[[#This Row],[FRETE]]+Tabela25[[#This Row],[DESPESAS]]+Tabela25[[#This Row],[IPI]]+Tabela25[[#This Row],[Vl. Produto]])*Tabela25[[#This Row],[Aliq.%]]</f>
        <v>0</v>
      </c>
    </row>
    <row r="666" spans="13:19" x14ac:dyDescent="0.25">
      <c r="M666" s="46"/>
      <c r="N666" s="46"/>
      <c r="O666" s="46"/>
      <c r="P666" s="46"/>
      <c r="R666" s="15">
        <v>1.54E-2</v>
      </c>
      <c r="S666" s="18">
        <f>(Tabela25[[#This Row],[FRETE]]+Tabela25[[#This Row],[DESPESAS]]+Tabela25[[#This Row],[IPI]]+Tabela25[[#This Row],[Vl. Produto]])*Tabela25[[#This Row],[Aliq.%]]</f>
        <v>0</v>
      </c>
    </row>
    <row r="667" spans="13:19" x14ac:dyDescent="0.25">
      <c r="M667" s="46"/>
      <c r="N667" s="46"/>
      <c r="O667" s="46"/>
      <c r="P667" s="46"/>
      <c r="R667" s="15">
        <v>1.54E-2</v>
      </c>
      <c r="S667" s="18">
        <f>(Tabela25[[#This Row],[FRETE]]+Tabela25[[#This Row],[DESPESAS]]+Tabela25[[#This Row],[IPI]]+Tabela25[[#This Row],[Vl. Produto]])*Tabela25[[#This Row],[Aliq.%]]</f>
        <v>0</v>
      </c>
    </row>
    <row r="668" spans="13:19" x14ac:dyDescent="0.25">
      <c r="M668" s="46"/>
      <c r="N668" s="46"/>
      <c r="O668" s="46"/>
      <c r="P668" s="46"/>
      <c r="R668" s="15">
        <v>1.54E-2</v>
      </c>
      <c r="S668" s="18">
        <f>(Tabela25[[#This Row],[FRETE]]+Tabela25[[#This Row],[DESPESAS]]+Tabela25[[#This Row],[IPI]]+Tabela25[[#This Row],[Vl. Produto]])*Tabela25[[#This Row],[Aliq.%]]</f>
        <v>0</v>
      </c>
    </row>
    <row r="669" spans="13:19" x14ac:dyDescent="0.25">
      <c r="M669" s="46"/>
      <c r="N669" s="46"/>
      <c r="O669" s="46"/>
      <c r="P669" s="46"/>
      <c r="R669" s="15">
        <v>1.54E-2</v>
      </c>
      <c r="S669" s="18">
        <f>(Tabela25[[#This Row],[FRETE]]+Tabela25[[#This Row],[DESPESAS]]+Tabela25[[#This Row],[IPI]]+Tabela25[[#This Row],[Vl. Produto]])*Tabela25[[#This Row],[Aliq.%]]</f>
        <v>0</v>
      </c>
    </row>
    <row r="670" spans="13:19" x14ac:dyDescent="0.25">
      <c r="M670" s="46"/>
      <c r="N670" s="46"/>
      <c r="O670" s="46"/>
      <c r="P670" s="46"/>
      <c r="R670" s="15">
        <v>1.54E-2</v>
      </c>
      <c r="S670" s="18">
        <f>(Tabela25[[#This Row],[FRETE]]+Tabela25[[#This Row],[DESPESAS]]+Tabela25[[#This Row],[IPI]]+Tabela25[[#This Row],[Vl. Produto]])*Tabela25[[#This Row],[Aliq.%]]</f>
        <v>0</v>
      </c>
    </row>
    <row r="671" spans="13:19" x14ac:dyDescent="0.25">
      <c r="M671" s="46"/>
      <c r="N671" s="46"/>
      <c r="O671" s="46"/>
      <c r="P671" s="46"/>
      <c r="R671" s="15">
        <v>1.54E-2</v>
      </c>
      <c r="S671" s="18">
        <f>(Tabela25[[#This Row],[FRETE]]+Tabela25[[#This Row],[DESPESAS]]+Tabela25[[#This Row],[IPI]]+Tabela25[[#This Row],[Vl. Produto]])*Tabela25[[#This Row],[Aliq.%]]</f>
        <v>0</v>
      </c>
    </row>
    <row r="672" spans="13:19" x14ac:dyDescent="0.25">
      <c r="M672" s="46"/>
      <c r="N672" s="46"/>
      <c r="O672" s="46"/>
      <c r="P672" s="46"/>
      <c r="R672" s="15">
        <v>1.54E-2</v>
      </c>
      <c r="S672" s="18">
        <f>(Tabela25[[#This Row],[FRETE]]+Tabela25[[#This Row],[DESPESAS]]+Tabela25[[#This Row],[IPI]]+Tabela25[[#This Row],[Vl. Produto]])*Tabela25[[#This Row],[Aliq.%]]</f>
        <v>0</v>
      </c>
    </row>
    <row r="673" spans="13:19" x14ac:dyDescent="0.25">
      <c r="M673" s="46"/>
      <c r="N673" s="46"/>
      <c r="O673" s="46"/>
      <c r="P673" s="46"/>
      <c r="R673" s="15">
        <v>1.54E-2</v>
      </c>
      <c r="S673" s="18">
        <f>(Tabela25[[#This Row],[FRETE]]+Tabela25[[#This Row],[DESPESAS]]+Tabela25[[#This Row],[IPI]]+Tabela25[[#This Row],[Vl. Produto]])*Tabela25[[#This Row],[Aliq.%]]</f>
        <v>0</v>
      </c>
    </row>
    <row r="674" spans="13:19" x14ac:dyDescent="0.25">
      <c r="M674" s="46"/>
      <c r="N674" s="46"/>
      <c r="O674" s="46"/>
      <c r="P674" s="46"/>
      <c r="R674" s="15">
        <v>1.54E-2</v>
      </c>
      <c r="S674" s="18">
        <f>(Tabela25[[#This Row],[FRETE]]+Tabela25[[#This Row],[DESPESAS]]+Tabela25[[#This Row],[IPI]]+Tabela25[[#This Row],[Vl. Produto]])*Tabela25[[#This Row],[Aliq.%]]</f>
        <v>0</v>
      </c>
    </row>
    <row r="675" spans="13:19" x14ac:dyDescent="0.25">
      <c r="M675" s="46"/>
      <c r="N675" s="46"/>
      <c r="O675" s="46"/>
      <c r="P675" s="46"/>
      <c r="R675" s="15">
        <v>1.54E-2</v>
      </c>
      <c r="S675" s="18">
        <f>(Tabela25[[#This Row],[FRETE]]+Tabela25[[#This Row],[DESPESAS]]+Tabela25[[#This Row],[IPI]]+Tabela25[[#This Row],[Vl. Produto]])*Tabela25[[#This Row],[Aliq.%]]</f>
        <v>0</v>
      </c>
    </row>
    <row r="676" spans="13:19" x14ac:dyDescent="0.25">
      <c r="M676" s="46"/>
      <c r="N676" s="46"/>
      <c r="O676" s="46"/>
      <c r="P676" s="46"/>
      <c r="R676" s="15">
        <v>1.54E-2</v>
      </c>
      <c r="S676" s="18">
        <f>(Tabela25[[#This Row],[FRETE]]+Tabela25[[#This Row],[DESPESAS]]+Tabela25[[#This Row],[IPI]]+Tabela25[[#This Row],[Vl. Produto]])*Tabela25[[#This Row],[Aliq.%]]</f>
        <v>0</v>
      </c>
    </row>
    <row r="677" spans="13:19" x14ac:dyDescent="0.25">
      <c r="M677" s="46"/>
      <c r="N677" s="46"/>
      <c r="O677" s="46"/>
      <c r="P677" s="46"/>
      <c r="R677" s="15">
        <v>1.54E-2</v>
      </c>
      <c r="S677" s="18">
        <f>(Tabela25[[#This Row],[FRETE]]+Tabela25[[#This Row],[DESPESAS]]+Tabela25[[#This Row],[IPI]]+Tabela25[[#This Row],[Vl. Produto]])*Tabela25[[#This Row],[Aliq.%]]</f>
        <v>0</v>
      </c>
    </row>
    <row r="678" spans="13:19" x14ac:dyDescent="0.25">
      <c r="M678" s="46"/>
      <c r="N678" s="46"/>
      <c r="O678" s="46"/>
      <c r="P678" s="46"/>
      <c r="R678" s="15">
        <v>1.54E-2</v>
      </c>
      <c r="S678" s="18">
        <f>(Tabela25[[#This Row],[FRETE]]+Tabela25[[#This Row],[DESPESAS]]+Tabela25[[#This Row],[IPI]]+Tabela25[[#This Row],[Vl. Produto]])*Tabela25[[#This Row],[Aliq.%]]</f>
        <v>0</v>
      </c>
    </row>
    <row r="679" spans="13:19" x14ac:dyDescent="0.25">
      <c r="M679" s="46"/>
      <c r="N679" s="46"/>
      <c r="O679" s="46"/>
      <c r="P679" s="46"/>
      <c r="R679" s="15">
        <v>1.54E-2</v>
      </c>
      <c r="S679" s="18">
        <f>(Tabela25[[#This Row],[FRETE]]+Tabela25[[#This Row],[DESPESAS]]+Tabela25[[#This Row],[IPI]]+Tabela25[[#This Row],[Vl. Produto]])*Tabela25[[#This Row],[Aliq.%]]</f>
        <v>0</v>
      </c>
    </row>
    <row r="680" spans="13:19" x14ac:dyDescent="0.25">
      <c r="M680" s="46"/>
      <c r="N680" s="46"/>
      <c r="O680" s="46"/>
      <c r="P680" s="46"/>
      <c r="R680" s="15">
        <v>1.54E-2</v>
      </c>
      <c r="S680" s="18">
        <f>(Tabela25[[#This Row],[FRETE]]+Tabela25[[#This Row],[DESPESAS]]+Tabela25[[#This Row],[IPI]]+Tabela25[[#This Row],[Vl. Produto]])*Tabela25[[#This Row],[Aliq.%]]</f>
        <v>0</v>
      </c>
    </row>
    <row r="681" spans="13:19" x14ac:dyDescent="0.25">
      <c r="M681" s="46"/>
      <c r="N681" s="46"/>
      <c r="O681" s="46"/>
      <c r="P681" s="46"/>
      <c r="R681" s="15">
        <v>1.54E-2</v>
      </c>
      <c r="S681" s="18">
        <f>(Tabela25[[#This Row],[FRETE]]+Tabela25[[#This Row],[DESPESAS]]+Tabela25[[#This Row],[IPI]]+Tabela25[[#This Row],[Vl. Produto]])*Tabela25[[#This Row],[Aliq.%]]</f>
        <v>0</v>
      </c>
    </row>
    <row r="682" spans="13:19" x14ac:dyDescent="0.25">
      <c r="M682" s="46"/>
      <c r="N682" s="46"/>
      <c r="O682" s="46"/>
      <c r="P682" s="46"/>
      <c r="R682" s="15">
        <v>1.54E-2</v>
      </c>
      <c r="S682" s="18">
        <f>(Tabela25[[#This Row],[FRETE]]+Tabela25[[#This Row],[DESPESAS]]+Tabela25[[#This Row],[IPI]]+Tabela25[[#This Row],[Vl. Produto]])*Tabela25[[#This Row],[Aliq.%]]</f>
        <v>0</v>
      </c>
    </row>
    <row r="683" spans="13:19" x14ac:dyDescent="0.25">
      <c r="M683" s="46"/>
      <c r="N683" s="46"/>
      <c r="O683" s="46"/>
      <c r="P683" s="46"/>
      <c r="R683" s="15">
        <v>1.54E-2</v>
      </c>
      <c r="S683" s="18">
        <f>(Tabela25[[#This Row],[FRETE]]+Tabela25[[#This Row],[DESPESAS]]+Tabela25[[#This Row],[IPI]]+Tabela25[[#This Row],[Vl. Produto]])*Tabela25[[#This Row],[Aliq.%]]</f>
        <v>0</v>
      </c>
    </row>
    <row r="684" spans="13:19" x14ac:dyDescent="0.25">
      <c r="M684" s="46"/>
      <c r="N684" s="46"/>
      <c r="O684" s="46"/>
      <c r="P684" s="46"/>
      <c r="R684" s="15">
        <v>1.54E-2</v>
      </c>
      <c r="S684" s="18">
        <f>(Tabela25[[#This Row],[FRETE]]+Tabela25[[#This Row],[DESPESAS]]+Tabela25[[#This Row],[IPI]]+Tabela25[[#This Row],[Vl. Produto]])*Tabela25[[#This Row],[Aliq.%]]</f>
        <v>0</v>
      </c>
    </row>
    <row r="685" spans="13:19" x14ac:dyDescent="0.25">
      <c r="M685" s="46"/>
      <c r="N685" s="46"/>
      <c r="O685" s="46"/>
      <c r="P685" s="46"/>
      <c r="R685" s="15">
        <v>1.54E-2</v>
      </c>
      <c r="S685" s="18">
        <f>(Tabela25[[#This Row],[FRETE]]+Tabela25[[#This Row],[DESPESAS]]+Tabela25[[#This Row],[IPI]]+Tabela25[[#This Row],[Vl. Produto]])*Tabela25[[#This Row],[Aliq.%]]</f>
        <v>0</v>
      </c>
    </row>
    <row r="686" spans="13:19" x14ac:dyDescent="0.25">
      <c r="M686" s="46"/>
      <c r="N686" s="46"/>
      <c r="O686" s="46"/>
      <c r="P686" s="46"/>
      <c r="R686" s="15">
        <v>1.54E-2</v>
      </c>
      <c r="S686" s="18">
        <f>(Tabela25[[#This Row],[FRETE]]+Tabela25[[#This Row],[DESPESAS]]+Tabela25[[#This Row],[IPI]]+Tabela25[[#This Row],[Vl. Produto]])*Tabela25[[#This Row],[Aliq.%]]</f>
        <v>0</v>
      </c>
    </row>
    <row r="687" spans="13:19" x14ac:dyDescent="0.25">
      <c r="M687" s="46"/>
      <c r="N687" s="46"/>
      <c r="O687" s="46"/>
      <c r="P687" s="46"/>
      <c r="R687" s="15">
        <v>1.54E-2</v>
      </c>
      <c r="S687" s="18">
        <f>(Tabela25[[#This Row],[FRETE]]+Tabela25[[#This Row],[DESPESAS]]+Tabela25[[#This Row],[IPI]]+Tabela25[[#This Row],[Vl. Produto]])*Tabela25[[#This Row],[Aliq.%]]</f>
        <v>0</v>
      </c>
    </row>
    <row r="688" spans="13:19" x14ac:dyDescent="0.25">
      <c r="M688" s="46"/>
      <c r="N688" s="46"/>
      <c r="O688" s="46"/>
      <c r="P688" s="46"/>
      <c r="R688" s="15">
        <v>1.54E-2</v>
      </c>
      <c r="S688" s="18">
        <f>(Tabela25[[#This Row],[FRETE]]+Tabela25[[#This Row],[DESPESAS]]+Tabela25[[#This Row],[IPI]]+Tabela25[[#This Row],[Vl. Produto]])*Tabela25[[#This Row],[Aliq.%]]</f>
        <v>0</v>
      </c>
    </row>
    <row r="689" spans="13:19" x14ac:dyDescent="0.25">
      <c r="M689" s="46"/>
      <c r="N689" s="46"/>
      <c r="O689" s="46"/>
      <c r="P689" s="46"/>
      <c r="R689" s="15">
        <v>1.54E-2</v>
      </c>
      <c r="S689" s="18">
        <f>(Tabela25[[#This Row],[FRETE]]+Tabela25[[#This Row],[DESPESAS]]+Tabela25[[#This Row],[IPI]]+Tabela25[[#This Row],[Vl. Produto]])*Tabela25[[#This Row],[Aliq.%]]</f>
        <v>0</v>
      </c>
    </row>
    <row r="690" spans="13:19" x14ac:dyDescent="0.25">
      <c r="M690" s="46"/>
      <c r="N690" s="46"/>
      <c r="O690" s="46"/>
      <c r="P690" s="46"/>
      <c r="R690" s="15">
        <v>1.54E-2</v>
      </c>
      <c r="S690" s="18">
        <f>(Tabela25[[#This Row],[FRETE]]+Tabela25[[#This Row],[DESPESAS]]+Tabela25[[#This Row],[IPI]]+Tabela25[[#This Row],[Vl. Produto]])*Tabela25[[#This Row],[Aliq.%]]</f>
        <v>0</v>
      </c>
    </row>
    <row r="691" spans="13:19" x14ac:dyDescent="0.25">
      <c r="M691" s="46"/>
      <c r="N691" s="46"/>
      <c r="O691" s="46"/>
      <c r="P691" s="46"/>
      <c r="R691" s="15">
        <v>1.54E-2</v>
      </c>
      <c r="S691" s="18">
        <f>(Tabela25[[#This Row],[FRETE]]+Tabela25[[#This Row],[DESPESAS]]+Tabela25[[#This Row],[IPI]]+Tabela25[[#This Row],[Vl. Produto]])*Tabela25[[#This Row],[Aliq.%]]</f>
        <v>0</v>
      </c>
    </row>
    <row r="692" spans="13:19" x14ac:dyDescent="0.25">
      <c r="M692" s="46"/>
      <c r="N692" s="46"/>
      <c r="O692" s="46"/>
      <c r="P692" s="46"/>
      <c r="R692" s="15">
        <v>1.54E-2</v>
      </c>
      <c r="S692" s="18">
        <f>(Tabela25[[#This Row],[FRETE]]+Tabela25[[#This Row],[DESPESAS]]+Tabela25[[#This Row],[IPI]]+Tabela25[[#This Row],[Vl. Produto]])*Tabela25[[#This Row],[Aliq.%]]</f>
        <v>0</v>
      </c>
    </row>
    <row r="693" spans="13:19" x14ac:dyDescent="0.25">
      <c r="M693" s="46"/>
      <c r="N693" s="46"/>
      <c r="O693" s="46"/>
      <c r="P693" s="46"/>
      <c r="R693" s="15">
        <v>1.54E-2</v>
      </c>
      <c r="S693" s="18">
        <f>(Tabela25[[#This Row],[FRETE]]+Tabela25[[#This Row],[DESPESAS]]+Tabela25[[#This Row],[IPI]]+Tabela25[[#This Row],[Vl. Produto]])*Tabela25[[#This Row],[Aliq.%]]</f>
        <v>0</v>
      </c>
    </row>
    <row r="694" spans="13:19" x14ac:dyDescent="0.25">
      <c r="M694" s="46"/>
      <c r="N694" s="46"/>
      <c r="O694" s="46"/>
      <c r="P694" s="46"/>
      <c r="R694" s="15">
        <v>1.54E-2</v>
      </c>
      <c r="S694" s="18">
        <f>(Tabela25[[#This Row],[FRETE]]+Tabela25[[#This Row],[DESPESAS]]+Tabela25[[#This Row],[IPI]]+Tabela25[[#This Row],[Vl. Produto]])*Tabela25[[#This Row],[Aliq.%]]</f>
        <v>0</v>
      </c>
    </row>
    <row r="695" spans="13:19" x14ac:dyDescent="0.25">
      <c r="M695" s="46"/>
      <c r="N695" s="46"/>
      <c r="O695" s="46"/>
      <c r="P695" s="46"/>
      <c r="R695" s="15">
        <v>1.54E-2</v>
      </c>
      <c r="S695" s="18">
        <f>(Tabela25[[#This Row],[FRETE]]+Tabela25[[#This Row],[DESPESAS]]+Tabela25[[#This Row],[IPI]]+Tabela25[[#This Row],[Vl. Produto]])*Tabela25[[#This Row],[Aliq.%]]</f>
        <v>0</v>
      </c>
    </row>
    <row r="696" spans="13:19" x14ac:dyDescent="0.25">
      <c r="M696" s="46"/>
      <c r="N696" s="46"/>
      <c r="O696" s="46"/>
      <c r="P696" s="46"/>
      <c r="R696" s="15">
        <v>1.54E-2</v>
      </c>
      <c r="S696" s="18">
        <f>(Tabela25[[#This Row],[FRETE]]+Tabela25[[#This Row],[DESPESAS]]+Tabela25[[#This Row],[IPI]]+Tabela25[[#This Row],[Vl. Produto]])*Tabela25[[#This Row],[Aliq.%]]</f>
        <v>0</v>
      </c>
    </row>
    <row r="697" spans="13:19" x14ac:dyDescent="0.25">
      <c r="M697" s="46"/>
      <c r="N697" s="46"/>
      <c r="O697" s="46"/>
      <c r="P697" s="46"/>
      <c r="R697" s="15">
        <v>1.54E-2</v>
      </c>
      <c r="S697" s="18">
        <f>(Tabela25[[#This Row],[FRETE]]+Tabela25[[#This Row],[DESPESAS]]+Tabela25[[#This Row],[IPI]]+Tabela25[[#This Row],[Vl. Produto]])*Tabela25[[#This Row],[Aliq.%]]</f>
        <v>0</v>
      </c>
    </row>
    <row r="698" spans="13:19" x14ac:dyDescent="0.25">
      <c r="M698" s="46"/>
      <c r="N698" s="46"/>
      <c r="O698" s="46"/>
      <c r="P698" s="46"/>
      <c r="R698" s="15">
        <v>1.54E-2</v>
      </c>
      <c r="S698" s="18">
        <f>(Tabela25[[#This Row],[FRETE]]+Tabela25[[#This Row],[DESPESAS]]+Tabela25[[#This Row],[IPI]]+Tabela25[[#This Row],[Vl. Produto]])*Tabela25[[#This Row],[Aliq.%]]</f>
        <v>0</v>
      </c>
    </row>
    <row r="699" spans="13:19" x14ac:dyDescent="0.25">
      <c r="M699" s="46"/>
      <c r="N699" s="46"/>
      <c r="O699" s="46"/>
      <c r="P699" s="46"/>
      <c r="R699" s="15">
        <v>1.54E-2</v>
      </c>
      <c r="S699" s="18">
        <f>(Tabela25[[#This Row],[FRETE]]+Tabela25[[#This Row],[DESPESAS]]+Tabela25[[#This Row],[IPI]]+Tabela25[[#This Row],[Vl. Produto]])*Tabela25[[#This Row],[Aliq.%]]</f>
        <v>0</v>
      </c>
    </row>
    <row r="700" spans="13:19" x14ac:dyDescent="0.25">
      <c r="M700" s="46"/>
      <c r="N700" s="46"/>
      <c r="O700" s="46"/>
      <c r="P700" s="46"/>
      <c r="R700" s="15">
        <v>1.54E-2</v>
      </c>
      <c r="S700" s="18">
        <f>(Tabela25[[#This Row],[FRETE]]+Tabela25[[#This Row],[DESPESAS]]+Tabela25[[#This Row],[IPI]]+Tabela25[[#This Row],[Vl. Produto]])*Tabela25[[#This Row],[Aliq.%]]</f>
        <v>0</v>
      </c>
    </row>
    <row r="701" spans="13:19" x14ac:dyDescent="0.25">
      <c r="M701" s="46"/>
      <c r="N701" s="46"/>
      <c r="O701" s="46"/>
      <c r="P701" s="46"/>
      <c r="R701" s="15">
        <v>1.54E-2</v>
      </c>
      <c r="S701" s="18">
        <f>(Tabela25[[#This Row],[FRETE]]+Tabela25[[#This Row],[DESPESAS]]+Tabela25[[#This Row],[IPI]]+Tabela25[[#This Row],[Vl. Produto]])*Tabela25[[#This Row],[Aliq.%]]</f>
        <v>0</v>
      </c>
    </row>
    <row r="702" spans="13:19" x14ac:dyDescent="0.25">
      <c r="M702" s="46"/>
      <c r="N702" s="46"/>
      <c r="O702" s="46"/>
      <c r="P702" s="46"/>
      <c r="R702" s="15">
        <v>1.54E-2</v>
      </c>
      <c r="S702" s="18">
        <f>(Tabela25[[#This Row],[FRETE]]+Tabela25[[#This Row],[DESPESAS]]+Tabela25[[#This Row],[IPI]]+Tabela25[[#This Row],[Vl. Produto]])*Tabela25[[#This Row],[Aliq.%]]</f>
        <v>0</v>
      </c>
    </row>
    <row r="703" spans="13:19" x14ac:dyDescent="0.25">
      <c r="M703" s="46"/>
      <c r="N703" s="46"/>
      <c r="O703" s="46"/>
      <c r="P703" s="46"/>
      <c r="R703" s="15">
        <v>1.54E-2</v>
      </c>
      <c r="S703" s="18">
        <f>(Tabela25[[#This Row],[FRETE]]+Tabela25[[#This Row],[DESPESAS]]+Tabela25[[#This Row],[IPI]]+Tabela25[[#This Row],[Vl. Produto]])*Tabela25[[#This Row],[Aliq.%]]</f>
        <v>0</v>
      </c>
    </row>
    <row r="704" spans="13:19" x14ac:dyDescent="0.25">
      <c r="M704" s="46"/>
      <c r="N704" s="46"/>
      <c r="O704" s="46"/>
      <c r="P704" s="46"/>
      <c r="R704" s="15">
        <v>1.54E-2</v>
      </c>
      <c r="S704" s="18">
        <f>(Tabela25[[#This Row],[FRETE]]+Tabela25[[#This Row],[DESPESAS]]+Tabela25[[#This Row],[IPI]]+Tabela25[[#This Row],[Vl. Produto]])*Tabela25[[#This Row],[Aliq.%]]</f>
        <v>0</v>
      </c>
    </row>
    <row r="705" spans="13:19" x14ac:dyDescent="0.25">
      <c r="M705" s="46"/>
      <c r="N705" s="46"/>
      <c r="O705" s="46"/>
      <c r="P705" s="46"/>
      <c r="R705" s="15">
        <v>1.54E-2</v>
      </c>
      <c r="S705" s="18">
        <f>(Tabela25[[#This Row],[FRETE]]+Tabela25[[#This Row],[DESPESAS]]+Tabela25[[#This Row],[IPI]]+Tabela25[[#This Row],[Vl. Produto]])*Tabela25[[#This Row],[Aliq.%]]</f>
        <v>0</v>
      </c>
    </row>
    <row r="706" spans="13:19" x14ac:dyDescent="0.25">
      <c r="M706" s="46"/>
      <c r="N706" s="46"/>
      <c r="O706" s="46"/>
      <c r="P706" s="46"/>
      <c r="R706" s="15">
        <v>1.54E-2</v>
      </c>
      <c r="S706" s="18">
        <f>(Tabela25[[#This Row],[FRETE]]+Tabela25[[#This Row],[DESPESAS]]+Tabela25[[#This Row],[IPI]]+Tabela25[[#This Row],[Vl. Produto]])*Tabela25[[#This Row],[Aliq.%]]</f>
        <v>0</v>
      </c>
    </row>
    <row r="707" spans="13:19" x14ac:dyDescent="0.25">
      <c r="M707" s="46"/>
      <c r="N707" s="46"/>
      <c r="O707" s="46"/>
      <c r="P707" s="46"/>
      <c r="R707" s="15">
        <v>1.54E-2</v>
      </c>
      <c r="S707" s="18">
        <f>(Tabela25[[#This Row],[FRETE]]+Tabela25[[#This Row],[DESPESAS]]+Tabela25[[#This Row],[IPI]]+Tabela25[[#This Row],[Vl. Produto]])*Tabela25[[#This Row],[Aliq.%]]</f>
        <v>0</v>
      </c>
    </row>
    <row r="708" spans="13:19" x14ac:dyDescent="0.25">
      <c r="M708" s="46"/>
      <c r="N708" s="46"/>
      <c r="O708" s="46"/>
      <c r="P708" s="46"/>
      <c r="R708" s="15">
        <v>1.54E-2</v>
      </c>
      <c r="S708" s="18">
        <f>(Tabela25[[#This Row],[FRETE]]+Tabela25[[#This Row],[DESPESAS]]+Tabela25[[#This Row],[IPI]]+Tabela25[[#This Row],[Vl. Produto]])*Tabela25[[#This Row],[Aliq.%]]</f>
        <v>0</v>
      </c>
    </row>
    <row r="709" spans="13:19" x14ac:dyDescent="0.25">
      <c r="M709" s="46"/>
      <c r="N709" s="46"/>
      <c r="O709" s="46"/>
      <c r="P709" s="46"/>
      <c r="R709" s="15">
        <v>1.54E-2</v>
      </c>
      <c r="S709" s="18">
        <f>(Tabela25[[#This Row],[FRETE]]+Tabela25[[#This Row],[DESPESAS]]+Tabela25[[#This Row],[IPI]]+Tabela25[[#This Row],[Vl. Produto]])*Tabela25[[#This Row],[Aliq.%]]</f>
        <v>0</v>
      </c>
    </row>
    <row r="710" spans="13:19" x14ac:dyDescent="0.25">
      <c r="M710" s="46"/>
      <c r="N710" s="46"/>
      <c r="O710" s="46"/>
      <c r="P710" s="46"/>
      <c r="R710" s="15">
        <v>1.54E-2</v>
      </c>
      <c r="S710" s="18">
        <f>(Tabela25[[#This Row],[FRETE]]+Tabela25[[#This Row],[DESPESAS]]+Tabela25[[#This Row],[IPI]]+Tabela25[[#This Row],[Vl. Produto]])*Tabela25[[#This Row],[Aliq.%]]</f>
        <v>0</v>
      </c>
    </row>
    <row r="711" spans="13:19" x14ac:dyDescent="0.25">
      <c r="M711" s="46"/>
      <c r="N711" s="46"/>
      <c r="O711" s="46"/>
      <c r="P711" s="46"/>
      <c r="R711" s="15">
        <v>1.54E-2</v>
      </c>
      <c r="S711" s="18">
        <f>(Tabela25[[#This Row],[FRETE]]+Tabela25[[#This Row],[DESPESAS]]+Tabela25[[#This Row],[IPI]]+Tabela25[[#This Row],[Vl. Produto]])*Tabela25[[#This Row],[Aliq.%]]</f>
        <v>0</v>
      </c>
    </row>
    <row r="712" spans="13:19" x14ac:dyDescent="0.25">
      <c r="M712" s="46"/>
      <c r="N712" s="46"/>
      <c r="O712" s="46"/>
      <c r="P712" s="46"/>
      <c r="R712" s="15">
        <v>1.54E-2</v>
      </c>
      <c r="S712" s="18">
        <f>(Tabela25[[#This Row],[FRETE]]+Tabela25[[#This Row],[DESPESAS]]+Tabela25[[#This Row],[IPI]]+Tabela25[[#This Row],[Vl. Produto]])*Tabela25[[#This Row],[Aliq.%]]</f>
        <v>0</v>
      </c>
    </row>
    <row r="713" spans="13:19" x14ac:dyDescent="0.25">
      <c r="M713" s="46"/>
      <c r="N713" s="46"/>
      <c r="O713" s="46"/>
      <c r="P713" s="46"/>
      <c r="R713" s="15">
        <v>1.54E-2</v>
      </c>
      <c r="S713" s="18">
        <f>(Tabela25[[#This Row],[FRETE]]+Tabela25[[#This Row],[DESPESAS]]+Tabela25[[#This Row],[IPI]]+Tabela25[[#This Row],[Vl. Produto]])*Tabela25[[#This Row],[Aliq.%]]</f>
        <v>0</v>
      </c>
    </row>
    <row r="714" spans="13:19" x14ac:dyDescent="0.25">
      <c r="M714" s="46"/>
      <c r="N714" s="46"/>
      <c r="O714" s="46"/>
      <c r="P714" s="46"/>
      <c r="R714" s="15">
        <v>1.54E-2</v>
      </c>
      <c r="S714" s="18">
        <f>(Tabela25[[#This Row],[FRETE]]+Tabela25[[#This Row],[DESPESAS]]+Tabela25[[#This Row],[IPI]]+Tabela25[[#This Row],[Vl. Produto]])*Tabela25[[#This Row],[Aliq.%]]</f>
        <v>0</v>
      </c>
    </row>
    <row r="715" spans="13:19" x14ac:dyDescent="0.25">
      <c r="M715" s="46"/>
      <c r="N715" s="46"/>
      <c r="O715" s="46"/>
      <c r="P715" s="46"/>
      <c r="R715" s="15">
        <v>1.54E-2</v>
      </c>
      <c r="S715" s="18">
        <f>(Tabela25[[#This Row],[FRETE]]+Tabela25[[#This Row],[DESPESAS]]+Tabela25[[#This Row],[IPI]]+Tabela25[[#This Row],[Vl. Produto]])*Tabela25[[#This Row],[Aliq.%]]</f>
        <v>0</v>
      </c>
    </row>
    <row r="716" spans="13:19" x14ac:dyDescent="0.25">
      <c r="M716" s="46"/>
      <c r="N716" s="46"/>
      <c r="O716" s="46"/>
      <c r="P716" s="46"/>
      <c r="R716" s="15">
        <v>1.54E-2</v>
      </c>
      <c r="S716" s="18">
        <f>(Tabela25[[#This Row],[FRETE]]+Tabela25[[#This Row],[DESPESAS]]+Tabela25[[#This Row],[IPI]]+Tabela25[[#This Row],[Vl. Produto]])*Tabela25[[#This Row],[Aliq.%]]</f>
        <v>0</v>
      </c>
    </row>
    <row r="717" spans="13:19" x14ac:dyDescent="0.25">
      <c r="M717" s="46"/>
      <c r="N717" s="46"/>
      <c r="O717" s="46"/>
      <c r="P717" s="46"/>
      <c r="R717" s="15">
        <v>1.54E-2</v>
      </c>
      <c r="S717" s="18">
        <f>(Tabela25[[#This Row],[FRETE]]+Tabela25[[#This Row],[DESPESAS]]+Tabela25[[#This Row],[IPI]]+Tabela25[[#This Row],[Vl. Produto]])*Tabela25[[#This Row],[Aliq.%]]</f>
        <v>0</v>
      </c>
    </row>
    <row r="718" spans="13:19" x14ac:dyDescent="0.25">
      <c r="M718" s="46"/>
      <c r="N718" s="46"/>
      <c r="O718" s="46"/>
      <c r="P718" s="46"/>
      <c r="R718" s="15">
        <v>1.54E-2</v>
      </c>
      <c r="S718" s="18">
        <f>(Tabela25[[#This Row],[FRETE]]+Tabela25[[#This Row],[DESPESAS]]+Tabela25[[#This Row],[IPI]]+Tabela25[[#This Row],[Vl. Produto]])*Tabela25[[#This Row],[Aliq.%]]</f>
        <v>0</v>
      </c>
    </row>
    <row r="719" spans="13:19" x14ac:dyDescent="0.25">
      <c r="M719" s="46"/>
      <c r="N719" s="46"/>
      <c r="O719" s="46"/>
      <c r="P719" s="46"/>
      <c r="R719" s="15">
        <v>1.54E-2</v>
      </c>
      <c r="S719" s="18">
        <f>(Tabela25[[#This Row],[FRETE]]+Tabela25[[#This Row],[DESPESAS]]+Tabela25[[#This Row],[IPI]]+Tabela25[[#This Row],[Vl. Produto]])*Tabela25[[#This Row],[Aliq.%]]</f>
        <v>0</v>
      </c>
    </row>
    <row r="720" spans="13:19" x14ac:dyDescent="0.25">
      <c r="M720" s="46"/>
      <c r="N720" s="46"/>
      <c r="O720" s="46"/>
      <c r="P720" s="46"/>
      <c r="R720" s="15">
        <v>1.54E-2</v>
      </c>
      <c r="S720" s="18">
        <f>(Tabela25[[#This Row],[FRETE]]+Tabela25[[#This Row],[DESPESAS]]+Tabela25[[#This Row],[IPI]]+Tabela25[[#This Row],[Vl. Produto]])*Tabela25[[#This Row],[Aliq.%]]</f>
        <v>0</v>
      </c>
    </row>
    <row r="721" spans="13:19" x14ac:dyDescent="0.25">
      <c r="M721" s="46"/>
      <c r="N721" s="46"/>
      <c r="O721" s="46"/>
      <c r="P721" s="46"/>
      <c r="R721" s="15">
        <v>1.54E-2</v>
      </c>
      <c r="S721" s="18">
        <f>(Tabela25[[#This Row],[FRETE]]+Tabela25[[#This Row],[DESPESAS]]+Tabela25[[#This Row],[IPI]]+Tabela25[[#This Row],[Vl. Produto]])*Tabela25[[#This Row],[Aliq.%]]</f>
        <v>0</v>
      </c>
    </row>
    <row r="722" spans="13:19" x14ac:dyDescent="0.25">
      <c r="M722" s="46"/>
      <c r="N722" s="46"/>
      <c r="O722" s="46"/>
      <c r="P722" s="46"/>
      <c r="R722" s="15">
        <v>1.54E-2</v>
      </c>
      <c r="S722" s="18">
        <f>(Tabela25[[#This Row],[FRETE]]+Tabela25[[#This Row],[DESPESAS]]+Tabela25[[#This Row],[IPI]]+Tabela25[[#This Row],[Vl. Produto]])*Tabela25[[#This Row],[Aliq.%]]</f>
        <v>0</v>
      </c>
    </row>
    <row r="723" spans="13:19" x14ac:dyDescent="0.25">
      <c r="M723" s="46"/>
      <c r="N723" s="46"/>
      <c r="O723" s="46"/>
      <c r="P723" s="46"/>
      <c r="R723" s="15">
        <v>1.54E-2</v>
      </c>
      <c r="S723" s="18">
        <f>(Tabela25[[#This Row],[FRETE]]+Tabela25[[#This Row],[DESPESAS]]+Tabela25[[#This Row],[IPI]]+Tabela25[[#This Row],[Vl. Produto]])*Tabela25[[#This Row],[Aliq.%]]</f>
        <v>0</v>
      </c>
    </row>
    <row r="724" spans="13:19" x14ac:dyDescent="0.25">
      <c r="M724" s="46"/>
      <c r="N724" s="46"/>
      <c r="O724" s="46"/>
      <c r="P724" s="46"/>
      <c r="R724" s="15">
        <v>1.54E-2</v>
      </c>
      <c r="S724" s="18">
        <f>(Tabela25[[#This Row],[FRETE]]+Tabela25[[#This Row],[DESPESAS]]+Tabela25[[#This Row],[IPI]]+Tabela25[[#This Row],[Vl. Produto]])*Tabela25[[#This Row],[Aliq.%]]</f>
        <v>0</v>
      </c>
    </row>
    <row r="725" spans="13:19" x14ac:dyDescent="0.25">
      <c r="M725" s="46"/>
      <c r="N725" s="46"/>
      <c r="O725" s="46"/>
      <c r="P725" s="46"/>
      <c r="R725" s="15">
        <v>1.54E-2</v>
      </c>
      <c r="S725" s="18">
        <f>(Tabela25[[#This Row],[FRETE]]+Tabela25[[#This Row],[DESPESAS]]+Tabela25[[#This Row],[IPI]]+Tabela25[[#This Row],[Vl. Produto]])*Tabela25[[#This Row],[Aliq.%]]</f>
        <v>0</v>
      </c>
    </row>
    <row r="726" spans="13:19" x14ac:dyDescent="0.25">
      <c r="M726" s="46"/>
      <c r="N726" s="46"/>
      <c r="O726" s="46"/>
      <c r="P726" s="46"/>
      <c r="R726" s="15">
        <v>1.54E-2</v>
      </c>
      <c r="S726" s="18">
        <f>(Tabela25[[#This Row],[FRETE]]+Tabela25[[#This Row],[DESPESAS]]+Tabela25[[#This Row],[IPI]]+Tabela25[[#This Row],[Vl. Produto]])*Tabela25[[#This Row],[Aliq.%]]</f>
        <v>0</v>
      </c>
    </row>
    <row r="727" spans="13:19" x14ac:dyDescent="0.25">
      <c r="M727" s="46"/>
      <c r="N727" s="46"/>
      <c r="O727" s="46"/>
      <c r="P727" s="46"/>
      <c r="R727" s="15">
        <v>1.54E-2</v>
      </c>
      <c r="S727" s="18">
        <f>(Tabela25[[#This Row],[FRETE]]+Tabela25[[#This Row],[DESPESAS]]+Tabela25[[#This Row],[IPI]]+Tabela25[[#This Row],[Vl. Produto]])*Tabela25[[#This Row],[Aliq.%]]</f>
        <v>0</v>
      </c>
    </row>
    <row r="728" spans="13:19" x14ac:dyDescent="0.25">
      <c r="M728" s="46"/>
      <c r="N728" s="46"/>
      <c r="O728" s="46"/>
      <c r="P728" s="46"/>
      <c r="R728" s="15">
        <v>1.54E-2</v>
      </c>
      <c r="S728" s="18">
        <f>(Tabela25[[#This Row],[FRETE]]+Tabela25[[#This Row],[DESPESAS]]+Tabela25[[#This Row],[IPI]]+Tabela25[[#This Row],[Vl. Produto]])*Tabela25[[#This Row],[Aliq.%]]</f>
        <v>0</v>
      </c>
    </row>
    <row r="729" spans="13:19" x14ac:dyDescent="0.25">
      <c r="M729" s="46"/>
      <c r="N729" s="46"/>
      <c r="O729" s="46"/>
      <c r="P729" s="46"/>
      <c r="R729" s="15">
        <v>1.54E-2</v>
      </c>
      <c r="S729" s="18">
        <f>(Tabela25[[#This Row],[FRETE]]+Tabela25[[#This Row],[DESPESAS]]+Tabela25[[#This Row],[IPI]]+Tabela25[[#This Row],[Vl. Produto]])*Tabela25[[#This Row],[Aliq.%]]</f>
        <v>0</v>
      </c>
    </row>
    <row r="730" spans="13:19" x14ac:dyDescent="0.25">
      <c r="M730" s="46"/>
      <c r="N730" s="46"/>
      <c r="O730" s="46"/>
      <c r="P730" s="46"/>
      <c r="R730" s="15">
        <v>1.54E-2</v>
      </c>
      <c r="S730" s="18">
        <f>(Tabela25[[#This Row],[FRETE]]+Tabela25[[#This Row],[DESPESAS]]+Tabela25[[#This Row],[IPI]]+Tabela25[[#This Row],[Vl. Produto]])*Tabela25[[#This Row],[Aliq.%]]</f>
        <v>0</v>
      </c>
    </row>
    <row r="731" spans="13:19" x14ac:dyDescent="0.25">
      <c r="M731" s="46"/>
      <c r="N731" s="46"/>
      <c r="O731" s="46"/>
      <c r="P731" s="46"/>
      <c r="R731" s="15">
        <v>1.54E-2</v>
      </c>
      <c r="S731" s="18">
        <f>(Tabela25[[#This Row],[FRETE]]+Tabela25[[#This Row],[DESPESAS]]+Tabela25[[#This Row],[IPI]]+Tabela25[[#This Row],[Vl. Produto]])*Tabela25[[#This Row],[Aliq.%]]</f>
        <v>0</v>
      </c>
    </row>
    <row r="732" spans="13:19" x14ac:dyDescent="0.25">
      <c r="M732" s="46"/>
      <c r="N732" s="46"/>
      <c r="O732" s="46"/>
      <c r="P732" s="46"/>
      <c r="R732" s="15">
        <v>1.54E-2</v>
      </c>
      <c r="S732" s="18">
        <f>(Tabela25[[#This Row],[FRETE]]+Tabela25[[#This Row],[DESPESAS]]+Tabela25[[#This Row],[IPI]]+Tabela25[[#This Row],[Vl. Produto]])*Tabela25[[#This Row],[Aliq.%]]</f>
        <v>0</v>
      </c>
    </row>
    <row r="733" spans="13:19" x14ac:dyDescent="0.25">
      <c r="M733" s="46"/>
      <c r="N733" s="46"/>
      <c r="O733" s="46"/>
      <c r="P733" s="46"/>
      <c r="R733" s="15">
        <v>1.54E-2</v>
      </c>
      <c r="S733" s="18">
        <f>(Tabela25[[#This Row],[FRETE]]+Tabela25[[#This Row],[DESPESAS]]+Tabela25[[#This Row],[IPI]]+Tabela25[[#This Row],[Vl. Produto]])*Tabela25[[#This Row],[Aliq.%]]</f>
        <v>0</v>
      </c>
    </row>
    <row r="734" spans="13:19" x14ac:dyDescent="0.25">
      <c r="M734" s="46"/>
      <c r="N734" s="46"/>
      <c r="O734" s="46"/>
      <c r="P734" s="46"/>
      <c r="R734" s="15">
        <v>1.54E-2</v>
      </c>
      <c r="S734" s="18">
        <f>(Tabela25[[#This Row],[FRETE]]+Tabela25[[#This Row],[DESPESAS]]+Tabela25[[#This Row],[IPI]]+Tabela25[[#This Row],[Vl. Produto]])*Tabela25[[#This Row],[Aliq.%]]</f>
        <v>0</v>
      </c>
    </row>
    <row r="735" spans="13:19" x14ac:dyDescent="0.25">
      <c r="M735" s="46"/>
      <c r="N735" s="46"/>
      <c r="O735" s="46"/>
      <c r="P735" s="46"/>
      <c r="R735" s="15">
        <v>1.54E-2</v>
      </c>
      <c r="S735" s="18">
        <f>(Tabela25[[#This Row],[FRETE]]+Tabela25[[#This Row],[DESPESAS]]+Tabela25[[#This Row],[IPI]]+Tabela25[[#This Row],[Vl. Produto]])*Tabela25[[#This Row],[Aliq.%]]</f>
        <v>0</v>
      </c>
    </row>
    <row r="736" spans="13:19" x14ac:dyDescent="0.25">
      <c r="M736" s="46"/>
      <c r="N736" s="46"/>
      <c r="O736" s="46"/>
      <c r="P736" s="46"/>
      <c r="R736" s="15">
        <v>1.54E-2</v>
      </c>
      <c r="S736" s="18">
        <f>(Tabela25[[#This Row],[FRETE]]+Tabela25[[#This Row],[DESPESAS]]+Tabela25[[#This Row],[IPI]]+Tabela25[[#This Row],[Vl. Produto]])*Tabela25[[#This Row],[Aliq.%]]</f>
        <v>0</v>
      </c>
    </row>
    <row r="737" spans="13:19" x14ac:dyDescent="0.25">
      <c r="M737" s="46"/>
      <c r="N737" s="46"/>
      <c r="O737" s="46"/>
      <c r="P737" s="46"/>
      <c r="R737" s="15">
        <v>1.54E-2</v>
      </c>
      <c r="S737" s="18">
        <f>(Tabela25[[#This Row],[FRETE]]+Tabela25[[#This Row],[DESPESAS]]+Tabela25[[#This Row],[IPI]]+Tabela25[[#This Row],[Vl. Produto]])*Tabela25[[#This Row],[Aliq.%]]</f>
        <v>0</v>
      </c>
    </row>
    <row r="738" spans="13:19" x14ac:dyDescent="0.25">
      <c r="M738" s="46"/>
      <c r="N738" s="46"/>
      <c r="O738" s="46"/>
      <c r="P738" s="46"/>
      <c r="R738" s="15">
        <v>1.54E-2</v>
      </c>
      <c r="S738" s="18">
        <f>(Tabela25[[#This Row],[FRETE]]+Tabela25[[#This Row],[DESPESAS]]+Tabela25[[#This Row],[IPI]]+Tabela25[[#This Row],[Vl. Produto]])*Tabela25[[#This Row],[Aliq.%]]</f>
        <v>0</v>
      </c>
    </row>
    <row r="739" spans="13:19" x14ac:dyDescent="0.25">
      <c r="M739" s="46"/>
      <c r="N739" s="46"/>
      <c r="O739" s="46"/>
      <c r="P739" s="46"/>
      <c r="R739" s="15">
        <v>1.54E-2</v>
      </c>
      <c r="S739" s="18">
        <f>(Tabela25[[#This Row],[FRETE]]+Tabela25[[#This Row],[DESPESAS]]+Tabela25[[#This Row],[IPI]]+Tabela25[[#This Row],[Vl. Produto]])*Tabela25[[#This Row],[Aliq.%]]</f>
        <v>0</v>
      </c>
    </row>
    <row r="740" spans="13:19" x14ac:dyDescent="0.25">
      <c r="M740" s="46"/>
      <c r="N740" s="46"/>
      <c r="O740" s="46"/>
      <c r="P740" s="46"/>
      <c r="R740" s="15">
        <v>1.54E-2</v>
      </c>
      <c r="S740" s="18">
        <f>(Tabela25[[#This Row],[FRETE]]+Tabela25[[#This Row],[DESPESAS]]+Tabela25[[#This Row],[IPI]]+Tabela25[[#This Row],[Vl. Produto]])*Tabela25[[#This Row],[Aliq.%]]</f>
        <v>0</v>
      </c>
    </row>
    <row r="741" spans="13:19" x14ac:dyDescent="0.25">
      <c r="M741" s="46"/>
      <c r="N741" s="46"/>
      <c r="O741" s="46"/>
      <c r="P741" s="46"/>
      <c r="R741" s="15">
        <v>1.54E-2</v>
      </c>
      <c r="S741" s="18">
        <f>(Tabela25[[#This Row],[FRETE]]+Tabela25[[#This Row],[DESPESAS]]+Tabela25[[#This Row],[IPI]]+Tabela25[[#This Row],[Vl. Produto]])*Tabela25[[#This Row],[Aliq.%]]</f>
        <v>0</v>
      </c>
    </row>
    <row r="742" spans="13:19" x14ac:dyDescent="0.25">
      <c r="M742" s="46"/>
      <c r="N742" s="46"/>
      <c r="O742" s="46"/>
      <c r="P742" s="46"/>
      <c r="R742" s="15">
        <v>1.54E-2</v>
      </c>
      <c r="S742" s="18">
        <f>(Tabela25[[#This Row],[FRETE]]+Tabela25[[#This Row],[DESPESAS]]+Tabela25[[#This Row],[IPI]]+Tabela25[[#This Row],[Vl. Produto]])*Tabela25[[#This Row],[Aliq.%]]</f>
        <v>0</v>
      </c>
    </row>
    <row r="743" spans="13:19" x14ac:dyDescent="0.25">
      <c r="M743" s="46"/>
      <c r="N743" s="46"/>
      <c r="O743" s="46"/>
      <c r="P743" s="46"/>
      <c r="R743" s="15">
        <v>1.54E-2</v>
      </c>
      <c r="S743" s="18">
        <f>(Tabela25[[#This Row],[FRETE]]+Tabela25[[#This Row],[DESPESAS]]+Tabela25[[#This Row],[IPI]]+Tabela25[[#This Row],[Vl. Produto]])*Tabela25[[#This Row],[Aliq.%]]</f>
        <v>0</v>
      </c>
    </row>
    <row r="744" spans="13:19" x14ac:dyDescent="0.25">
      <c r="M744" s="46"/>
      <c r="N744" s="46"/>
      <c r="O744" s="46"/>
      <c r="P744" s="46"/>
      <c r="R744" s="15">
        <v>1.54E-2</v>
      </c>
      <c r="S744" s="18">
        <f>(Tabela25[[#This Row],[FRETE]]+Tabela25[[#This Row],[DESPESAS]]+Tabela25[[#This Row],[IPI]]+Tabela25[[#This Row],[Vl. Produto]])*Tabela25[[#This Row],[Aliq.%]]</f>
        <v>0</v>
      </c>
    </row>
    <row r="745" spans="13:19" x14ac:dyDescent="0.25">
      <c r="M745" s="46"/>
      <c r="N745" s="46"/>
      <c r="O745" s="46"/>
      <c r="P745" s="46"/>
      <c r="R745" s="15">
        <v>1.54E-2</v>
      </c>
      <c r="S745" s="18">
        <f>(Tabela25[[#This Row],[FRETE]]+Tabela25[[#This Row],[DESPESAS]]+Tabela25[[#This Row],[IPI]]+Tabela25[[#This Row],[Vl. Produto]])*Tabela25[[#This Row],[Aliq.%]]</f>
        <v>0</v>
      </c>
    </row>
    <row r="746" spans="13:19" x14ac:dyDescent="0.25">
      <c r="M746" s="46"/>
      <c r="N746" s="46"/>
      <c r="O746" s="46"/>
      <c r="P746" s="46"/>
      <c r="R746" s="15">
        <v>1.54E-2</v>
      </c>
      <c r="S746" s="18">
        <f>(Tabela25[[#This Row],[FRETE]]+Tabela25[[#This Row],[DESPESAS]]+Tabela25[[#This Row],[IPI]]+Tabela25[[#This Row],[Vl. Produto]])*Tabela25[[#This Row],[Aliq.%]]</f>
        <v>0</v>
      </c>
    </row>
    <row r="747" spans="13:19" x14ac:dyDescent="0.25">
      <c r="M747" s="46"/>
      <c r="N747" s="46"/>
      <c r="O747" s="46"/>
      <c r="P747" s="46"/>
      <c r="R747" s="15">
        <v>1.54E-2</v>
      </c>
      <c r="S747" s="18">
        <f>(Tabela25[[#This Row],[FRETE]]+Tabela25[[#This Row],[DESPESAS]]+Tabela25[[#This Row],[IPI]]+Tabela25[[#This Row],[Vl. Produto]])*Tabela25[[#This Row],[Aliq.%]]</f>
        <v>0</v>
      </c>
    </row>
    <row r="748" spans="13:19" x14ac:dyDescent="0.25">
      <c r="M748" s="46"/>
      <c r="N748" s="46"/>
      <c r="O748" s="46"/>
      <c r="P748" s="46"/>
      <c r="R748" s="15">
        <v>1.54E-2</v>
      </c>
      <c r="S748" s="18">
        <f>(Tabela25[[#This Row],[FRETE]]+Tabela25[[#This Row],[DESPESAS]]+Tabela25[[#This Row],[IPI]]+Tabela25[[#This Row],[Vl. Produto]])*Tabela25[[#This Row],[Aliq.%]]</f>
        <v>0</v>
      </c>
    </row>
    <row r="749" spans="13:19" x14ac:dyDescent="0.25">
      <c r="M749" s="46"/>
      <c r="N749" s="46"/>
      <c r="O749" s="46"/>
      <c r="P749" s="46"/>
      <c r="R749" s="15">
        <v>1.54E-2</v>
      </c>
      <c r="S749" s="18">
        <f>(Tabela25[[#This Row],[FRETE]]+Tabela25[[#This Row],[DESPESAS]]+Tabela25[[#This Row],[IPI]]+Tabela25[[#This Row],[Vl. Produto]])*Tabela25[[#This Row],[Aliq.%]]</f>
        <v>0</v>
      </c>
    </row>
    <row r="750" spans="13:19" x14ac:dyDescent="0.25">
      <c r="M750" s="46"/>
      <c r="N750" s="46"/>
      <c r="O750" s="46"/>
      <c r="P750" s="46"/>
      <c r="R750" s="15">
        <v>1.54E-2</v>
      </c>
      <c r="S750" s="18">
        <f>(Tabela25[[#This Row],[FRETE]]+Tabela25[[#This Row],[DESPESAS]]+Tabela25[[#This Row],[IPI]]+Tabela25[[#This Row],[Vl. Produto]])*Tabela25[[#This Row],[Aliq.%]]</f>
        <v>0</v>
      </c>
    </row>
    <row r="751" spans="13:19" x14ac:dyDescent="0.25">
      <c r="M751" s="46"/>
      <c r="N751" s="46"/>
      <c r="O751" s="46"/>
      <c r="P751" s="46"/>
      <c r="R751" s="15">
        <v>1.54E-2</v>
      </c>
      <c r="S751" s="18">
        <f>(Tabela25[[#This Row],[FRETE]]+Tabela25[[#This Row],[DESPESAS]]+Tabela25[[#This Row],[IPI]]+Tabela25[[#This Row],[Vl. Produto]])*Tabela25[[#This Row],[Aliq.%]]</f>
        <v>0</v>
      </c>
    </row>
    <row r="752" spans="13:19" x14ac:dyDescent="0.25">
      <c r="M752" s="46"/>
      <c r="N752" s="46"/>
      <c r="O752" s="46"/>
      <c r="P752" s="46"/>
      <c r="R752" s="15">
        <v>1.54E-2</v>
      </c>
      <c r="S752" s="18">
        <f>(Tabela25[[#This Row],[FRETE]]+Tabela25[[#This Row],[DESPESAS]]+Tabela25[[#This Row],[IPI]]+Tabela25[[#This Row],[Vl. Produto]])*Tabela25[[#This Row],[Aliq.%]]</f>
        <v>0</v>
      </c>
    </row>
    <row r="753" spans="13:19" x14ac:dyDescent="0.25">
      <c r="M753" s="46"/>
      <c r="N753" s="46"/>
      <c r="O753" s="46"/>
      <c r="P753" s="46"/>
      <c r="R753" s="15">
        <v>1.54E-2</v>
      </c>
      <c r="S753" s="18">
        <f>(Tabela25[[#This Row],[FRETE]]+Tabela25[[#This Row],[DESPESAS]]+Tabela25[[#This Row],[IPI]]+Tabela25[[#This Row],[Vl. Produto]])*Tabela25[[#This Row],[Aliq.%]]</f>
        <v>0</v>
      </c>
    </row>
    <row r="754" spans="13:19" x14ac:dyDescent="0.25">
      <c r="M754" s="46"/>
      <c r="N754" s="46"/>
      <c r="O754" s="46"/>
      <c r="P754" s="46"/>
      <c r="R754" s="15">
        <v>1.54E-2</v>
      </c>
      <c r="S754" s="18">
        <f>(Tabela25[[#This Row],[FRETE]]+Tabela25[[#This Row],[DESPESAS]]+Tabela25[[#This Row],[IPI]]+Tabela25[[#This Row],[Vl. Produto]])*Tabela25[[#This Row],[Aliq.%]]</f>
        <v>0</v>
      </c>
    </row>
    <row r="755" spans="13:19" x14ac:dyDescent="0.25">
      <c r="M755" s="46"/>
      <c r="N755" s="46"/>
      <c r="O755" s="46"/>
      <c r="P755" s="46"/>
      <c r="R755" s="15">
        <v>1.54E-2</v>
      </c>
      <c r="S755" s="18">
        <f>(Tabela25[[#This Row],[FRETE]]+Tabela25[[#This Row],[DESPESAS]]+Tabela25[[#This Row],[IPI]]+Tabela25[[#This Row],[Vl. Produto]])*Tabela25[[#This Row],[Aliq.%]]</f>
        <v>0</v>
      </c>
    </row>
    <row r="756" spans="13:19" x14ac:dyDescent="0.25">
      <c r="M756" s="46"/>
      <c r="N756" s="46"/>
      <c r="O756" s="46"/>
      <c r="P756" s="46"/>
      <c r="R756" s="15">
        <v>1.54E-2</v>
      </c>
      <c r="S756" s="18">
        <f>(Tabela25[[#This Row],[FRETE]]+Tabela25[[#This Row],[DESPESAS]]+Tabela25[[#This Row],[IPI]]+Tabela25[[#This Row],[Vl. Produto]])*Tabela25[[#This Row],[Aliq.%]]</f>
        <v>0</v>
      </c>
    </row>
    <row r="757" spans="13:19" x14ac:dyDescent="0.25">
      <c r="M757" s="46"/>
      <c r="N757" s="46"/>
      <c r="O757" s="46"/>
      <c r="P757" s="46"/>
      <c r="R757" s="15">
        <v>1.54E-2</v>
      </c>
      <c r="S757" s="18">
        <f>(Tabela25[[#This Row],[FRETE]]+Tabela25[[#This Row],[DESPESAS]]+Tabela25[[#This Row],[IPI]]+Tabela25[[#This Row],[Vl. Produto]])*Tabela25[[#This Row],[Aliq.%]]</f>
        <v>0</v>
      </c>
    </row>
    <row r="758" spans="13:19" x14ac:dyDescent="0.25">
      <c r="M758" s="46"/>
      <c r="N758" s="46"/>
      <c r="O758" s="46"/>
      <c r="P758" s="46"/>
      <c r="R758" s="15">
        <v>1.54E-2</v>
      </c>
      <c r="S758" s="18">
        <f>(Tabela25[[#This Row],[FRETE]]+Tabela25[[#This Row],[DESPESAS]]+Tabela25[[#This Row],[IPI]]+Tabela25[[#This Row],[Vl. Produto]])*Tabela25[[#This Row],[Aliq.%]]</f>
        <v>0</v>
      </c>
    </row>
    <row r="759" spans="13:19" x14ac:dyDescent="0.25">
      <c r="M759" s="46"/>
      <c r="N759" s="46"/>
      <c r="O759" s="46"/>
      <c r="P759" s="46"/>
      <c r="R759" s="15">
        <v>1.54E-2</v>
      </c>
      <c r="S759" s="18">
        <f>(Tabela25[[#This Row],[FRETE]]+Tabela25[[#This Row],[DESPESAS]]+Tabela25[[#This Row],[IPI]]+Tabela25[[#This Row],[Vl. Produto]])*Tabela25[[#This Row],[Aliq.%]]</f>
        <v>0</v>
      </c>
    </row>
    <row r="760" spans="13:19" x14ac:dyDescent="0.25">
      <c r="M760" s="46"/>
      <c r="N760" s="46"/>
      <c r="O760" s="46"/>
      <c r="P760" s="46"/>
      <c r="R760" s="15">
        <v>1.54E-2</v>
      </c>
      <c r="S760" s="18">
        <f>(Tabela25[[#This Row],[FRETE]]+Tabela25[[#This Row],[DESPESAS]]+Tabela25[[#This Row],[IPI]]+Tabela25[[#This Row],[Vl. Produto]])*Tabela25[[#This Row],[Aliq.%]]</f>
        <v>0</v>
      </c>
    </row>
    <row r="761" spans="13:19" x14ac:dyDescent="0.25">
      <c r="M761" s="46"/>
      <c r="N761" s="46"/>
      <c r="O761" s="46"/>
      <c r="P761" s="46"/>
      <c r="R761" s="15">
        <v>1.54E-2</v>
      </c>
      <c r="S761" s="18">
        <f>(Tabela25[[#This Row],[FRETE]]+Tabela25[[#This Row],[DESPESAS]]+Tabela25[[#This Row],[IPI]]+Tabela25[[#This Row],[Vl. Produto]])*Tabela25[[#This Row],[Aliq.%]]</f>
        <v>0</v>
      </c>
    </row>
    <row r="762" spans="13:19" x14ac:dyDescent="0.25">
      <c r="M762" s="46"/>
      <c r="N762" s="46"/>
      <c r="O762" s="46"/>
      <c r="P762" s="46"/>
      <c r="R762" s="15">
        <v>1.54E-2</v>
      </c>
      <c r="S762" s="18">
        <f>(Tabela25[[#This Row],[FRETE]]+Tabela25[[#This Row],[DESPESAS]]+Tabela25[[#This Row],[IPI]]+Tabela25[[#This Row],[Vl. Produto]])*Tabela25[[#This Row],[Aliq.%]]</f>
        <v>0</v>
      </c>
    </row>
    <row r="763" spans="13:19" x14ac:dyDescent="0.25">
      <c r="M763" s="46"/>
      <c r="N763" s="46"/>
      <c r="O763" s="46"/>
      <c r="P763" s="46"/>
      <c r="R763" s="15">
        <v>1.54E-2</v>
      </c>
      <c r="S763" s="18">
        <f>(Tabela25[[#This Row],[FRETE]]+Tabela25[[#This Row],[DESPESAS]]+Tabela25[[#This Row],[IPI]]+Tabela25[[#This Row],[Vl. Produto]])*Tabela25[[#This Row],[Aliq.%]]</f>
        <v>0</v>
      </c>
    </row>
    <row r="764" spans="13:19" x14ac:dyDescent="0.25">
      <c r="M764" s="46"/>
      <c r="N764" s="46"/>
      <c r="O764" s="46"/>
      <c r="P764" s="46"/>
      <c r="R764" s="15">
        <v>1.54E-2</v>
      </c>
      <c r="S764" s="18">
        <f>(Tabela25[[#This Row],[FRETE]]+Tabela25[[#This Row],[DESPESAS]]+Tabela25[[#This Row],[IPI]]+Tabela25[[#This Row],[Vl. Produto]])*Tabela25[[#This Row],[Aliq.%]]</f>
        <v>0</v>
      </c>
    </row>
    <row r="765" spans="13:19" x14ac:dyDescent="0.25">
      <c r="M765" s="46"/>
      <c r="N765" s="46"/>
      <c r="O765" s="46"/>
      <c r="P765" s="46"/>
      <c r="R765" s="15">
        <v>1.54E-2</v>
      </c>
      <c r="S765" s="18">
        <f>(Tabela25[[#This Row],[FRETE]]+Tabela25[[#This Row],[DESPESAS]]+Tabela25[[#This Row],[IPI]]+Tabela25[[#This Row],[Vl. Produto]])*Tabela25[[#This Row],[Aliq.%]]</f>
        <v>0</v>
      </c>
    </row>
    <row r="766" spans="13:19" x14ac:dyDescent="0.25">
      <c r="M766" s="46"/>
      <c r="N766" s="46"/>
      <c r="O766" s="46"/>
      <c r="P766" s="46"/>
      <c r="R766" s="15">
        <v>1.54E-2</v>
      </c>
      <c r="S766" s="18">
        <f>(Tabela25[[#This Row],[FRETE]]+Tabela25[[#This Row],[DESPESAS]]+Tabela25[[#This Row],[IPI]]+Tabela25[[#This Row],[Vl. Produto]])*Tabela25[[#This Row],[Aliq.%]]</f>
        <v>0</v>
      </c>
    </row>
    <row r="767" spans="13:19" x14ac:dyDescent="0.25">
      <c r="M767" s="46"/>
      <c r="N767" s="46"/>
      <c r="O767" s="46"/>
      <c r="P767" s="46"/>
      <c r="R767" s="15">
        <v>1.54E-2</v>
      </c>
      <c r="S767" s="18">
        <f>(Tabela25[[#This Row],[FRETE]]+Tabela25[[#This Row],[DESPESAS]]+Tabela25[[#This Row],[IPI]]+Tabela25[[#This Row],[Vl. Produto]])*Tabela25[[#This Row],[Aliq.%]]</f>
        <v>0</v>
      </c>
    </row>
    <row r="768" spans="13:19" x14ac:dyDescent="0.25">
      <c r="M768" s="46"/>
      <c r="N768" s="46"/>
      <c r="O768" s="46"/>
      <c r="P768" s="46"/>
      <c r="R768" s="15">
        <v>1.54E-2</v>
      </c>
      <c r="S768" s="18">
        <f>(Tabela25[[#This Row],[FRETE]]+Tabela25[[#This Row],[DESPESAS]]+Tabela25[[#This Row],[IPI]]+Tabela25[[#This Row],[Vl. Produto]])*Tabela25[[#This Row],[Aliq.%]]</f>
        <v>0</v>
      </c>
    </row>
    <row r="769" spans="13:19" x14ac:dyDescent="0.25">
      <c r="M769" s="46"/>
      <c r="N769" s="46"/>
      <c r="O769" s="46"/>
      <c r="P769" s="46"/>
      <c r="R769" s="15">
        <v>1.54E-2</v>
      </c>
      <c r="S769" s="18">
        <f>(Tabela25[[#This Row],[FRETE]]+Tabela25[[#This Row],[DESPESAS]]+Tabela25[[#This Row],[IPI]]+Tabela25[[#This Row],[Vl. Produto]])*Tabela25[[#This Row],[Aliq.%]]</f>
        <v>0</v>
      </c>
    </row>
    <row r="770" spans="13:19" x14ac:dyDescent="0.25">
      <c r="M770" s="46"/>
      <c r="N770" s="46"/>
      <c r="O770" s="46"/>
      <c r="P770" s="46"/>
      <c r="R770" s="15">
        <v>1.54E-2</v>
      </c>
      <c r="S770" s="18">
        <f>(Tabela25[[#This Row],[FRETE]]+Tabela25[[#This Row],[DESPESAS]]+Tabela25[[#This Row],[IPI]]+Tabela25[[#This Row],[Vl. Produto]])*Tabela25[[#This Row],[Aliq.%]]</f>
        <v>0</v>
      </c>
    </row>
    <row r="771" spans="13:19" x14ac:dyDescent="0.25">
      <c r="M771" s="46"/>
      <c r="N771" s="46"/>
      <c r="O771" s="46"/>
      <c r="P771" s="46"/>
      <c r="R771" s="15">
        <v>1.54E-2</v>
      </c>
      <c r="S771" s="18">
        <f>(Tabela25[[#This Row],[FRETE]]+Tabela25[[#This Row],[DESPESAS]]+Tabela25[[#This Row],[IPI]]+Tabela25[[#This Row],[Vl. Produto]])*Tabela25[[#This Row],[Aliq.%]]</f>
        <v>0</v>
      </c>
    </row>
    <row r="772" spans="13:19" x14ac:dyDescent="0.25">
      <c r="M772" s="46"/>
      <c r="N772" s="46"/>
      <c r="O772" s="46"/>
      <c r="P772" s="46"/>
      <c r="R772" s="15">
        <v>1.54E-2</v>
      </c>
      <c r="S772" s="18">
        <f>(Tabela25[[#This Row],[FRETE]]+Tabela25[[#This Row],[DESPESAS]]+Tabela25[[#This Row],[IPI]]+Tabela25[[#This Row],[Vl. Produto]])*Tabela25[[#This Row],[Aliq.%]]</f>
        <v>0</v>
      </c>
    </row>
    <row r="773" spans="13:19" x14ac:dyDescent="0.25">
      <c r="M773" s="46"/>
      <c r="N773" s="46"/>
      <c r="O773" s="46"/>
      <c r="P773" s="46"/>
      <c r="R773" s="15">
        <v>1.54E-2</v>
      </c>
      <c r="S773" s="18">
        <f>(Tabela25[[#This Row],[FRETE]]+Tabela25[[#This Row],[DESPESAS]]+Tabela25[[#This Row],[IPI]]+Tabela25[[#This Row],[Vl. Produto]])*Tabela25[[#This Row],[Aliq.%]]</f>
        <v>0</v>
      </c>
    </row>
    <row r="774" spans="13:19" x14ac:dyDescent="0.25">
      <c r="M774" s="46"/>
      <c r="N774" s="46"/>
      <c r="O774" s="46"/>
      <c r="P774" s="46"/>
      <c r="R774" s="15">
        <v>1.54E-2</v>
      </c>
      <c r="S774" s="18">
        <f>(Tabela25[[#This Row],[FRETE]]+Tabela25[[#This Row],[DESPESAS]]+Tabela25[[#This Row],[IPI]]+Tabela25[[#This Row],[Vl. Produto]])*Tabela25[[#This Row],[Aliq.%]]</f>
        <v>0</v>
      </c>
    </row>
    <row r="775" spans="13:19" x14ac:dyDescent="0.25">
      <c r="M775" s="46"/>
      <c r="N775" s="46"/>
      <c r="O775" s="46"/>
      <c r="P775" s="46"/>
      <c r="R775" s="15">
        <v>1.54E-2</v>
      </c>
      <c r="S775" s="18">
        <f>(Tabela25[[#This Row],[FRETE]]+Tabela25[[#This Row],[DESPESAS]]+Tabela25[[#This Row],[IPI]]+Tabela25[[#This Row],[Vl. Produto]])*Tabela25[[#This Row],[Aliq.%]]</f>
        <v>0</v>
      </c>
    </row>
    <row r="776" spans="13:19" x14ac:dyDescent="0.25">
      <c r="M776" s="46"/>
      <c r="N776" s="46"/>
      <c r="O776" s="46"/>
      <c r="P776" s="46"/>
      <c r="R776" s="15">
        <v>1.54E-2</v>
      </c>
      <c r="S776" s="18">
        <f>(Tabela25[[#This Row],[FRETE]]+Tabela25[[#This Row],[DESPESAS]]+Tabela25[[#This Row],[IPI]]+Tabela25[[#This Row],[Vl. Produto]])*Tabela25[[#This Row],[Aliq.%]]</f>
        <v>0</v>
      </c>
    </row>
    <row r="777" spans="13:19" x14ac:dyDescent="0.25">
      <c r="M777" s="46"/>
      <c r="N777" s="46"/>
      <c r="O777" s="46"/>
      <c r="P777" s="46"/>
      <c r="R777" s="15">
        <v>1.54E-2</v>
      </c>
      <c r="S777" s="18">
        <f>(Tabela25[[#This Row],[FRETE]]+Tabela25[[#This Row],[DESPESAS]]+Tabela25[[#This Row],[IPI]]+Tabela25[[#This Row],[Vl. Produto]])*Tabela25[[#This Row],[Aliq.%]]</f>
        <v>0</v>
      </c>
    </row>
    <row r="778" spans="13:19" x14ac:dyDescent="0.25">
      <c r="M778" s="46"/>
      <c r="N778" s="46"/>
      <c r="O778" s="46"/>
      <c r="P778" s="46"/>
      <c r="R778" s="15">
        <v>1.54E-2</v>
      </c>
      <c r="S778" s="18">
        <f>(Tabela25[[#This Row],[FRETE]]+Tabela25[[#This Row],[DESPESAS]]+Tabela25[[#This Row],[IPI]]+Tabela25[[#This Row],[Vl. Produto]])*Tabela25[[#This Row],[Aliq.%]]</f>
        <v>0</v>
      </c>
    </row>
    <row r="779" spans="13:19" x14ac:dyDescent="0.25">
      <c r="M779" s="46"/>
      <c r="N779" s="46"/>
      <c r="O779" s="46"/>
      <c r="P779" s="46"/>
      <c r="R779" s="15">
        <v>1.54E-2</v>
      </c>
      <c r="S779" s="18">
        <f>(Tabela25[[#This Row],[FRETE]]+Tabela25[[#This Row],[DESPESAS]]+Tabela25[[#This Row],[IPI]]+Tabela25[[#This Row],[Vl. Produto]])*Tabela25[[#This Row],[Aliq.%]]</f>
        <v>0</v>
      </c>
    </row>
    <row r="780" spans="13:19" x14ac:dyDescent="0.25">
      <c r="M780" s="46"/>
      <c r="N780" s="46"/>
      <c r="O780" s="46"/>
      <c r="P780" s="46"/>
      <c r="R780" s="15">
        <v>1.54E-2</v>
      </c>
      <c r="S780" s="18">
        <f>(Tabela25[[#This Row],[FRETE]]+Tabela25[[#This Row],[DESPESAS]]+Tabela25[[#This Row],[IPI]]+Tabela25[[#This Row],[Vl. Produto]])*Tabela25[[#This Row],[Aliq.%]]</f>
        <v>0</v>
      </c>
    </row>
    <row r="781" spans="13:19" x14ac:dyDescent="0.25">
      <c r="M781" s="46"/>
      <c r="N781" s="46"/>
      <c r="O781" s="46"/>
      <c r="P781" s="46"/>
      <c r="R781" s="15">
        <v>1.54E-2</v>
      </c>
      <c r="S781" s="18">
        <f>(Tabela25[[#This Row],[FRETE]]+Tabela25[[#This Row],[DESPESAS]]+Tabela25[[#This Row],[IPI]]+Tabela25[[#This Row],[Vl. Produto]])*Tabela25[[#This Row],[Aliq.%]]</f>
        <v>0</v>
      </c>
    </row>
    <row r="782" spans="13:19" x14ac:dyDescent="0.25">
      <c r="M782" s="46"/>
      <c r="N782" s="46"/>
      <c r="O782" s="46"/>
      <c r="P782" s="46"/>
      <c r="R782" s="15">
        <v>1.54E-2</v>
      </c>
      <c r="S782" s="18">
        <f>(Tabela25[[#This Row],[FRETE]]+Tabela25[[#This Row],[DESPESAS]]+Tabela25[[#This Row],[IPI]]+Tabela25[[#This Row],[Vl. Produto]])*Tabela25[[#This Row],[Aliq.%]]</f>
        <v>0</v>
      </c>
    </row>
    <row r="783" spans="13:19" x14ac:dyDescent="0.25">
      <c r="M783" s="46"/>
      <c r="N783" s="46"/>
      <c r="O783" s="46"/>
      <c r="P783" s="46"/>
      <c r="R783" s="15">
        <v>1.54E-2</v>
      </c>
      <c r="S783" s="18">
        <f>(Tabela25[[#This Row],[FRETE]]+Tabela25[[#This Row],[DESPESAS]]+Tabela25[[#This Row],[IPI]]+Tabela25[[#This Row],[Vl. Produto]])*Tabela25[[#This Row],[Aliq.%]]</f>
        <v>0</v>
      </c>
    </row>
    <row r="784" spans="13:19" x14ac:dyDescent="0.25">
      <c r="M784" s="46"/>
      <c r="N784" s="46"/>
      <c r="O784" s="46"/>
      <c r="P784" s="46"/>
      <c r="R784" s="15">
        <v>1.54E-2</v>
      </c>
      <c r="S784" s="18">
        <f>(Tabela25[[#This Row],[FRETE]]+Tabela25[[#This Row],[DESPESAS]]+Tabela25[[#This Row],[IPI]]+Tabela25[[#This Row],[Vl. Produto]])*Tabela25[[#This Row],[Aliq.%]]</f>
        <v>0</v>
      </c>
    </row>
    <row r="785" spans="13:19" x14ac:dyDescent="0.25">
      <c r="M785" s="46"/>
      <c r="N785" s="46"/>
      <c r="O785" s="46"/>
      <c r="P785" s="46"/>
      <c r="R785" s="15">
        <v>1.54E-2</v>
      </c>
      <c r="S785" s="18">
        <f>(Tabela25[[#This Row],[FRETE]]+Tabela25[[#This Row],[DESPESAS]]+Tabela25[[#This Row],[IPI]]+Tabela25[[#This Row],[Vl. Produto]])*Tabela25[[#This Row],[Aliq.%]]</f>
        <v>0</v>
      </c>
    </row>
    <row r="786" spans="13:19" x14ac:dyDescent="0.25">
      <c r="M786" s="46"/>
      <c r="N786" s="46"/>
      <c r="O786" s="46"/>
      <c r="P786" s="46"/>
      <c r="R786" s="15">
        <v>1.54E-2</v>
      </c>
      <c r="S786" s="18">
        <f>(Tabela25[[#This Row],[FRETE]]+Tabela25[[#This Row],[DESPESAS]]+Tabela25[[#This Row],[IPI]]+Tabela25[[#This Row],[Vl. Produto]])*Tabela25[[#This Row],[Aliq.%]]</f>
        <v>0</v>
      </c>
    </row>
    <row r="787" spans="13:19" x14ac:dyDescent="0.25">
      <c r="M787" s="46"/>
      <c r="N787" s="46"/>
      <c r="O787" s="46"/>
      <c r="P787" s="46"/>
      <c r="R787" s="15">
        <v>1.54E-2</v>
      </c>
      <c r="S787" s="18">
        <f>(Tabela25[[#This Row],[FRETE]]+Tabela25[[#This Row],[DESPESAS]]+Tabela25[[#This Row],[IPI]]+Tabela25[[#This Row],[Vl. Produto]])*Tabela25[[#This Row],[Aliq.%]]</f>
        <v>0</v>
      </c>
    </row>
    <row r="788" spans="13:19" x14ac:dyDescent="0.25">
      <c r="M788" s="46"/>
      <c r="N788" s="46"/>
      <c r="O788" s="46"/>
      <c r="P788" s="46"/>
      <c r="R788" s="15">
        <v>1.54E-2</v>
      </c>
      <c r="S788" s="18">
        <f>(Tabela25[[#This Row],[FRETE]]+Tabela25[[#This Row],[DESPESAS]]+Tabela25[[#This Row],[IPI]]+Tabela25[[#This Row],[Vl. Produto]])*Tabela25[[#This Row],[Aliq.%]]</f>
        <v>0</v>
      </c>
    </row>
    <row r="789" spans="13:19" x14ac:dyDescent="0.25">
      <c r="M789" s="46"/>
      <c r="N789" s="46"/>
      <c r="O789" s="46"/>
      <c r="P789" s="46"/>
      <c r="R789" s="15">
        <v>1.54E-2</v>
      </c>
      <c r="S789" s="18">
        <f>(Tabela25[[#This Row],[FRETE]]+Tabela25[[#This Row],[DESPESAS]]+Tabela25[[#This Row],[IPI]]+Tabela25[[#This Row],[Vl. Produto]])*Tabela25[[#This Row],[Aliq.%]]</f>
        <v>0</v>
      </c>
    </row>
    <row r="790" spans="13:19" x14ac:dyDescent="0.25">
      <c r="M790" s="46"/>
      <c r="N790" s="46"/>
      <c r="O790" s="46"/>
      <c r="P790" s="46"/>
      <c r="R790" s="15">
        <v>1.54E-2</v>
      </c>
      <c r="S790" s="18">
        <f>(Tabela25[[#This Row],[FRETE]]+Tabela25[[#This Row],[DESPESAS]]+Tabela25[[#This Row],[IPI]]+Tabela25[[#This Row],[Vl. Produto]])*Tabela25[[#This Row],[Aliq.%]]</f>
        <v>0</v>
      </c>
    </row>
    <row r="791" spans="13:19" x14ac:dyDescent="0.25">
      <c r="M791" s="46"/>
      <c r="N791" s="46"/>
      <c r="O791" s="46"/>
      <c r="P791" s="46"/>
      <c r="R791" s="15">
        <v>1.54E-2</v>
      </c>
      <c r="S791" s="18">
        <f>(Tabela25[[#This Row],[FRETE]]+Tabela25[[#This Row],[DESPESAS]]+Tabela25[[#This Row],[IPI]]+Tabela25[[#This Row],[Vl. Produto]])*Tabela25[[#This Row],[Aliq.%]]</f>
        <v>0</v>
      </c>
    </row>
    <row r="792" spans="13:19" x14ac:dyDescent="0.25">
      <c r="M792" s="46"/>
      <c r="N792" s="46"/>
      <c r="O792" s="46"/>
      <c r="P792" s="46"/>
      <c r="R792" s="15">
        <v>1.54E-2</v>
      </c>
      <c r="S792" s="18">
        <f>(Tabela25[[#This Row],[FRETE]]+Tabela25[[#This Row],[DESPESAS]]+Tabela25[[#This Row],[IPI]]+Tabela25[[#This Row],[Vl. Produto]])*Tabela25[[#This Row],[Aliq.%]]</f>
        <v>0</v>
      </c>
    </row>
    <row r="793" spans="13:19" x14ac:dyDescent="0.25">
      <c r="M793" s="46"/>
      <c r="N793" s="46"/>
      <c r="O793" s="46"/>
      <c r="P793" s="46"/>
      <c r="R793" s="15">
        <v>1.54E-2</v>
      </c>
      <c r="S793" s="18">
        <f>(Tabela25[[#This Row],[FRETE]]+Tabela25[[#This Row],[DESPESAS]]+Tabela25[[#This Row],[IPI]]+Tabela25[[#This Row],[Vl. Produto]])*Tabela25[[#This Row],[Aliq.%]]</f>
        <v>0</v>
      </c>
    </row>
    <row r="794" spans="13:19" x14ac:dyDescent="0.25">
      <c r="M794" s="46"/>
      <c r="N794" s="46"/>
      <c r="O794" s="46"/>
      <c r="P794" s="46"/>
      <c r="R794" s="15">
        <v>1.54E-2</v>
      </c>
      <c r="S794" s="18">
        <f>(Tabela25[[#This Row],[FRETE]]+Tabela25[[#This Row],[DESPESAS]]+Tabela25[[#This Row],[IPI]]+Tabela25[[#This Row],[Vl. Produto]])*Tabela25[[#This Row],[Aliq.%]]</f>
        <v>0</v>
      </c>
    </row>
    <row r="795" spans="13:19" x14ac:dyDescent="0.25">
      <c r="M795" s="46"/>
      <c r="N795" s="46"/>
      <c r="O795" s="46"/>
      <c r="P795" s="46"/>
      <c r="R795" s="15">
        <v>1.54E-2</v>
      </c>
      <c r="S795" s="18">
        <f>(Tabela25[[#This Row],[FRETE]]+Tabela25[[#This Row],[DESPESAS]]+Tabela25[[#This Row],[IPI]]+Tabela25[[#This Row],[Vl. Produto]])*Tabela25[[#This Row],[Aliq.%]]</f>
        <v>0</v>
      </c>
    </row>
    <row r="796" spans="13:19" x14ac:dyDescent="0.25">
      <c r="M796" s="46"/>
      <c r="N796" s="46"/>
      <c r="O796" s="46"/>
      <c r="P796" s="46"/>
      <c r="R796" s="15">
        <v>1.54E-2</v>
      </c>
      <c r="S796" s="18">
        <f>(Tabela25[[#This Row],[FRETE]]+Tabela25[[#This Row],[DESPESAS]]+Tabela25[[#This Row],[IPI]]+Tabela25[[#This Row],[Vl. Produto]])*Tabela25[[#This Row],[Aliq.%]]</f>
        <v>0</v>
      </c>
    </row>
    <row r="797" spans="13:19" x14ac:dyDescent="0.25">
      <c r="M797" s="46"/>
      <c r="N797" s="46"/>
      <c r="O797" s="46"/>
      <c r="P797" s="46"/>
      <c r="R797" s="15">
        <v>1.54E-2</v>
      </c>
      <c r="S797" s="18">
        <f>(Tabela25[[#This Row],[FRETE]]+Tabela25[[#This Row],[DESPESAS]]+Tabela25[[#This Row],[IPI]]+Tabela25[[#This Row],[Vl. Produto]])*Tabela25[[#This Row],[Aliq.%]]</f>
        <v>0</v>
      </c>
    </row>
    <row r="798" spans="13:19" x14ac:dyDescent="0.25">
      <c r="M798" s="46"/>
      <c r="N798" s="46"/>
      <c r="O798" s="46"/>
      <c r="P798" s="46"/>
      <c r="R798" s="15">
        <v>1.54E-2</v>
      </c>
      <c r="S798" s="18">
        <f>(Tabela25[[#This Row],[FRETE]]+Tabela25[[#This Row],[DESPESAS]]+Tabela25[[#This Row],[IPI]]+Tabela25[[#This Row],[Vl. Produto]])*Tabela25[[#This Row],[Aliq.%]]</f>
        <v>0</v>
      </c>
    </row>
    <row r="799" spans="13:19" x14ac:dyDescent="0.25">
      <c r="M799" s="46"/>
      <c r="N799" s="46"/>
      <c r="O799" s="46"/>
      <c r="P799" s="46"/>
      <c r="R799" s="15">
        <v>1.54E-2</v>
      </c>
      <c r="S799" s="18">
        <f>(Tabela25[[#This Row],[FRETE]]+Tabela25[[#This Row],[DESPESAS]]+Tabela25[[#This Row],[IPI]]+Tabela25[[#This Row],[Vl. Produto]])*Tabela25[[#This Row],[Aliq.%]]</f>
        <v>0</v>
      </c>
    </row>
    <row r="800" spans="13:19" x14ac:dyDescent="0.25">
      <c r="M800" s="46"/>
      <c r="N800" s="46"/>
      <c r="O800" s="46"/>
      <c r="P800" s="46"/>
      <c r="R800" s="15">
        <v>1.54E-2</v>
      </c>
      <c r="S800" s="18">
        <f>(Tabela25[[#This Row],[FRETE]]+Tabela25[[#This Row],[DESPESAS]]+Tabela25[[#This Row],[IPI]]+Tabela25[[#This Row],[Vl. Produto]])*Tabela25[[#This Row],[Aliq.%]]</f>
        <v>0</v>
      </c>
    </row>
    <row r="801" spans="13:19" x14ac:dyDescent="0.25">
      <c r="M801" s="46"/>
      <c r="N801" s="46"/>
      <c r="O801" s="46"/>
      <c r="P801" s="46"/>
      <c r="R801" s="15">
        <v>1.54E-2</v>
      </c>
      <c r="S801" s="18">
        <f>(Tabela25[[#This Row],[FRETE]]+Tabela25[[#This Row],[DESPESAS]]+Tabela25[[#This Row],[IPI]]+Tabela25[[#This Row],[Vl. Produto]])*Tabela25[[#This Row],[Aliq.%]]</f>
        <v>0</v>
      </c>
    </row>
    <row r="802" spans="13:19" x14ac:dyDescent="0.25">
      <c r="M802" s="46"/>
      <c r="N802" s="46"/>
      <c r="O802" s="46"/>
      <c r="P802" s="46"/>
      <c r="R802" s="15">
        <v>1.54E-2</v>
      </c>
      <c r="S802" s="18">
        <f>(Tabela25[[#This Row],[FRETE]]+Tabela25[[#This Row],[DESPESAS]]+Tabela25[[#This Row],[IPI]]+Tabela25[[#This Row],[Vl. Produto]])*Tabela25[[#This Row],[Aliq.%]]</f>
        <v>0</v>
      </c>
    </row>
    <row r="803" spans="13:19" x14ac:dyDescent="0.25">
      <c r="M803" s="46"/>
      <c r="N803" s="46"/>
      <c r="O803" s="46"/>
      <c r="P803" s="46"/>
      <c r="R803" s="15">
        <v>1.54E-2</v>
      </c>
      <c r="S803" s="18">
        <f>(Tabela25[[#This Row],[FRETE]]+Tabela25[[#This Row],[DESPESAS]]+Tabela25[[#This Row],[IPI]]+Tabela25[[#This Row],[Vl. Produto]])*Tabela25[[#This Row],[Aliq.%]]</f>
        <v>0</v>
      </c>
    </row>
    <row r="804" spans="13:19" x14ac:dyDescent="0.25">
      <c r="M804" s="46"/>
      <c r="N804" s="46"/>
      <c r="O804" s="46"/>
      <c r="P804" s="46"/>
      <c r="R804" s="15">
        <v>1.54E-2</v>
      </c>
      <c r="S804" s="18">
        <f>(Tabela25[[#This Row],[FRETE]]+Tabela25[[#This Row],[DESPESAS]]+Tabela25[[#This Row],[IPI]]+Tabela25[[#This Row],[Vl. Produto]])*Tabela25[[#This Row],[Aliq.%]]</f>
        <v>0</v>
      </c>
    </row>
    <row r="805" spans="13:19" x14ac:dyDescent="0.25">
      <c r="M805" s="46"/>
      <c r="N805" s="46"/>
      <c r="O805" s="46"/>
      <c r="P805" s="46"/>
      <c r="R805" s="15">
        <v>1.54E-2</v>
      </c>
      <c r="S805" s="18">
        <f>(Tabela25[[#This Row],[FRETE]]+Tabela25[[#This Row],[DESPESAS]]+Tabela25[[#This Row],[IPI]]+Tabela25[[#This Row],[Vl. Produto]])*Tabela25[[#This Row],[Aliq.%]]</f>
        <v>0</v>
      </c>
    </row>
    <row r="806" spans="13:19" x14ac:dyDescent="0.25">
      <c r="M806" s="46"/>
      <c r="N806" s="46"/>
      <c r="O806" s="46"/>
      <c r="P806" s="46"/>
      <c r="R806" s="15">
        <v>1.54E-2</v>
      </c>
      <c r="S806" s="18">
        <f>(Tabela25[[#This Row],[FRETE]]+Tabela25[[#This Row],[DESPESAS]]+Tabela25[[#This Row],[IPI]]+Tabela25[[#This Row],[Vl. Produto]])*Tabela25[[#This Row],[Aliq.%]]</f>
        <v>0</v>
      </c>
    </row>
    <row r="807" spans="13:19" x14ac:dyDescent="0.25">
      <c r="M807" s="46"/>
      <c r="N807" s="46"/>
      <c r="O807" s="46"/>
      <c r="P807" s="46"/>
      <c r="R807" s="15">
        <v>1.54E-2</v>
      </c>
      <c r="S807" s="18">
        <f>(Tabela25[[#This Row],[FRETE]]+Tabela25[[#This Row],[DESPESAS]]+Tabela25[[#This Row],[IPI]]+Tabela25[[#This Row],[Vl. Produto]])*Tabela25[[#This Row],[Aliq.%]]</f>
        <v>0</v>
      </c>
    </row>
    <row r="808" spans="13:19" x14ac:dyDescent="0.25">
      <c r="M808" s="46"/>
      <c r="N808" s="46"/>
      <c r="O808" s="46"/>
      <c r="P808" s="46"/>
      <c r="R808" s="15">
        <v>1.54E-2</v>
      </c>
      <c r="S808" s="18">
        <f>(Tabela25[[#This Row],[FRETE]]+Tabela25[[#This Row],[DESPESAS]]+Tabela25[[#This Row],[IPI]]+Tabela25[[#This Row],[Vl. Produto]])*Tabela25[[#This Row],[Aliq.%]]</f>
        <v>0</v>
      </c>
    </row>
    <row r="809" spans="13:19" x14ac:dyDescent="0.25">
      <c r="M809" s="46"/>
      <c r="N809" s="46"/>
      <c r="O809" s="46"/>
      <c r="P809" s="46"/>
      <c r="R809" s="15">
        <v>1.54E-2</v>
      </c>
      <c r="S809" s="18">
        <f>(Tabela25[[#This Row],[FRETE]]+Tabela25[[#This Row],[DESPESAS]]+Tabela25[[#This Row],[IPI]]+Tabela25[[#This Row],[Vl. Produto]])*Tabela25[[#This Row],[Aliq.%]]</f>
        <v>0</v>
      </c>
    </row>
    <row r="810" spans="13:19" x14ac:dyDescent="0.25">
      <c r="M810" s="46"/>
      <c r="N810" s="46"/>
      <c r="O810" s="46"/>
      <c r="P810" s="46"/>
      <c r="R810" s="15">
        <v>1.54E-2</v>
      </c>
      <c r="S810" s="18">
        <f>(Tabela25[[#This Row],[FRETE]]+Tabela25[[#This Row],[DESPESAS]]+Tabela25[[#This Row],[IPI]]+Tabela25[[#This Row],[Vl. Produto]])*Tabela25[[#This Row],[Aliq.%]]</f>
        <v>0</v>
      </c>
    </row>
    <row r="811" spans="13:19" x14ac:dyDescent="0.25">
      <c r="M811" s="46"/>
      <c r="N811" s="46"/>
      <c r="O811" s="46"/>
      <c r="P811" s="46"/>
      <c r="R811" s="15">
        <v>1.54E-2</v>
      </c>
      <c r="S811" s="18">
        <f>(Tabela25[[#This Row],[FRETE]]+Tabela25[[#This Row],[DESPESAS]]+Tabela25[[#This Row],[IPI]]+Tabela25[[#This Row],[Vl. Produto]])*Tabela25[[#This Row],[Aliq.%]]</f>
        <v>0</v>
      </c>
    </row>
    <row r="812" spans="13:19" x14ac:dyDescent="0.25">
      <c r="M812" s="46"/>
      <c r="N812" s="46"/>
      <c r="O812" s="46"/>
      <c r="P812" s="46"/>
      <c r="R812" s="15">
        <v>1.54E-2</v>
      </c>
      <c r="S812" s="18">
        <f>(Tabela25[[#This Row],[FRETE]]+Tabela25[[#This Row],[DESPESAS]]+Tabela25[[#This Row],[IPI]]+Tabela25[[#This Row],[Vl. Produto]])*Tabela25[[#This Row],[Aliq.%]]</f>
        <v>0</v>
      </c>
    </row>
    <row r="813" spans="13:19" x14ac:dyDescent="0.25">
      <c r="M813" s="46"/>
      <c r="N813" s="46"/>
      <c r="O813" s="46"/>
      <c r="P813" s="46"/>
      <c r="R813" s="15">
        <v>1.54E-2</v>
      </c>
      <c r="S813" s="18">
        <f>(Tabela25[[#This Row],[FRETE]]+Tabela25[[#This Row],[DESPESAS]]+Tabela25[[#This Row],[IPI]]+Tabela25[[#This Row],[Vl. Produto]])*Tabela25[[#This Row],[Aliq.%]]</f>
        <v>0</v>
      </c>
    </row>
    <row r="814" spans="13:19" x14ac:dyDescent="0.25">
      <c r="M814" s="46"/>
      <c r="N814" s="46"/>
      <c r="O814" s="46"/>
      <c r="P814" s="46"/>
      <c r="R814" s="15">
        <v>1.54E-2</v>
      </c>
      <c r="S814" s="18">
        <f>(Tabela25[[#This Row],[FRETE]]+Tabela25[[#This Row],[DESPESAS]]+Tabela25[[#This Row],[IPI]]+Tabela25[[#This Row],[Vl. Produto]])*Tabela25[[#This Row],[Aliq.%]]</f>
        <v>0</v>
      </c>
    </row>
    <row r="815" spans="13:19" x14ac:dyDescent="0.25">
      <c r="M815" s="46"/>
      <c r="N815" s="46"/>
      <c r="O815" s="46"/>
      <c r="P815" s="46"/>
      <c r="R815" s="15">
        <v>1.54E-2</v>
      </c>
      <c r="S815" s="18">
        <f>(Tabela25[[#This Row],[FRETE]]+Tabela25[[#This Row],[DESPESAS]]+Tabela25[[#This Row],[IPI]]+Tabela25[[#This Row],[Vl. Produto]])*Tabela25[[#This Row],[Aliq.%]]</f>
        <v>0</v>
      </c>
    </row>
    <row r="816" spans="13:19" x14ac:dyDescent="0.25">
      <c r="M816" s="46"/>
      <c r="N816" s="46"/>
      <c r="O816" s="46"/>
      <c r="P816" s="46"/>
      <c r="R816" s="15">
        <v>1.54E-2</v>
      </c>
      <c r="S816" s="18">
        <f>(Tabela25[[#This Row],[FRETE]]+Tabela25[[#This Row],[DESPESAS]]+Tabela25[[#This Row],[IPI]]+Tabela25[[#This Row],[Vl. Produto]])*Tabela25[[#This Row],[Aliq.%]]</f>
        <v>0</v>
      </c>
    </row>
    <row r="817" spans="13:19" x14ac:dyDescent="0.25">
      <c r="M817" s="46"/>
      <c r="N817" s="46"/>
      <c r="O817" s="46"/>
      <c r="P817" s="46"/>
      <c r="R817" s="15">
        <v>1.54E-2</v>
      </c>
      <c r="S817" s="18">
        <f>(Tabela25[[#This Row],[FRETE]]+Tabela25[[#This Row],[DESPESAS]]+Tabela25[[#This Row],[IPI]]+Tabela25[[#This Row],[Vl. Produto]])*Tabela25[[#This Row],[Aliq.%]]</f>
        <v>0</v>
      </c>
    </row>
    <row r="818" spans="13:19" x14ac:dyDescent="0.25">
      <c r="M818" s="46"/>
      <c r="N818" s="46"/>
      <c r="O818" s="46"/>
      <c r="P818" s="46"/>
      <c r="R818" s="15">
        <v>1.54E-2</v>
      </c>
      <c r="S818" s="18">
        <f>(Tabela25[[#This Row],[FRETE]]+Tabela25[[#This Row],[DESPESAS]]+Tabela25[[#This Row],[IPI]]+Tabela25[[#This Row],[Vl. Produto]])*Tabela25[[#This Row],[Aliq.%]]</f>
        <v>0</v>
      </c>
    </row>
    <row r="819" spans="13:19" x14ac:dyDescent="0.25">
      <c r="M819" s="46"/>
      <c r="N819" s="46"/>
      <c r="O819" s="46"/>
      <c r="P819" s="46"/>
      <c r="R819" s="15">
        <v>1.54E-2</v>
      </c>
      <c r="S819" s="18">
        <f>(Tabela25[[#This Row],[FRETE]]+Tabela25[[#This Row],[DESPESAS]]+Tabela25[[#This Row],[IPI]]+Tabela25[[#This Row],[Vl. Produto]])*Tabela25[[#This Row],[Aliq.%]]</f>
        <v>0</v>
      </c>
    </row>
    <row r="820" spans="13:19" x14ac:dyDescent="0.25">
      <c r="M820" s="46"/>
      <c r="N820" s="46"/>
      <c r="O820" s="46"/>
      <c r="P820" s="46"/>
      <c r="R820" s="15">
        <v>1.54E-2</v>
      </c>
      <c r="S820" s="18">
        <f>(Tabela25[[#This Row],[FRETE]]+Tabela25[[#This Row],[DESPESAS]]+Tabela25[[#This Row],[IPI]]+Tabela25[[#This Row],[Vl. Produto]])*Tabela25[[#This Row],[Aliq.%]]</f>
        <v>0</v>
      </c>
    </row>
    <row r="821" spans="13:19" x14ac:dyDescent="0.25">
      <c r="M821" s="46"/>
      <c r="N821" s="46"/>
      <c r="O821" s="46"/>
      <c r="P821" s="46"/>
      <c r="R821" s="15">
        <v>1.54E-2</v>
      </c>
      <c r="S821" s="18">
        <f>(Tabela25[[#This Row],[FRETE]]+Tabela25[[#This Row],[DESPESAS]]+Tabela25[[#This Row],[IPI]]+Tabela25[[#This Row],[Vl. Produto]])*Tabela25[[#This Row],[Aliq.%]]</f>
        <v>0</v>
      </c>
    </row>
    <row r="822" spans="13:19" x14ac:dyDescent="0.25">
      <c r="M822" s="46"/>
      <c r="N822" s="46"/>
      <c r="O822" s="46"/>
      <c r="P822" s="46"/>
      <c r="R822" s="15">
        <v>1.54E-2</v>
      </c>
      <c r="S822" s="18">
        <f>(Tabela25[[#This Row],[FRETE]]+Tabela25[[#This Row],[DESPESAS]]+Tabela25[[#This Row],[IPI]]+Tabela25[[#This Row],[Vl. Produto]])*Tabela25[[#This Row],[Aliq.%]]</f>
        <v>0</v>
      </c>
    </row>
    <row r="823" spans="13:19" x14ac:dyDescent="0.25">
      <c r="M823" s="46"/>
      <c r="N823" s="46"/>
      <c r="O823" s="46"/>
      <c r="P823" s="46"/>
      <c r="R823" s="15">
        <v>1.54E-2</v>
      </c>
      <c r="S823" s="18">
        <f>(Tabela25[[#This Row],[FRETE]]+Tabela25[[#This Row],[DESPESAS]]+Tabela25[[#This Row],[IPI]]+Tabela25[[#This Row],[Vl. Produto]])*Tabela25[[#This Row],[Aliq.%]]</f>
        <v>0</v>
      </c>
    </row>
    <row r="824" spans="13:19" x14ac:dyDescent="0.25">
      <c r="M824" s="46"/>
      <c r="N824" s="46"/>
      <c r="O824" s="46"/>
      <c r="P824" s="46"/>
      <c r="R824" s="15">
        <v>1.54E-2</v>
      </c>
      <c r="S824" s="18">
        <f>(Tabela25[[#This Row],[FRETE]]+Tabela25[[#This Row],[DESPESAS]]+Tabela25[[#This Row],[IPI]]+Tabela25[[#This Row],[Vl. Produto]])*Tabela25[[#This Row],[Aliq.%]]</f>
        <v>0</v>
      </c>
    </row>
    <row r="825" spans="13:19" x14ac:dyDescent="0.25">
      <c r="M825" s="46"/>
      <c r="N825" s="46"/>
      <c r="O825" s="46"/>
      <c r="P825" s="46"/>
      <c r="R825" s="15">
        <v>1.54E-2</v>
      </c>
      <c r="S825" s="18">
        <f>(Tabela25[[#This Row],[FRETE]]+Tabela25[[#This Row],[DESPESAS]]+Tabela25[[#This Row],[IPI]]+Tabela25[[#This Row],[Vl. Produto]])*Tabela25[[#This Row],[Aliq.%]]</f>
        <v>0</v>
      </c>
    </row>
    <row r="826" spans="13:19" x14ac:dyDescent="0.25">
      <c r="M826" s="46"/>
      <c r="N826" s="46"/>
      <c r="O826" s="46"/>
      <c r="P826" s="46"/>
      <c r="R826" s="15">
        <v>1.54E-2</v>
      </c>
      <c r="S826" s="18">
        <f>(Tabela25[[#This Row],[FRETE]]+Tabela25[[#This Row],[DESPESAS]]+Tabela25[[#This Row],[IPI]]+Tabela25[[#This Row],[Vl. Produto]])*Tabela25[[#This Row],[Aliq.%]]</f>
        <v>0</v>
      </c>
    </row>
    <row r="827" spans="13:19" x14ac:dyDescent="0.25">
      <c r="M827" s="46"/>
      <c r="N827" s="46"/>
      <c r="O827" s="46"/>
      <c r="P827" s="46"/>
      <c r="R827" s="15">
        <v>1.54E-2</v>
      </c>
      <c r="S827" s="18">
        <f>(Tabela25[[#This Row],[FRETE]]+Tabela25[[#This Row],[DESPESAS]]+Tabela25[[#This Row],[IPI]]+Tabela25[[#This Row],[Vl. Produto]])*Tabela25[[#This Row],[Aliq.%]]</f>
        <v>0</v>
      </c>
    </row>
    <row r="828" spans="13:19" x14ac:dyDescent="0.25">
      <c r="M828" s="46"/>
      <c r="N828" s="46"/>
      <c r="O828" s="46"/>
      <c r="P828" s="46"/>
      <c r="R828" s="15">
        <v>1.54E-2</v>
      </c>
      <c r="S828" s="18">
        <f>(Tabela25[[#This Row],[FRETE]]+Tabela25[[#This Row],[DESPESAS]]+Tabela25[[#This Row],[IPI]]+Tabela25[[#This Row],[Vl. Produto]])*Tabela25[[#This Row],[Aliq.%]]</f>
        <v>0</v>
      </c>
    </row>
    <row r="829" spans="13:19" x14ac:dyDescent="0.25">
      <c r="M829" s="46"/>
      <c r="N829" s="46"/>
      <c r="O829" s="46"/>
      <c r="P829" s="46"/>
      <c r="R829" s="15">
        <v>1.54E-2</v>
      </c>
      <c r="S829" s="18">
        <f>(Tabela25[[#This Row],[FRETE]]+Tabela25[[#This Row],[DESPESAS]]+Tabela25[[#This Row],[IPI]]+Tabela25[[#This Row],[Vl. Produto]])*Tabela25[[#This Row],[Aliq.%]]</f>
        <v>0</v>
      </c>
    </row>
    <row r="830" spans="13:19" x14ac:dyDescent="0.25">
      <c r="M830" s="46"/>
      <c r="N830" s="46"/>
      <c r="O830" s="46"/>
      <c r="P830" s="46"/>
      <c r="R830" s="15">
        <v>1.54E-2</v>
      </c>
      <c r="S830" s="18">
        <f>(Tabela25[[#This Row],[FRETE]]+Tabela25[[#This Row],[DESPESAS]]+Tabela25[[#This Row],[IPI]]+Tabela25[[#This Row],[Vl. Produto]])*Tabela25[[#This Row],[Aliq.%]]</f>
        <v>0</v>
      </c>
    </row>
    <row r="831" spans="13:19" x14ac:dyDescent="0.25">
      <c r="M831" s="46"/>
      <c r="N831" s="46"/>
      <c r="O831" s="46"/>
      <c r="P831" s="46"/>
      <c r="R831" s="15">
        <v>1.54E-2</v>
      </c>
      <c r="S831" s="18">
        <f>(Tabela25[[#This Row],[FRETE]]+Tabela25[[#This Row],[DESPESAS]]+Tabela25[[#This Row],[IPI]]+Tabela25[[#This Row],[Vl. Produto]])*Tabela25[[#This Row],[Aliq.%]]</f>
        <v>0</v>
      </c>
    </row>
    <row r="832" spans="13:19" x14ac:dyDescent="0.25">
      <c r="M832" s="46"/>
      <c r="N832" s="46"/>
      <c r="O832" s="46"/>
      <c r="P832" s="46"/>
      <c r="R832" s="15">
        <v>1.54E-2</v>
      </c>
      <c r="S832" s="18">
        <f>(Tabela25[[#This Row],[FRETE]]+Tabela25[[#This Row],[DESPESAS]]+Tabela25[[#This Row],[IPI]]+Tabela25[[#This Row],[Vl. Produto]])*Tabela25[[#This Row],[Aliq.%]]</f>
        <v>0</v>
      </c>
    </row>
    <row r="833" spans="13:19" x14ac:dyDescent="0.25">
      <c r="M833" s="46"/>
      <c r="N833" s="46"/>
      <c r="O833" s="46"/>
      <c r="P833" s="46"/>
      <c r="R833" s="15">
        <v>1.54E-2</v>
      </c>
      <c r="S833" s="18">
        <f>(Tabela25[[#This Row],[FRETE]]+Tabela25[[#This Row],[DESPESAS]]+Tabela25[[#This Row],[IPI]]+Tabela25[[#This Row],[Vl. Produto]])*Tabela25[[#This Row],[Aliq.%]]</f>
        <v>0</v>
      </c>
    </row>
    <row r="834" spans="13:19" x14ac:dyDescent="0.25">
      <c r="M834" s="46"/>
      <c r="N834" s="46"/>
      <c r="O834" s="46"/>
      <c r="P834" s="46"/>
      <c r="R834" s="15">
        <v>1.54E-2</v>
      </c>
      <c r="S834" s="18">
        <f>(Tabela25[[#This Row],[FRETE]]+Tabela25[[#This Row],[DESPESAS]]+Tabela25[[#This Row],[IPI]]+Tabela25[[#This Row],[Vl. Produto]])*Tabela25[[#This Row],[Aliq.%]]</f>
        <v>0</v>
      </c>
    </row>
    <row r="835" spans="13:19" x14ac:dyDescent="0.25">
      <c r="M835" s="46"/>
      <c r="N835" s="46"/>
      <c r="O835" s="46"/>
      <c r="P835" s="46"/>
      <c r="R835" s="15">
        <v>1.54E-2</v>
      </c>
      <c r="S835" s="18">
        <f>(Tabela25[[#This Row],[FRETE]]+Tabela25[[#This Row],[DESPESAS]]+Tabela25[[#This Row],[IPI]]+Tabela25[[#This Row],[Vl. Produto]])*Tabela25[[#This Row],[Aliq.%]]</f>
        <v>0</v>
      </c>
    </row>
    <row r="836" spans="13:19" x14ac:dyDescent="0.25">
      <c r="M836" s="46"/>
      <c r="N836" s="46"/>
      <c r="O836" s="46"/>
      <c r="P836" s="46"/>
      <c r="R836" s="15">
        <v>1.54E-2</v>
      </c>
      <c r="S836" s="18">
        <f>(Tabela25[[#This Row],[FRETE]]+Tabela25[[#This Row],[DESPESAS]]+Tabela25[[#This Row],[IPI]]+Tabela25[[#This Row],[Vl. Produto]])*Tabela25[[#This Row],[Aliq.%]]</f>
        <v>0</v>
      </c>
    </row>
    <row r="837" spans="13:19" x14ac:dyDescent="0.25">
      <c r="M837" s="46"/>
      <c r="N837" s="46"/>
      <c r="O837" s="46"/>
      <c r="P837" s="46"/>
      <c r="R837" s="15">
        <v>1.54E-2</v>
      </c>
      <c r="S837" s="18">
        <f>(Tabela25[[#This Row],[FRETE]]+Tabela25[[#This Row],[DESPESAS]]+Tabela25[[#This Row],[IPI]]+Tabela25[[#This Row],[Vl. Produto]])*Tabela25[[#This Row],[Aliq.%]]</f>
        <v>0</v>
      </c>
    </row>
    <row r="838" spans="13:19" x14ac:dyDescent="0.25">
      <c r="M838" s="46"/>
      <c r="N838" s="46"/>
      <c r="O838" s="46"/>
      <c r="P838" s="46"/>
      <c r="R838" s="15">
        <v>1.54E-2</v>
      </c>
      <c r="S838" s="18">
        <f>(Tabela25[[#This Row],[FRETE]]+Tabela25[[#This Row],[DESPESAS]]+Tabela25[[#This Row],[IPI]]+Tabela25[[#This Row],[Vl. Produto]])*Tabela25[[#This Row],[Aliq.%]]</f>
        <v>0</v>
      </c>
    </row>
    <row r="839" spans="13:19" x14ac:dyDescent="0.25">
      <c r="M839" s="46"/>
      <c r="N839" s="46"/>
      <c r="O839" s="46"/>
      <c r="P839" s="46"/>
      <c r="R839" s="15">
        <v>1.54E-2</v>
      </c>
      <c r="S839" s="18">
        <f>(Tabela25[[#This Row],[FRETE]]+Tabela25[[#This Row],[DESPESAS]]+Tabela25[[#This Row],[IPI]]+Tabela25[[#This Row],[Vl. Produto]])*Tabela25[[#This Row],[Aliq.%]]</f>
        <v>0</v>
      </c>
    </row>
    <row r="840" spans="13:19" x14ac:dyDescent="0.25">
      <c r="M840" s="46"/>
      <c r="N840" s="46"/>
      <c r="O840" s="46"/>
      <c r="P840" s="46"/>
      <c r="R840" s="15">
        <v>1.54E-2</v>
      </c>
      <c r="S840" s="18">
        <f>(Tabela25[[#This Row],[FRETE]]+Tabela25[[#This Row],[DESPESAS]]+Tabela25[[#This Row],[IPI]]+Tabela25[[#This Row],[Vl. Produto]])*Tabela25[[#This Row],[Aliq.%]]</f>
        <v>0</v>
      </c>
    </row>
    <row r="841" spans="13:19" x14ac:dyDescent="0.25">
      <c r="M841" s="46"/>
      <c r="N841" s="46"/>
      <c r="O841" s="46"/>
      <c r="P841" s="46"/>
      <c r="R841" s="15">
        <v>1.54E-2</v>
      </c>
      <c r="S841" s="18">
        <f>(Tabela25[[#This Row],[FRETE]]+Tabela25[[#This Row],[DESPESAS]]+Tabela25[[#This Row],[IPI]]+Tabela25[[#This Row],[Vl. Produto]])*Tabela25[[#This Row],[Aliq.%]]</f>
        <v>0</v>
      </c>
    </row>
    <row r="842" spans="13:19" x14ac:dyDescent="0.25">
      <c r="M842" s="46"/>
      <c r="N842" s="46"/>
      <c r="O842" s="46"/>
      <c r="P842" s="46"/>
      <c r="R842" s="15">
        <v>1.54E-2</v>
      </c>
      <c r="S842" s="18">
        <f>(Tabela25[[#This Row],[FRETE]]+Tabela25[[#This Row],[DESPESAS]]+Tabela25[[#This Row],[IPI]]+Tabela25[[#This Row],[Vl. Produto]])*Tabela25[[#This Row],[Aliq.%]]</f>
        <v>0</v>
      </c>
    </row>
    <row r="843" spans="13:19" x14ac:dyDescent="0.25">
      <c r="M843" s="46"/>
      <c r="N843" s="46"/>
      <c r="O843" s="46"/>
      <c r="P843" s="46"/>
      <c r="R843" s="15">
        <v>1.54E-2</v>
      </c>
      <c r="S843" s="18">
        <f>(Tabela25[[#This Row],[FRETE]]+Tabela25[[#This Row],[DESPESAS]]+Tabela25[[#This Row],[IPI]]+Tabela25[[#This Row],[Vl. Produto]])*Tabela25[[#This Row],[Aliq.%]]</f>
        <v>0</v>
      </c>
    </row>
    <row r="844" spans="13:19" x14ac:dyDescent="0.25">
      <c r="M844" s="46"/>
      <c r="N844" s="46"/>
      <c r="O844" s="46"/>
      <c r="P844" s="46"/>
      <c r="R844" s="15">
        <v>1.54E-2</v>
      </c>
      <c r="S844" s="18">
        <f>(Tabela25[[#This Row],[FRETE]]+Tabela25[[#This Row],[DESPESAS]]+Tabela25[[#This Row],[IPI]]+Tabela25[[#This Row],[Vl. Produto]])*Tabela25[[#This Row],[Aliq.%]]</f>
        <v>0</v>
      </c>
    </row>
    <row r="845" spans="13:19" x14ac:dyDescent="0.25">
      <c r="M845" s="46"/>
      <c r="N845" s="46"/>
      <c r="O845" s="46"/>
      <c r="P845" s="46"/>
      <c r="R845" s="15">
        <v>1.54E-2</v>
      </c>
      <c r="S845" s="18">
        <f>(Tabela25[[#This Row],[FRETE]]+Tabela25[[#This Row],[DESPESAS]]+Tabela25[[#This Row],[IPI]]+Tabela25[[#This Row],[Vl. Produto]])*Tabela25[[#This Row],[Aliq.%]]</f>
        <v>0</v>
      </c>
    </row>
    <row r="846" spans="13:19" x14ac:dyDescent="0.25">
      <c r="M846" s="46"/>
      <c r="N846" s="46"/>
      <c r="O846" s="46"/>
      <c r="P846" s="46"/>
      <c r="R846" s="15">
        <v>1.54E-2</v>
      </c>
      <c r="S846" s="18">
        <f>(Tabela25[[#This Row],[FRETE]]+Tabela25[[#This Row],[DESPESAS]]+Tabela25[[#This Row],[IPI]]+Tabela25[[#This Row],[Vl. Produto]])*Tabela25[[#This Row],[Aliq.%]]</f>
        <v>0</v>
      </c>
    </row>
    <row r="847" spans="13:19" x14ac:dyDescent="0.25">
      <c r="M847" s="46"/>
      <c r="N847" s="46"/>
      <c r="O847" s="46"/>
      <c r="P847" s="46"/>
      <c r="R847" s="15">
        <v>1.54E-2</v>
      </c>
      <c r="S847" s="18">
        <f>(Tabela25[[#This Row],[FRETE]]+Tabela25[[#This Row],[DESPESAS]]+Tabela25[[#This Row],[IPI]]+Tabela25[[#This Row],[Vl. Produto]])*Tabela25[[#This Row],[Aliq.%]]</f>
        <v>0</v>
      </c>
    </row>
    <row r="848" spans="13:19" x14ac:dyDescent="0.25">
      <c r="M848" s="46"/>
      <c r="N848" s="46"/>
      <c r="O848" s="46"/>
      <c r="P848" s="46"/>
      <c r="R848" s="15">
        <v>1.54E-2</v>
      </c>
      <c r="S848" s="18">
        <f>(Tabela25[[#This Row],[FRETE]]+Tabela25[[#This Row],[DESPESAS]]+Tabela25[[#This Row],[IPI]]+Tabela25[[#This Row],[Vl. Produto]])*Tabela25[[#This Row],[Aliq.%]]</f>
        <v>0</v>
      </c>
    </row>
    <row r="849" spans="13:19" x14ac:dyDescent="0.25">
      <c r="M849" s="46"/>
      <c r="N849" s="46"/>
      <c r="O849" s="46"/>
      <c r="P849" s="46"/>
      <c r="R849" s="15">
        <v>1.54E-2</v>
      </c>
      <c r="S849" s="18">
        <f>(Tabela25[[#This Row],[FRETE]]+Tabela25[[#This Row],[DESPESAS]]+Tabela25[[#This Row],[IPI]]+Tabela25[[#This Row],[Vl. Produto]])*Tabela25[[#This Row],[Aliq.%]]</f>
        <v>0</v>
      </c>
    </row>
    <row r="850" spans="13:19" x14ac:dyDescent="0.25">
      <c r="M850" s="46"/>
      <c r="N850" s="46"/>
      <c r="O850" s="46"/>
      <c r="P850" s="46"/>
      <c r="R850" s="15">
        <v>1.54E-2</v>
      </c>
      <c r="S850" s="18">
        <f>(Tabela25[[#This Row],[FRETE]]+Tabela25[[#This Row],[DESPESAS]]+Tabela25[[#This Row],[IPI]]+Tabela25[[#This Row],[Vl. Produto]])*Tabela25[[#This Row],[Aliq.%]]</f>
        <v>0</v>
      </c>
    </row>
    <row r="851" spans="13:19" x14ac:dyDescent="0.25">
      <c r="M851" s="46"/>
      <c r="N851" s="46"/>
      <c r="O851" s="46"/>
      <c r="P851" s="46"/>
      <c r="R851" s="15">
        <v>1.54E-2</v>
      </c>
      <c r="S851" s="18">
        <f>(Tabela25[[#This Row],[FRETE]]+Tabela25[[#This Row],[DESPESAS]]+Tabela25[[#This Row],[IPI]]+Tabela25[[#This Row],[Vl. Produto]])*Tabela25[[#This Row],[Aliq.%]]</f>
        <v>0</v>
      </c>
    </row>
    <row r="852" spans="13:19" x14ac:dyDescent="0.25">
      <c r="M852" s="46"/>
      <c r="N852" s="46"/>
      <c r="O852" s="46"/>
      <c r="P852" s="46"/>
      <c r="R852" s="15">
        <v>1.54E-2</v>
      </c>
      <c r="S852" s="18">
        <f>(Tabela25[[#This Row],[FRETE]]+Tabela25[[#This Row],[DESPESAS]]+Tabela25[[#This Row],[IPI]]+Tabela25[[#This Row],[Vl. Produto]])*Tabela25[[#This Row],[Aliq.%]]</f>
        <v>0</v>
      </c>
    </row>
    <row r="853" spans="13:19" x14ac:dyDescent="0.25">
      <c r="M853" s="46"/>
      <c r="N853" s="46"/>
      <c r="O853" s="46"/>
      <c r="P853" s="46"/>
      <c r="R853" s="15">
        <v>1.54E-2</v>
      </c>
      <c r="S853" s="18">
        <f>(Tabela25[[#This Row],[FRETE]]+Tabela25[[#This Row],[DESPESAS]]+Tabela25[[#This Row],[IPI]]+Tabela25[[#This Row],[Vl. Produto]])*Tabela25[[#This Row],[Aliq.%]]</f>
        <v>0</v>
      </c>
    </row>
    <row r="854" spans="13:19" x14ac:dyDescent="0.25">
      <c r="M854" s="46"/>
      <c r="N854" s="46"/>
      <c r="O854" s="46"/>
      <c r="P854" s="46"/>
      <c r="R854" s="15">
        <v>1.54E-2</v>
      </c>
      <c r="S854" s="18">
        <f>(Tabela25[[#This Row],[FRETE]]+Tabela25[[#This Row],[DESPESAS]]+Tabela25[[#This Row],[IPI]]+Tabela25[[#This Row],[Vl. Produto]])*Tabela25[[#This Row],[Aliq.%]]</f>
        <v>0</v>
      </c>
    </row>
    <row r="855" spans="13:19" x14ac:dyDescent="0.25">
      <c r="M855" s="46"/>
      <c r="N855" s="46"/>
      <c r="O855" s="46"/>
      <c r="P855" s="46"/>
      <c r="R855" s="15">
        <v>1.54E-2</v>
      </c>
      <c r="S855" s="18">
        <f>(Tabela25[[#This Row],[FRETE]]+Tabela25[[#This Row],[DESPESAS]]+Tabela25[[#This Row],[IPI]]+Tabela25[[#This Row],[Vl. Produto]])*Tabela25[[#This Row],[Aliq.%]]</f>
        <v>0</v>
      </c>
    </row>
    <row r="856" spans="13:19" x14ac:dyDescent="0.25">
      <c r="M856" s="46"/>
      <c r="N856" s="46"/>
      <c r="O856" s="46"/>
      <c r="P856" s="46"/>
      <c r="R856" s="15">
        <v>1.54E-2</v>
      </c>
      <c r="S856" s="18">
        <f>(Tabela25[[#This Row],[FRETE]]+Tabela25[[#This Row],[DESPESAS]]+Tabela25[[#This Row],[IPI]]+Tabela25[[#This Row],[Vl. Produto]])*Tabela25[[#This Row],[Aliq.%]]</f>
        <v>0</v>
      </c>
    </row>
    <row r="857" spans="13:19" x14ac:dyDescent="0.25">
      <c r="M857" s="46"/>
      <c r="N857" s="46"/>
      <c r="O857" s="46"/>
      <c r="P857" s="46"/>
      <c r="R857" s="15">
        <v>1.54E-2</v>
      </c>
      <c r="S857" s="18">
        <f>(Tabela25[[#This Row],[FRETE]]+Tabela25[[#This Row],[DESPESAS]]+Tabela25[[#This Row],[IPI]]+Tabela25[[#This Row],[Vl. Produto]])*Tabela25[[#This Row],[Aliq.%]]</f>
        <v>0</v>
      </c>
    </row>
    <row r="858" spans="13:19" x14ac:dyDescent="0.25">
      <c r="M858" s="46"/>
      <c r="N858" s="46"/>
      <c r="O858" s="46"/>
      <c r="P858" s="46"/>
      <c r="R858" s="15">
        <v>1.54E-2</v>
      </c>
      <c r="S858" s="18">
        <f>(Tabela25[[#This Row],[FRETE]]+Tabela25[[#This Row],[DESPESAS]]+Tabela25[[#This Row],[IPI]]+Tabela25[[#This Row],[Vl. Produto]])*Tabela25[[#This Row],[Aliq.%]]</f>
        <v>0</v>
      </c>
    </row>
    <row r="859" spans="13:19" x14ac:dyDescent="0.25">
      <c r="M859" s="46"/>
      <c r="N859" s="46"/>
      <c r="O859" s="46"/>
      <c r="P859" s="46"/>
      <c r="R859" s="15">
        <v>1.54E-2</v>
      </c>
      <c r="S859" s="18">
        <f>(Tabela25[[#This Row],[FRETE]]+Tabela25[[#This Row],[DESPESAS]]+Tabela25[[#This Row],[IPI]]+Tabela25[[#This Row],[Vl. Produto]])*Tabela25[[#This Row],[Aliq.%]]</f>
        <v>0</v>
      </c>
    </row>
    <row r="860" spans="13:19" x14ac:dyDescent="0.25">
      <c r="M860" s="46"/>
      <c r="N860" s="46"/>
      <c r="O860" s="46"/>
      <c r="P860" s="46"/>
      <c r="R860" s="15">
        <v>1.54E-2</v>
      </c>
      <c r="S860" s="18">
        <f>(Tabela25[[#This Row],[FRETE]]+Tabela25[[#This Row],[DESPESAS]]+Tabela25[[#This Row],[IPI]]+Tabela25[[#This Row],[Vl. Produto]])*Tabela25[[#This Row],[Aliq.%]]</f>
        <v>0</v>
      </c>
    </row>
    <row r="861" spans="13:19" x14ac:dyDescent="0.25">
      <c r="M861" s="46"/>
      <c r="N861" s="46"/>
      <c r="O861" s="46"/>
      <c r="P861" s="46"/>
      <c r="R861" s="15">
        <v>1.54E-2</v>
      </c>
      <c r="S861" s="18">
        <f>(Tabela25[[#This Row],[FRETE]]+Tabela25[[#This Row],[DESPESAS]]+Tabela25[[#This Row],[IPI]]+Tabela25[[#This Row],[Vl. Produto]])*Tabela25[[#This Row],[Aliq.%]]</f>
        <v>0</v>
      </c>
    </row>
    <row r="862" spans="13:19" x14ac:dyDescent="0.25">
      <c r="M862" s="46"/>
      <c r="N862" s="46"/>
      <c r="O862" s="46"/>
      <c r="P862" s="46"/>
      <c r="R862" s="15">
        <v>1.54E-2</v>
      </c>
      <c r="S862" s="18">
        <f>(Tabela25[[#This Row],[FRETE]]+Tabela25[[#This Row],[DESPESAS]]+Tabela25[[#This Row],[IPI]]+Tabela25[[#This Row],[Vl. Produto]])*Tabela25[[#This Row],[Aliq.%]]</f>
        <v>0</v>
      </c>
    </row>
    <row r="863" spans="13:19" x14ac:dyDescent="0.25">
      <c r="M863" s="46"/>
      <c r="N863" s="46"/>
      <c r="O863" s="46"/>
      <c r="P863" s="46"/>
      <c r="R863" s="15">
        <v>1.54E-2</v>
      </c>
      <c r="S863" s="18">
        <f>(Tabela25[[#This Row],[FRETE]]+Tabela25[[#This Row],[DESPESAS]]+Tabela25[[#This Row],[IPI]]+Tabela25[[#This Row],[Vl. Produto]])*Tabela25[[#This Row],[Aliq.%]]</f>
        <v>0</v>
      </c>
    </row>
    <row r="864" spans="13:19" x14ac:dyDescent="0.25">
      <c r="M864" s="46"/>
      <c r="N864" s="46"/>
      <c r="O864" s="46"/>
      <c r="P864" s="46"/>
      <c r="R864" s="15">
        <v>1.54E-2</v>
      </c>
      <c r="S864" s="18">
        <f>(Tabela25[[#This Row],[FRETE]]+Tabela25[[#This Row],[DESPESAS]]+Tabela25[[#This Row],[IPI]]+Tabela25[[#This Row],[Vl. Produto]])*Tabela25[[#This Row],[Aliq.%]]</f>
        <v>0</v>
      </c>
    </row>
    <row r="865" spans="13:19" x14ac:dyDescent="0.25">
      <c r="M865" s="46"/>
      <c r="N865" s="46"/>
      <c r="O865" s="46"/>
      <c r="P865" s="46"/>
      <c r="R865" s="15">
        <v>1.54E-2</v>
      </c>
      <c r="S865" s="18">
        <f>(Tabela25[[#This Row],[FRETE]]+Tabela25[[#This Row],[DESPESAS]]+Tabela25[[#This Row],[IPI]]+Tabela25[[#This Row],[Vl. Produto]])*Tabela25[[#This Row],[Aliq.%]]</f>
        <v>0</v>
      </c>
    </row>
    <row r="866" spans="13:19" x14ac:dyDescent="0.25">
      <c r="M866" s="46"/>
      <c r="N866" s="46"/>
      <c r="O866" s="46"/>
      <c r="P866" s="46"/>
      <c r="R866" s="15">
        <v>1.54E-2</v>
      </c>
      <c r="S866" s="18">
        <f>(Tabela25[[#This Row],[FRETE]]+Tabela25[[#This Row],[DESPESAS]]+Tabela25[[#This Row],[IPI]]+Tabela25[[#This Row],[Vl. Produto]])*Tabela25[[#This Row],[Aliq.%]]</f>
        <v>0</v>
      </c>
    </row>
    <row r="867" spans="13:19" x14ac:dyDescent="0.25">
      <c r="M867" s="46"/>
      <c r="N867" s="46"/>
      <c r="O867" s="46"/>
      <c r="P867" s="46"/>
      <c r="R867" s="15">
        <v>1.54E-2</v>
      </c>
      <c r="S867" s="18">
        <f>(Tabela25[[#This Row],[FRETE]]+Tabela25[[#This Row],[DESPESAS]]+Tabela25[[#This Row],[IPI]]+Tabela25[[#This Row],[Vl. Produto]])*Tabela25[[#This Row],[Aliq.%]]</f>
        <v>0</v>
      </c>
    </row>
    <row r="868" spans="13:19" x14ac:dyDescent="0.25">
      <c r="M868" s="46"/>
      <c r="N868" s="46"/>
      <c r="O868" s="46"/>
      <c r="P868" s="46"/>
      <c r="R868" s="15">
        <v>1.54E-2</v>
      </c>
      <c r="S868" s="18">
        <f>(Tabela25[[#This Row],[FRETE]]+Tabela25[[#This Row],[DESPESAS]]+Tabela25[[#This Row],[IPI]]+Tabela25[[#This Row],[Vl. Produto]])*Tabela25[[#This Row],[Aliq.%]]</f>
        <v>0</v>
      </c>
    </row>
    <row r="869" spans="13:19" x14ac:dyDescent="0.25">
      <c r="M869" s="46"/>
      <c r="N869" s="46"/>
      <c r="O869" s="46"/>
      <c r="P869" s="46"/>
      <c r="R869" s="15">
        <v>1.54E-2</v>
      </c>
      <c r="S869" s="18">
        <f>(Tabela25[[#This Row],[FRETE]]+Tabela25[[#This Row],[DESPESAS]]+Tabela25[[#This Row],[IPI]]+Tabela25[[#This Row],[Vl. Produto]])*Tabela25[[#This Row],[Aliq.%]]</f>
        <v>0</v>
      </c>
    </row>
    <row r="870" spans="13:19" x14ac:dyDescent="0.25">
      <c r="M870" s="46"/>
      <c r="N870" s="46"/>
      <c r="O870" s="46"/>
      <c r="P870" s="46"/>
      <c r="R870" s="15">
        <v>1.54E-2</v>
      </c>
      <c r="S870" s="18">
        <f>(Tabela25[[#This Row],[FRETE]]+Tabela25[[#This Row],[DESPESAS]]+Tabela25[[#This Row],[IPI]]+Tabela25[[#This Row],[Vl. Produto]])*Tabela25[[#This Row],[Aliq.%]]</f>
        <v>0</v>
      </c>
    </row>
    <row r="871" spans="13:19" x14ac:dyDescent="0.25">
      <c r="M871" s="46"/>
      <c r="N871" s="46"/>
      <c r="O871" s="46"/>
      <c r="P871" s="46"/>
      <c r="R871" s="15">
        <v>1.54E-2</v>
      </c>
      <c r="S871" s="18">
        <f>(Tabela25[[#This Row],[FRETE]]+Tabela25[[#This Row],[DESPESAS]]+Tabela25[[#This Row],[IPI]]+Tabela25[[#This Row],[Vl. Produto]])*Tabela25[[#This Row],[Aliq.%]]</f>
        <v>0</v>
      </c>
    </row>
    <row r="872" spans="13:19" x14ac:dyDescent="0.25">
      <c r="M872" s="46"/>
      <c r="N872" s="46"/>
      <c r="O872" s="46"/>
      <c r="P872" s="46"/>
      <c r="R872" s="15">
        <v>1.54E-2</v>
      </c>
      <c r="S872" s="18">
        <f>(Tabela25[[#This Row],[FRETE]]+Tabela25[[#This Row],[DESPESAS]]+Tabela25[[#This Row],[IPI]]+Tabela25[[#This Row],[Vl. Produto]])*Tabela25[[#This Row],[Aliq.%]]</f>
        <v>0</v>
      </c>
    </row>
    <row r="873" spans="13:19" x14ac:dyDescent="0.25">
      <c r="M873" s="46"/>
      <c r="N873" s="46"/>
      <c r="O873" s="46"/>
      <c r="P873" s="46"/>
      <c r="R873" s="15">
        <v>1.54E-2</v>
      </c>
      <c r="S873" s="18">
        <f>(Tabela25[[#This Row],[FRETE]]+Tabela25[[#This Row],[DESPESAS]]+Tabela25[[#This Row],[IPI]]+Tabela25[[#This Row],[Vl. Produto]])*Tabela25[[#This Row],[Aliq.%]]</f>
        <v>0</v>
      </c>
    </row>
    <row r="874" spans="13:19" x14ac:dyDescent="0.25">
      <c r="M874" s="46"/>
      <c r="N874" s="46"/>
      <c r="O874" s="46"/>
      <c r="P874" s="46"/>
      <c r="R874" s="15">
        <v>1.54E-2</v>
      </c>
      <c r="S874" s="18">
        <f>(Tabela25[[#This Row],[FRETE]]+Tabela25[[#This Row],[DESPESAS]]+Tabela25[[#This Row],[IPI]]+Tabela25[[#This Row],[Vl. Produto]])*Tabela25[[#This Row],[Aliq.%]]</f>
        <v>0</v>
      </c>
    </row>
    <row r="875" spans="13:19" x14ac:dyDescent="0.25">
      <c r="M875" s="46"/>
      <c r="N875" s="46"/>
      <c r="O875" s="46"/>
      <c r="P875" s="46"/>
      <c r="R875" s="15">
        <v>1.54E-2</v>
      </c>
      <c r="S875" s="18">
        <f>(Tabela25[[#This Row],[FRETE]]+Tabela25[[#This Row],[DESPESAS]]+Tabela25[[#This Row],[IPI]]+Tabela25[[#This Row],[Vl. Produto]])*Tabela25[[#This Row],[Aliq.%]]</f>
        <v>0</v>
      </c>
    </row>
    <row r="876" spans="13:19" x14ac:dyDescent="0.25">
      <c r="M876" s="46"/>
      <c r="N876" s="46"/>
      <c r="O876" s="46"/>
      <c r="P876" s="46"/>
      <c r="R876" s="15">
        <v>1.54E-2</v>
      </c>
      <c r="S876" s="18">
        <f>(Tabela25[[#This Row],[FRETE]]+Tabela25[[#This Row],[DESPESAS]]+Tabela25[[#This Row],[IPI]]+Tabela25[[#This Row],[Vl. Produto]])*Tabela25[[#This Row],[Aliq.%]]</f>
        <v>0</v>
      </c>
    </row>
    <row r="877" spans="13:19" x14ac:dyDescent="0.25">
      <c r="M877" s="46"/>
      <c r="N877" s="46"/>
      <c r="O877" s="46"/>
      <c r="P877" s="46"/>
      <c r="R877" s="15">
        <v>1.54E-2</v>
      </c>
      <c r="S877" s="18">
        <f>(Tabela25[[#This Row],[FRETE]]+Tabela25[[#This Row],[DESPESAS]]+Tabela25[[#This Row],[IPI]]+Tabela25[[#This Row],[Vl. Produto]])*Tabela25[[#This Row],[Aliq.%]]</f>
        <v>0</v>
      </c>
    </row>
    <row r="878" spans="13:19" x14ac:dyDescent="0.25">
      <c r="M878" s="46"/>
      <c r="N878" s="46"/>
      <c r="O878" s="46"/>
      <c r="P878" s="46"/>
      <c r="R878" s="15">
        <v>1.54E-2</v>
      </c>
      <c r="S878" s="18">
        <f>(Tabela25[[#This Row],[FRETE]]+Tabela25[[#This Row],[DESPESAS]]+Tabela25[[#This Row],[IPI]]+Tabela25[[#This Row],[Vl. Produto]])*Tabela25[[#This Row],[Aliq.%]]</f>
        <v>0</v>
      </c>
    </row>
    <row r="879" spans="13:19" x14ac:dyDescent="0.25">
      <c r="M879" s="46"/>
      <c r="N879" s="46"/>
      <c r="O879" s="46"/>
      <c r="P879" s="46"/>
      <c r="R879" s="15">
        <v>1.54E-2</v>
      </c>
      <c r="S879" s="18">
        <f>(Tabela25[[#This Row],[FRETE]]+Tabela25[[#This Row],[DESPESAS]]+Tabela25[[#This Row],[IPI]]+Tabela25[[#This Row],[Vl. Produto]])*Tabela25[[#This Row],[Aliq.%]]</f>
        <v>0</v>
      </c>
    </row>
    <row r="880" spans="13:19" x14ac:dyDescent="0.25">
      <c r="M880" s="46"/>
      <c r="N880" s="46"/>
      <c r="O880" s="46"/>
      <c r="P880" s="46"/>
      <c r="R880" s="15">
        <v>1.54E-2</v>
      </c>
      <c r="S880" s="18">
        <f>(Tabela25[[#This Row],[FRETE]]+Tabela25[[#This Row],[DESPESAS]]+Tabela25[[#This Row],[IPI]]+Tabela25[[#This Row],[Vl. Produto]])*Tabela25[[#This Row],[Aliq.%]]</f>
        <v>0</v>
      </c>
    </row>
    <row r="881" spans="13:19" x14ac:dyDescent="0.25">
      <c r="M881" s="46"/>
      <c r="N881" s="46"/>
      <c r="O881" s="46"/>
      <c r="P881" s="46"/>
      <c r="R881" s="15">
        <v>1.54E-2</v>
      </c>
      <c r="S881" s="18">
        <f>(Tabela25[[#This Row],[FRETE]]+Tabela25[[#This Row],[DESPESAS]]+Tabela25[[#This Row],[IPI]]+Tabela25[[#This Row],[Vl. Produto]])*Tabela25[[#This Row],[Aliq.%]]</f>
        <v>0</v>
      </c>
    </row>
    <row r="882" spans="13:19" x14ac:dyDescent="0.25">
      <c r="M882" s="46"/>
      <c r="N882" s="46"/>
      <c r="O882" s="46"/>
      <c r="P882" s="46"/>
      <c r="R882" s="15">
        <v>1.54E-2</v>
      </c>
      <c r="S882" s="18">
        <f>(Tabela25[[#This Row],[FRETE]]+Tabela25[[#This Row],[DESPESAS]]+Tabela25[[#This Row],[IPI]]+Tabela25[[#This Row],[Vl. Produto]])*Tabela25[[#This Row],[Aliq.%]]</f>
        <v>0</v>
      </c>
    </row>
    <row r="883" spans="13:19" x14ac:dyDescent="0.25">
      <c r="M883" s="46"/>
      <c r="N883" s="46"/>
      <c r="O883" s="46"/>
      <c r="P883" s="46"/>
      <c r="R883" s="15">
        <v>1.54E-2</v>
      </c>
      <c r="S883" s="18">
        <f>(Tabela25[[#This Row],[FRETE]]+Tabela25[[#This Row],[DESPESAS]]+Tabela25[[#This Row],[IPI]]+Tabela25[[#This Row],[Vl. Produto]])*Tabela25[[#This Row],[Aliq.%]]</f>
        <v>0</v>
      </c>
    </row>
    <row r="884" spans="13:19" x14ac:dyDescent="0.25">
      <c r="M884" s="46"/>
      <c r="N884" s="46"/>
      <c r="O884" s="46"/>
      <c r="P884" s="46"/>
      <c r="R884" s="15">
        <v>1.54E-2</v>
      </c>
      <c r="S884" s="18">
        <f>(Tabela25[[#This Row],[FRETE]]+Tabela25[[#This Row],[DESPESAS]]+Tabela25[[#This Row],[IPI]]+Tabela25[[#This Row],[Vl. Produto]])*Tabela25[[#This Row],[Aliq.%]]</f>
        <v>0</v>
      </c>
    </row>
    <row r="885" spans="13:19" x14ac:dyDescent="0.25">
      <c r="M885" s="46"/>
      <c r="N885" s="46"/>
      <c r="O885" s="46"/>
      <c r="P885" s="46"/>
      <c r="R885" s="15">
        <v>1.54E-2</v>
      </c>
      <c r="S885" s="18">
        <f>(Tabela25[[#This Row],[FRETE]]+Tabela25[[#This Row],[DESPESAS]]+Tabela25[[#This Row],[IPI]]+Tabela25[[#This Row],[Vl. Produto]])*Tabela25[[#This Row],[Aliq.%]]</f>
        <v>0</v>
      </c>
    </row>
    <row r="886" spans="13:19" x14ac:dyDescent="0.25">
      <c r="M886" s="46"/>
      <c r="N886" s="46"/>
      <c r="O886" s="46"/>
      <c r="P886" s="46"/>
      <c r="R886" s="15">
        <v>1.54E-2</v>
      </c>
      <c r="S886" s="18">
        <f>(Tabela25[[#This Row],[FRETE]]+Tabela25[[#This Row],[DESPESAS]]+Tabela25[[#This Row],[IPI]]+Tabela25[[#This Row],[Vl. Produto]])*Tabela25[[#This Row],[Aliq.%]]</f>
        <v>0</v>
      </c>
    </row>
    <row r="887" spans="13:19" x14ac:dyDescent="0.25">
      <c r="M887" s="46"/>
      <c r="N887" s="46"/>
      <c r="O887" s="46"/>
      <c r="P887" s="46"/>
      <c r="R887" s="15">
        <v>1.54E-2</v>
      </c>
      <c r="S887" s="18">
        <f>(Tabela25[[#This Row],[FRETE]]+Tabela25[[#This Row],[DESPESAS]]+Tabela25[[#This Row],[IPI]]+Tabela25[[#This Row],[Vl. Produto]])*Tabela25[[#This Row],[Aliq.%]]</f>
        <v>0</v>
      </c>
    </row>
    <row r="888" spans="13:19" x14ac:dyDescent="0.25">
      <c r="M888" s="46"/>
      <c r="N888" s="46"/>
      <c r="O888" s="46"/>
      <c r="P888" s="46"/>
      <c r="R888" s="15">
        <v>1.54E-2</v>
      </c>
      <c r="S888" s="18">
        <f>(Tabela25[[#This Row],[FRETE]]+Tabela25[[#This Row],[DESPESAS]]+Tabela25[[#This Row],[IPI]]+Tabela25[[#This Row],[Vl. Produto]])*Tabela25[[#This Row],[Aliq.%]]</f>
        <v>0</v>
      </c>
    </row>
    <row r="889" spans="13:19" x14ac:dyDescent="0.25">
      <c r="M889" s="46"/>
      <c r="N889" s="46"/>
      <c r="O889" s="46"/>
      <c r="P889" s="46"/>
      <c r="R889" s="15">
        <v>1.54E-2</v>
      </c>
      <c r="S889" s="18">
        <f>(Tabela25[[#This Row],[FRETE]]+Tabela25[[#This Row],[DESPESAS]]+Tabela25[[#This Row],[IPI]]+Tabela25[[#This Row],[Vl. Produto]])*Tabela25[[#This Row],[Aliq.%]]</f>
        <v>0</v>
      </c>
    </row>
    <row r="890" spans="13:19" x14ac:dyDescent="0.25">
      <c r="M890" s="46"/>
      <c r="N890" s="46"/>
      <c r="O890" s="46"/>
      <c r="P890" s="46"/>
      <c r="R890" s="15">
        <v>1.54E-2</v>
      </c>
      <c r="S890" s="18">
        <f>(Tabela25[[#This Row],[FRETE]]+Tabela25[[#This Row],[DESPESAS]]+Tabela25[[#This Row],[IPI]]+Tabela25[[#This Row],[Vl. Produto]])*Tabela25[[#This Row],[Aliq.%]]</f>
        <v>0</v>
      </c>
    </row>
    <row r="891" spans="13:19" x14ac:dyDescent="0.25">
      <c r="M891" s="46"/>
      <c r="N891" s="46"/>
      <c r="O891" s="46"/>
      <c r="P891" s="46"/>
      <c r="R891" s="15">
        <v>1.54E-2</v>
      </c>
      <c r="S891" s="18">
        <f>(Tabela25[[#This Row],[FRETE]]+Tabela25[[#This Row],[DESPESAS]]+Tabela25[[#This Row],[IPI]]+Tabela25[[#This Row],[Vl. Produto]])*Tabela25[[#This Row],[Aliq.%]]</f>
        <v>0</v>
      </c>
    </row>
    <row r="892" spans="13:19" x14ac:dyDescent="0.25">
      <c r="M892" s="46"/>
      <c r="N892" s="46"/>
      <c r="O892" s="46"/>
      <c r="P892" s="46"/>
      <c r="R892" s="15">
        <v>1.54E-2</v>
      </c>
      <c r="S892" s="18">
        <f>(Tabela25[[#This Row],[FRETE]]+Tabela25[[#This Row],[DESPESAS]]+Tabela25[[#This Row],[IPI]]+Tabela25[[#This Row],[Vl. Produto]])*Tabela25[[#This Row],[Aliq.%]]</f>
        <v>0</v>
      </c>
    </row>
    <row r="893" spans="13:19" x14ac:dyDescent="0.25">
      <c r="M893" s="46"/>
      <c r="N893" s="46"/>
      <c r="O893" s="46"/>
      <c r="P893" s="46"/>
      <c r="R893" s="15">
        <v>1.54E-2</v>
      </c>
      <c r="S893" s="18">
        <f>(Tabela25[[#This Row],[FRETE]]+Tabela25[[#This Row],[DESPESAS]]+Tabela25[[#This Row],[IPI]]+Tabela25[[#This Row],[Vl. Produto]])*Tabela25[[#This Row],[Aliq.%]]</f>
        <v>0</v>
      </c>
    </row>
    <row r="894" spans="13:19" x14ac:dyDescent="0.25">
      <c r="M894" s="46"/>
      <c r="N894" s="46"/>
      <c r="O894" s="46"/>
      <c r="P894" s="46"/>
      <c r="R894" s="15">
        <v>1.54E-2</v>
      </c>
      <c r="S894" s="18">
        <f>(Tabela25[[#This Row],[FRETE]]+Tabela25[[#This Row],[DESPESAS]]+Tabela25[[#This Row],[IPI]]+Tabela25[[#This Row],[Vl. Produto]])*Tabela25[[#This Row],[Aliq.%]]</f>
        <v>0</v>
      </c>
    </row>
    <row r="895" spans="13:19" x14ac:dyDescent="0.25">
      <c r="M895" s="46"/>
      <c r="N895" s="46"/>
      <c r="O895" s="46"/>
      <c r="P895" s="46"/>
      <c r="R895" s="15">
        <v>1.54E-2</v>
      </c>
      <c r="S895" s="18">
        <f>(Tabela25[[#This Row],[FRETE]]+Tabela25[[#This Row],[DESPESAS]]+Tabela25[[#This Row],[IPI]]+Tabela25[[#This Row],[Vl. Produto]])*Tabela25[[#This Row],[Aliq.%]]</f>
        <v>0</v>
      </c>
    </row>
    <row r="896" spans="13:19" x14ac:dyDescent="0.25">
      <c r="M896" s="46"/>
      <c r="N896" s="46"/>
      <c r="O896" s="46"/>
      <c r="P896" s="46"/>
      <c r="R896" s="15">
        <v>1.54E-2</v>
      </c>
      <c r="S896" s="18">
        <f>(Tabela25[[#This Row],[FRETE]]+Tabela25[[#This Row],[DESPESAS]]+Tabela25[[#This Row],[IPI]]+Tabela25[[#This Row],[Vl. Produto]])*Tabela25[[#This Row],[Aliq.%]]</f>
        <v>0</v>
      </c>
    </row>
    <row r="897" spans="13:19" x14ac:dyDescent="0.25">
      <c r="M897" s="46"/>
      <c r="N897" s="46"/>
      <c r="O897" s="46"/>
      <c r="P897" s="46"/>
      <c r="R897" s="15">
        <v>1.54E-2</v>
      </c>
      <c r="S897" s="18">
        <f>(Tabela25[[#This Row],[FRETE]]+Tabela25[[#This Row],[DESPESAS]]+Tabela25[[#This Row],[IPI]]+Tabela25[[#This Row],[Vl. Produto]])*Tabela25[[#This Row],[Aliq.%]]</f>
        <v>0</v>
      </c>
    </row>
    <row r="898" spans="13:19" x14ac:dyDescent="0.25">
      <c r="M898" s="46"/>
      <c r="N898" s="46"/>
      <c r="O898" s="46"/>
      <c r="P898" s="46"/>
      <c r="R898" s="15">
        <v>1.54E-2</v>
      </c>
      <c r="S898" s="18">
        <f>(Tabela25[[#This Row],[FRETE]]+Tabela25[[#This Row],[DESPESAS]]+Tabela25[[#This Row],[IPI]]+Tabela25[[#This Row],[Vl. Produto]])*Tabela25[[#This Row],[Aliq.%]]</f>
        <v>0</v>
      </c>
    </row>
    <row r="899" spans="13:19" x14ac:dyDescent="0.25">
      <c r="M899" s="46"/>
      <c r="N899" s="46"/>
      <c r="O899" s="46"/>
      <c r="P899" s="46"/>
      <c r="R899" s="15">
        <v>1.54E-2</v>
      </c>
      <c r="S899" s="18">
        <f>(Tabela25[[#This Row],[FRETE]]+Tabela25[[#This Row],[DESPESAS]]+Tabela25[[#This Row],[IPI]]+Tabela25[[#This Row],[Vl. Produto]])*Tabela25[[#This Row],[Aliq.%]]</f>
        <v>0</v>
      </c>
    </row>
    <row r="900" spans="13:19" x14ac:dyDescent="0.25">
      <c r="M900" s="46"/>
      <c r="N900" s="46"/>
      <c r="O900" s="46"/>
      <c r="P900" s="46"/>
      <c r="R900" s="15">
        <v>1.54E-2</v>
      </c>
      <c r="S900" s="18">
        <f>(Tabela25[[#This Row],[FRETE]]+Tabela25[[#This Row],[DESPESAS]]+Tabela25[[#This Row],[IPI]]+Tabela25[[#This Row],[Vl. Produto]])*Tabela25[[#This Row],[Aliq.%]]</f>
        <v>0</v>
      </c>
    </row>
    <row r="901" spans="13:19" x14ac:dyDescent="0.25">
      <c r="M901" s="46"/>
      <c r="N901" s="46"/>
      <c r="O901" s="46"/>
      <c r="P901" s="46"/>
      <c r="R901" s="15">
        <v>1.54E-2</v>
      </c>
      <c r="S901" s="18">
        <f>(Tabela25[[#This Row],[FRETE]]+Tabela25[[#This Row],[DESPESAS]]+Tabela25[[#This Row],[IPI]]+Tabela25[[#This Row],[Vl. Produto]])*Tabela25[[#This Row],[Aliq.%]]</f>
        <v>0</v>
      </c>
    </row>
    <row r="902" spans="13:19" x14ac:dyDescent="0.25">
      <c r="M902" s="46"/>
      <c r="N902" s="46"/>
      <c r="O902" s="46"/>
      <c r="P902" s="46"/>
      <c r="R902" s="15">
        <v>1.54E-2</v>
      </c>
      <c r="S902" s="18">
        <f>(Tabela25[[#This Row],[FRETE]]+Tabela25[[#This Row],[DESPESAS]]+Tabela25[[#This Row],[IPI]]+Tabela25[[#This Row],[Vl. Produto]])*Tabela25[[#This Row],[Aliq.%]]</f>
        <v>0</v>
      </c>
    </row>
    <row r="903" spans="13:19" x14ac:dyDescent="0.25">
      <c r="M903" s="46"/>
      <c r="N903" s="46"/>
      <c r="O903" s="46"/>
      <c r="P903" s="46"/>
      <c r="R903" s="15">
        <v>1.54E-2</v>
      </c>
      <c r="S903" s="18">
        <f>(Tabela25[[#This Row],[FRETE]]+Tabela25[[#This Row],[DESPESAS]]+Tabela25[[#This Row],[IPI]]+Tabela25[[#This Row],[Vl. Produto]])*Tabela25[[#This Row],[Aliq.%]]</f>
        <v>0</v>
      </c>
    </row>
    <row r="904" spans="13:19" x14ac:dyDescent="0.25">
      <c r="M904" s="46"/>
      <c r="N904" s="46"/>
      <c r="O904" s="46"/>
      <c r="P904" s="46"/>
      <c r="R904" s="15">
        <v>1.54E-2</v>
      </c>
      <c r="S904" s="18">
        <f>(Tabela25[[#This Row],[FRETE]]+Tabela25[[#This Row],[DESPESAS]]+Tabela25[[#This Row],[IPI]]+Tabela25[[#This Row],[Vl. Produto]])*Tabela25[[#This Row],[Aliq.%]]</f>
        <v>0</v>
      </c>
    </row>
    <row r="905" spans="13:19" x14ac:dyDescent="0.25">
      <c r="M905" s="46"/>
      <c r="N905" s="46"/>
      <c r="O905" s="46"/>
      <c r="P905" s="46"/>
      <c r="R905" s="15">
        <v>1.54E-2</v>
      </c>
      <c r="S905" s="18">
        <f>(Tabela25[[#This Row],[FRETE]]+Tabela25[[#This Row],[DESPESAS]]+Tabela25[[#This Row],[IPI]]+Tabela25[[#This Row],[Vl. Produto]])*Tabela25[[#This Row],[Aliq.%]]</f>
        <v>0</v>
      </c>
    </row>
    <row r="906" spans="13:19" x14ac:dyDescent="0.25">
      <c r="M906" s="46"/>
      <c r="N906" s="46"/>
      <c r="O906" s="46"/>
      <c r="P906" s="46"/>
      <c r="R906" s="15">
        <v>1.54E-2</v>
      </c>
      <c r="S906" s="18">
        <f>(Tabela25[[#This Row],[FRETE]]+Tabela25[[#This Row],[DESPESAS]]+Tabela25[[#This Row],[IPI]]+Tabela25[[#This Row],[Vl. Produto]])*Tabela25[[#This Row],[Aliq.%]]</f>
        <v>0</v>
      </c>
    </row>
    <row r="907" spans="13:19" x14ac:dyDescent="0.25">
      <c r="M907" s="46"/>
      <c r="N907" s="46"/>
      <c r="O907" s="46"/>
      <c r="P907" s="46"/>
      <c r="R907" s="15">
        <v>1.54E-2</v>
      </c>
      <c r="S907" s="18">
        <f>(Tabela25[[#This Row],[FRETE]]+Tabela25[[#This Row],[DESPESAS]]+Tabela25[[#This Row],[IPI]]+Tabela25[[#This Row],[Vl. Produto]])*Tabela25[[#This Row],[Aliq.%]]</f>
        <v>0</v>
      </c>
    </row>
    <row r="908" spans="13:19" x14ac:dyDescent="0.25">
      <c r="M908" s="46"/>
      <c r="N908" s="46"/>
      <c r="O908" s="46"/>
      <c r="P908" s="46"/>
      <c r="R908" s="15">
        <v>1.54E-2</v>
      </c>
      <c r="S908" s="18">
        <f>(Tabela25[[#This Row],[FRETE]]+Tabela25[[#This Row],[DESPESAS]]+Tabela25[[#This Row],[IPI]]+Tabela25[[#This Row],[Vl. Produto]])*Tabela25[[#This Row],[Aliq.%]]</f>
        <v>0</v>
      </c>
    </row>
    <row r="909" spans="13:19" x14ac:dyDescent="0.25">
      <c r="M909" s="46"/>
      <c r="N909" s="46"/>
      <c r="O909" s="46"/>
      <c r="P909" s="46"/>
      <c r="R909" s="15">
        <v>1.54E-2</v>
      </c>
      <c r="S909" s="18">
        <f>(Tabela25[[#This Row],[FRETE]]+Tabela25[[#This Row],[DESPESAS]]+Tabela25[[#This Row],[IPI]]+Tabela25[[#This Row],[Vl. Produto]])*Tabela25[[#This Row],[Aliq.%]]</f>
        <v>0</v>
      </c>
    </row>
    <row r="910" spans="13:19" x14ac:dyDescent="0.25">
      <c r="M910" s="46"/>
      <c r="N910" s="46"/>
      <c r="O910" s="46"/>
      <c r="P910" s="46"/>
      <c r="R910" s="15">
        <v>1.54E-2</v>
      </c>
      <c r="S910" s="18">
        <f>(Tabela25[[#This Row],[FRETE]]+Tabela25[[#This Row],[DESPESAS]]+Tabela25[[#This Row],[IPI]]+Tabela25[[#This Row],[Vl. Produto]])*Tabela25[[#This Row],[Aliq.%]]</f>
        <v>0</v>
      </c>
    </row>
    <row r="911" spans="13:19" x14ac:dyDescent="0.25">
      <c r="M911" s="46"/>
      <c r="N911" s="46"/>
      <c r="O911" s="46"/>
      <c r="P911" s="46"/>
      <c r="R911" s="15">
        <v>1.54E-2</v>
      </c>
      <c r="S911" s="18">
        <f>(Tabela25[[#This Row],[FRETE]]+Tabela25[[#This Row],[DESPESAS]]+Tabela25[[#This Row],[IPI]]+Tabela25[[#This Row],[Vl. Produto]])*Tabela25[[#This Row],[Aliq.%]]</f>
        <v>0</v>
      </c>
    </row>
    <row r="912" spans="13:19" x14ac:dyDescent="0.25">
      <c r="M912" s="46"/>
      <c r="N912" s="46"/>
      <c r="O912" s="46"/>
      <c r="P912" s="46"/>
      <c r="R912" s="15">
        <v>1.54E-2</v>
      </c>
      <c r="S912" s="18">
        <f>(Tabela25[[#This Row],[FRETE]]+Tabela25[[#This Row],[DESPESAS]]+Tabela25[[#This Row],[IPI]]+Tabela25[[#This Row],[Vl. Produto]])*Tabela25[[#This Row],[Aliq.%]]</f>
        <v>0</v>
      </c>
    </row>
    <row r="913" spans="13:19" x14ac:dyDescent="0.25">
      <c r="M913" s="46"/>
      <c r="N913" s="46"/>
      <c r="O913" s="46"/>
      <c r="P913" s="46"/>
      <c r="R913" s="15">
        <v>1.54E-2</v>
      </c>
      <c r="S913" s="18">
        <f>(Tabela25[[#This Row],[FRETE]]+Tabela25[[#This Row],[DESPESAS]]+Tabela25[[#This Row],[IPI]]+Tabela25[[#This Row],[Vl. Produto]])*Tabela25[[#This Row],[Aliq.%]]</f>
        <v>0</v>
      </c>
    </row>
    <row r="914" spans="13:19" x14ac:dyDescent="0.25">
      <c r="M914" s="46"/>
      <c r="N914" s="46"/>
      <c r="O914" s="46"/>
      <c r="P914" s="46"/>
      <c r="R914" s="15">
        <v>1.54E-2</v>
      </c>
      <c r="S914" s="18">
        <f>(Tabela25[[#This Row],[FRETE]]+Tabela25[[#This Row],[DESPESAS]]+Tabela25[[#This Row],[IPI]]+Tabela25[[#This Row],[Vl. Produto]])*Tabela25[[#This Row],[Aliq.%]]</f>
        <v>0</v>
      </c>
    </row>
    <row r="915" spans="13:19" x14ac:dyDescent="0.25">
      <c r="M915" s="46"/>
      <c r="N915" s="46"/>
      <c r="O915" s="46"/>
      <c r="P915" s="46"/>
      <c r="R915" s="15">
        <v>1.54E-2</v>
      </c>
      <c r="S915" s="18">
        <f>(Tabela25[[#This Row],[FRETE]]+Tabela25[[#This Row],[DESPESAS]]+Tabela25[[#This Row],[IPI]]+Tabela25[[#This Row],[Vl. Produto]])*Tabela25[[#This Row],[Aliq.%]]</f>
        <v>0</v>
      </c>
    </row>
    <row r="916" spans="13:19" x14ac:dyDescent="0.25">
      <c r="M916" s="46"/>
      <c r="N916" s="46"/>
      <c r="O916" s="46"/>
      <c r="P916" s="46"/>
      <c r="R916" s="15">
        <v>1.54E-2</v>
      </c>
      <c r="S916" s="18">
        <f>(Tabela25[[#This Row],[FRETE]]+Tabela25[[#This Row],[DESPESAS]]+Tabela25[[#This Row],[IPI]]+Tabela25[[#This Row],[Vl. Produto]])*Tabela25[[#This Row],[Aliq.%]]</f>
        <v>0</v>
      </c>
    </row>
    <row r="917" spans="13:19" x14ac:dyDescent="0.25">
      <c r="M917" s="46"/>
      <c r="N917" s="46"/>
      <c r="O917" s="46"/>
      <c r="P917" s="46"/>
      <c r="R917" s="15">
        <v>1.54E-2</v>
      </c>
      <c r="S917" s="18">
        <f>(Tabela25[[#This Row],[FRETE]]+Tabela25[[#This Row],[DESPESAS]]+Tabela25[[#This Row],[IPI]]+Tabela25[[#This Row],[Vl. Produto]])*Tabela25[[#This Row],[Aliq.%]]</f>
        <v>0</v>
      </c>
    </row>
    <row r="918" spans="13:19" x14ac:dyDescent="0.25">
      <c r="M918" s="46"/>
      <c r="N918" s="46"/>
      <c r="O918" s="46"/>
      <c r="P918" s="46"/>
      <c r="R918" s="15">
        <v>1.54E-2</v>
      </c>
      <c r="S918" s="18">
        <f>(Tabela25[[#This Row],[FRETE]]+Tabela25[[#This Row],[DESPESAS]]+Tabela25[[#This Row],[IPI]]+Tabela25[[#This Row],[Vl. Produto]])*Tabela25[[#This Row],[Aliq.%]]</f>
        <v>0</v>
      </c>
    </row>
    <row r="919" spans="13:19" x14ac:dyDescent="0.25">
      <c r="M919" s="46"/>
      <c r="N919" s="46"/>
      <c r="O919" s="46"/>
      <c r="P919" s="46"/>
      <c r="R919" s="15">
        <v>1.54E-2</v>
      </c>
      <c r="S919" s="18">
        <f>(Tabela25[[#This Row],[FRETE]]+Tabela25[[#This Row],[DESPESAS]]+Tabela25[[#This Row],[IPI]]+Tabela25[[#This Row],[Vl. Produto]])*Tabela25[[#This Row],[Aliq.%]]</f>
        <v>0</v>
      </c>
    </row>
    <row r="920" spans="13:19" x14ac:dyDescent="0.25">
      <c r="M920" s="46"/>
      <c r="N920" s="46"/>
      <c r="O920" s="46"/>
      <c r="P920" s="46"/>
      <c r="R920" s="15">
        <v>1.54E-2</v>
      </c>
      <c r="S920" s="18">
        <f>(Tabela25[[#This Row],[FRETE]]+Tabela25[[#This Row],[DESPESAS]]+Tabela25[[#This Row],[IPI]]+Tabela25[[#This Row],[Vl. Produto]])*Tabela25[[#This Row],[Aliq.%]]</f>
        <v>0</v>
      </c>
    </row>
    <row r="921" spans="13:19" x14ac:dyDescent="0.25">
      <c r="M921" s="46"/>
      <c r="N921" s="46"/>
      <c r="O921" s="46"/>
      <c r="P921" s="46"/>
      <c r="R921" s="15">
        <v>1.54E-2</v>
      </c>
      <c r="S921" s="18">
        <f>(Tabela25[[#This Row],[FRETE]]+Tabela25[[#This Row],[DESPESAS]]+Tabela25[[#This Row],[IPI]]+Tabela25[[#This Row],[Vl. Produto]])*Tabela25[[#This Row],[Aliq.%]]</f>
        <v>0</v>
      </c>
    </row>
    <row r="922" spans="13:19" x14ac:dyDescent="0.25">
      <c r="M922" s="46"/>
      <c r="N922" s="46"/>
      <c r="O922" s="46"/>
      <c r="P922" s="46"/>
      <c r="R922" s="15">
        <v>1.54E-2</v>
      </c>
      <c r="S922" s="18">
        <f>(Tabela25[[#This Row],[FRETE]]+Tabela25[[#This Row],[DESPESAS]]+Tabela25[[#This Row],[IPI]]+Tabela25[[#This Row],[Vl. Produto]])*Tabela25[[#This Row],[Aliq.%]]</f>
        <v>0</v>
      </c>
    </row>
    <row r="923" spans="13:19" x14ac:dyDescent="0.25">
      <c r="M923" s="46"/>
      <c r="N923" s="46"/>
      <c r="O923" s="46"/>
      <c r="P923" s="46"/>
      <c r="R923" s="15">
        <v>1.54E-2</v>
      </c>
      <c r="S923" s="18">
        <f>(Tabela25[[#This Row],[FRETE]]+Tabela25[[#This Row],[DESPESAS]]+Tabela25[[#This Row],[IPI]]+Tabela25[[#This Row],[Vl. Produto]])*Tabela25[[#This Row],[Aliq.%]]</f>
        <v>0</v>
      </c>
    </row>
    <row r="924" spans="13:19" x14ac:dyDescent="0.25">
      <c r="M924" s="46"/>
      <c r="N924" s="46"/>
      <c r="O924" s="46"/>
      <c r="P924" s="46"/>
      <c r="R924" s="15">
        <v>1.54E-2</v>
      </c>
      <c r="S924" s="18">
        <f>(Tabela25[[#This Row],[FRETE]]+Tabela25[[#This Row],[DESPESAS]]+Tabela25[[#This Row],[IPI]]+Tabela25[[#This Row],[Vl. Produto]])*Tabela25[[#This Row],[Aliq.%]]</f>
        <v>0</v>
      </c>
    </row>
    <row r="925" spans="13:19" x14ac:dyDescent="0.25">
      <c r="M925" s="46"/>
      <c r="N925" s="46"/>
      <c r="O925" s="46"/>
      <c r="P925" s="46"/>
      <c r="R925" s="15">
        <v>1.54E-2</v>
      </c>
      <c r="S925" s="18">
        <f>(Tabela25[[#This Row],[FRETE]]+Tabela25[[#This Row],[DESPESAS]]+Tabela25[[#This Row],[IPI]]+Tabela25[[#This Row],[Vl. Produto]])*Tabela25[[#This Row],[Aliq.%]]</f>
        <v>0</v>
      </c>
    </row>
    <row r="926" spans="13:19" x14ac:dyDescent="0.25">
      <c r="M926" s="46"/>
      <c r="N926" s="46"/>
      <c r="O926" s="46"/>
      <c r="P926" s="46"/>
      <c r="R926" s="15">
        <v>1.54E-2</v>
      </c>
      <c r="S926" s="18">
        <f>(Tabela25[[#This Row],[FRETE]]+Tabela25[[#This Row],[DESPESAS]]+Tabela25[[#This Row],[IPI]]+Tabela25[[#This Row],[Vl. Produto]])*Tabela25[[#This Row],[Aliq.%]]</f>
        <v>0</v>
      </c>
    </row>
    <row r="927" spans="13:19" x14ac:dyDescent="0.25">
      <c r="M927" s="46"/>
      <c r="N927" s="46"/>
      <c r="O927" s="46"/>
      <c r="P927" s="46"/>
      <c r="R927" s="15">
        <v>1.54E-2</v>
      </c>
      <c r="S927" s="18">
        <f>(Tabela25[[#This Row],[FRETE]]+Tabela25[[#This Row],[DESPESAS]]+Tabela25[[#This Row],[IPI]]+Tabela25[[#This Row],[Vl. Produto]])*Tabela25[[#This Row],[Aliq.%]]</f>
        <v>0</v>
      </c>
    </row>
    <row r="928" spans="13:19" x14ac:dyDescent="0.25">
      <c r="M928" s="46"/>
      <c r="N928" s="46"/>
      <c r="O928" s="46"/>
      <c r="P928" s="46"/>
      <c r="R928" s="15">
        <v>1.54E-2</v>
      </c>
      <c r="S928" s="18">
        <f>(Tabela25[[#This Row],[FRETE]]+Tabela25[[#This Row],[DESPESAS]]+Tabela25[[#This Row],[IPI]]+Tabela25[[#This Row],[Vl. Produto]])*Tabela25[[#This Row],[Aliq.%]]</f>
        <v>0</v>
      </c>
    </row>
    <row r="929" spans="13:19" x14ac:dyDescent="0.25">
      <c r="M929" s="46"/>
      <c r="N929" s="46"/>
      <c r="O929" s="46"/>
      <c r="P929" s="46"/>
      <c r="R929" s="15">
        <v>1.54E-2</v>
      </c>
      <c r="S929" s="18">
        <f>(Tabela25[[#This Row],[FRETE]]+Tabela25[[#This Row],[DESPESAS]]+Tabela25[[#This Row],[IPI]]+Tabela25[[#This Row],[Vl. Produto]])*Tabela25[[#This Row],[Aliq.%]]</f>
        <v>0</v>
      </c>
    </row>
    <row r="930" spans="13:19" x14ac:dyDescent="0.25">
      <c r="M930" s="46"/>
      <c r="N930" s="46"/>
      <c r="O930" s="46"/>
      <c r="P930" s="46"/>
      <c r="R930" s="15">
        <v>1.54E-2</v>
      </c>
      <c r="S930" s="18">
        <f>(Tabela25[[#This Row],[FRETE]]+Tabela25[[#This Row],[DESPESAS]]+Tabela25[[#This Row],[IPI]]+Tabela25[[#This Row],[Vl. Produto]])*Tabela25[[#This Row],[Aliq.%]]</f>
        <v>0</v>
      </c>
    </row>
    <row r="931" spans="13:19" x14ac:dyDescent="0.25">
      <c r="M931" s="46"/>
      <c r="N931" s="46"/>
      <c r="O931" s="46"/>
      <c r="P931" s="46"/>
      <c r="R931" s="15">
        <v>1.54E-2</v>
      </c>
      <c r="S931" s="18">
        <f>(Tabela25[[#This Row],[FRETE]]+Tabela25[[#This Row],[DESPESAS]]+Tabela25[[#This Row],[IPI]]+Tabela25[[#This Row],[Vl. Produto]])*Tabela25[[#This Row],[Aliq.%]]</f>
        <v>0</v>
      </c>
    </row>
    <row r="932" spans="13:19" x14ac:dyDescent="0.25">
      <c r="M932" s="46"/>
      <c r="N932" s="46"/>
      <c r="O932" s="46"/>
      <c r="P932" s="46"/>
      <c r="R932" s="15">
        <v>1.54E-2</v>
      </c>
      <c r="S932" s="18">
        <f>(Tabela25[[#This Row],[FRETE]]+Tabela25[[#This Row],[DESPESAS]]+Tabela25[[#This Row],[IPI]]+Tabela25[[#This Row],[Vl. Produto]])*Tabela25[[#This Row],[Aliq.%]]</f>
        <v>0</v>
      </c>
    </row>
    <row r="933" spans="13:19" x14ac:dyDescent="0.25">
      <c r="M933" s="46"/>
      <c r="N933" s="46"/>
      <c r="O933" s="46"/>
      <c r="P933" s="46"/>
      <c r="R933" s="15">
        <v>1.54E-2</v>
      </c>
      <c r="S933" s="18">
        <f>(Tabela25[[#This Row],[FRETE]]+Tabela25[[#This Row],[DESPESAS]]+Tabela25[[#This Row],[IPI]]+Tabela25[[#This Row],[Vl. Produto]])*Tabela25[[#This Row],[Aliq.%]]</f>
        <v>0</v>
      </c>
    </row>
    <row r="934" spans="13:19" x14ac:dyDescent="0.25">
      <c r="M934" s="46"/>
      <c r="N934" s="46"/>
      <c r="O934" s="46"/>
      <c r="P934" s="46"/>
      <c r="R934" s="15">
        <v>1.54E-2</v>
      </c>
      <c r="S934" s="18">
        <f>(Tabela25[[#This Row],[FRETE]]+Tabela25[[#This Row],[DESPESAS]]+Tabela25[[#This Row],[IPI]]+Tabela25[[#This Row],[Vl. Produto]])*Tabela25[[#This Row],[Aliq.%]]</f>
        <v>0</v>
      </c>
    </row>
    <row r="935" spans="13:19" x14ac:dyDescent="0.25">
      <c r="M935" s="46"/>
      <c r="N935" s="46"/>
      <c r="O935" s="46"/>
      <c r="P935" s="46"/>
      <c r="R935" s="15">
        <v>1.54E-2</v>
      </c>
      <c r="S935" s="18">
        <f>(Tabela25[[#This Row],[FRETE]]+Tabela25[[#This Row],[DESPESAS]]+Tabela25[[#This Row],[IPI]]+Tabela25[[#This Row],[Vl. Produto]])*Tabela25[[#This Row],[Aliq.%]]</f>
        <v>0</v>
      </c>
    </row>
    <row r="936" spans="13:19" x14ac:dyDescent="0.25">
      <c r="M936" s="46"/>
      <c r="N936" s="46"/>
      <c r="O936" s="46"/>
      <c r="P936" s="46"/>
      <c r="R936" s="15">
        <v>1.54E-2</v>
      </c>
      <c r="S936" s="18">
        <f>(Tabela25[[#This Row],[FRETE]]+Tabela25[[#This Row],[DESPESAS]]+Tabela25[[#This Row],[IPI]]+Tabela25[[#This Row],[Vl. Produto]])*Tabela25[[#This Row],[Aliq.%]]</f>
        <v>0</v>
      </c>
    </row>
    <row r="937" spans="13:19" x14ac:dyDescent="0.25">
      <c r="M937" s="46"/>
      <c r="N937" s="46"/>
      <c r="O937" s="46"/>
      <c r="P937" s="46"/>
      <c r="R937" s="15">
        <v>1.54E-2</v>
      </c>
      <c r="S937" s="18">
        <f>(Tabela25[[#This Row],[FRETE]]+Tabela25[[#This Row],[DESPESAS]]+Tabela25[[#This Row],[IPI]]+Tabela25[[#This Row],[Vl. Produto]])*Tabela25[[#This Row],[Aliq.%]]</f>
        <v>0</v>
      </c>
    </row>
    <row r="938" spans="13:19" x14ac:dyDescent="0.25">
      <c r="M938" s="46"/>
      <c r="N938" s="46"/>
      <c r="O938" s="46"/>
      <c r="P938" s="46"/>
      <c r="R938" s="15">
        <v>1.54E-2</v>
      </c>
      <c r="S938" s="18">
        <f>(Tabela25[[#This Row],[FRETE]]+Tabela25[[#This Row],[DESPESAS]]+Tabela25[[#This Row],[IPI]]+Tabela25[[#This Row],[Vl. Produto]])*Tabela25[[#This Row],[Aliq.%]]</f>
        <v>0</v>
      </c>
    </row>
    <row r="939" spans="13:19" x14ac:dyDescent="0.25">
      <c r="M939" s="46"/>
      <c r="N939" s="46"/>
      <c r="O939" s="46"/>
      <c r="P939" s="46"/>
      <c r="R939" s="15">
        <v>1.54E-2</v>
      </c>
      <c r="S939" s="18">
        <f>(Tabela25[[#This Row],[FRETE]]+Tabela25[[#This Row],[DESPESAS]]+Tabela25[[#This Row],[IPI]]+Tabela25[[#This Row],[Vl. Produto]])*Tabela25[[#This Row],[Aliq.%]]</f>
        <v>0</v>
      </c>
    </row>
    <row r="940" spans="13:19" x14ac:dyDescent="0.25">
      <c r="M940" s="46"/>
      <c r="N940" s="46"/>
      <c r="O940" s="46"/>
      <c r="P940" s="46"/>
      <c r="R940" s="15">
        <v>1.54E-2</v>
      </c>
      <c r="S940" s="18">
        <f>(Tabela25[[#This Row],[FRETE]]+Tabela25[[#This Row],[DESPESAS]]+Tabela25[[#This Row],[IPI]]+Tabela25[[#This Row],[Vl. Produto]])*Tabela25[[#This Row],[Aliq.%]]</f>
        <v>0</v>
      </c>
    </row>
    <row r="941" spans="13:19" x14ac:dyDescent="0.25">
      <c r="M941" s="46"/>
      <c r="N941" s="46"/>
      <c r="O941" s="46"/>
      <c r="P941" s="46"/>
      <c r="R941" s="15">
        <v>1.54E-2</v>
      </c>
      <c r="S941" s="18">
        <f>(Tabela25[[#This Row],[FRETE]]+Tabela25[[#This Row],[DESPESAS]]+Tabela25[[#This Row],[IPI]]+Tabela25[[#This Row],[Vl. Produto]])*Tabela25[[#This Row],[Aliq.%]]</f>
        <v>0</v>
      </c>
    </row>
    <row r="942" spans="13:19" x14ac:dyDescent="0.25">
      <c r="M942" s="46"/>
      <c r="N942" s="46"/>
      <c r="O942" s="46"/>
      <c r="P942" s="46"/>
      <c r="R942" s="15">
        <v>1.54E-2</v>
      </c>
      <c r="S942" s="18">
        <f>(Tabela25[[#This Row],[FRETE]]+Tabela25[[#This Row],[DESPESAS]]+Tabela25[[#This Row],[IPI]]+Tabela25[[#This Row],[Vl. Produto]])*Tabela25[[#This Row],[Aliq.%]]</f>
        <v>0</v>
      </c>
    </row>
    <row r="943" spans="13:19" x14ac:dyDescent="0.25">
      <c r="M943" s="46"/>
      <c r="N943" s="46"/>
      <c r="O943" s="46"/>
      <c r="P943" s="46"/>
      <c r="R943" s="15">
        <v>1.54E-2</v>
      </c>
      <c r="S943" s="18">
        <f>(Tabela25[[#This Row],[FRETE]]+Tabela25[[#This Row],[DESPESAS]]+Tabela25[[#This Row],[IPI]]+Tabela25[[#This Row],[Vl. Produto]])*Tabela25[[#This Row],[Aliq.%]]</f>
        <v>0</v>
      </c>
    </row>
    <row r="944" spans="13:19" x14ac:dyDescent="0.25">
      <c r="M944" s="46"/>
      <c r="N944" s="46"/>
      <c r="O944" s="46"/>
      <c r="P944" s="46"/>
      <c r="R944" s="15">
        <v>1.54E-2</v>
      </c>
      <c r="S944" s="18">
        <f>(Tabela25[[#This Row],[FRETE]]+Tabela25[[#This Row],[DESPESAS]]+Tabela25[[#This Row],[IPI]]+Tabela25[[#This Row],[Vl. Produto]])*Tabela25[[#This Row],[Aliq.%]]</f>
        <v>0</v>
      </c>
    </row>
    <row r="945" spans="13:19" x14ac:dyDescent="0.25">
      <c r="M945" s="46"/>
      <c r="N945" s="46"/>
      <c r="O945" s="46"/>
      <c r="P945" s="46"/>
      <c r="R945" s="15">
        <v>1.54E-2</v>
      </c>
      <c r="S945" s="18">
        <f>(Tabela25[[#This Row],[FRETE]]+Tabela25[[#This Row],[DESPESAS]]+Tabela25[[#This Row],[IPI]]+Tabela25[[#This Row],[Vl. Produto]])*Tabela25[[#This Row],[Aliq.%]]</f>
        <v>0</v>
      </c>
    </row>
    <row r="946" spans="13:19" x14ac:dyDescent="0.25">
      <c r="M946" s="46"/>
      <c r="N946" s="46"/>
      <c r="O946" s="46"/>
      <c r="P946" s="46"/>
      <c r="R946" s="15">
        <v>1.54E-2</v>
      </c>
      <c r="S946" s="18">
        <f>(Tabela25[[#This Row],[FRETE]]+Tabela25[[#This Row],[DESPESAS]]+Tabela25[[#This Row],[IPI]]+Tabela25[[#This Row],[Vl. Produto]])*Tabela25[[#This Row],[Aliq.%]]</f>
        <v>0</v>
      </c>
    </row>
    <row r="947" spans="13:19" x14ac:dyDescent="0.25">
      <c r="M947" s="46"/>
      <c r="N947" s="46"/>
      <c r="O947" s="46"/>
      <c r="P947" s="46"/>
      <c r="R947" s="15">
        <v>1.54E-2</v>
      </c>
      <c r="S947" s="18">
        <f>(Tabela25[[#This Row],[FRETE]]+Tabela25[[#This Row],[DESPESAS]]+Tabela25[[#This Row],[IPI]]+Tabela25[[#This Row],[Vl. Produto]])*Tabela25[[#This Row],[Aliq.%]]</f>
        <v>0</v>
      </c>
    </row>
    <row r="948" spans="13:19" x14ac:dyDescent="0.25">
      <c r="M948" s="46"/>
      <c r="N948" s="46"/>
      <c r="O948" s="46"/>
      <c r="P948" s="46"/>
      <c r="R948" s="15">
        <v>1.54E-2</v>
      </c>
      <c r="S948" s="18">
        <f>(Tabela25[[#This Row],[FRETE]]+Tabela25[[#This Row],[DESPESAS]]+Tabela25[[#This Row],[IPI]]+Tabela25[[#This Row],[Vl. Produto]])*Tabela25[[#This Row],[Aliq.%]]</f>
        <v>0</v>
      </c>
    </row>
    <row r="949" spans="13:19" x14ac:dyDescent="0.25">
      <c r="M949" s="46"/>
      <c r="N949" s="46"/>
      <c r="O949" s="46"/>
      <c r="P949" s="46"/>
      <c r="R949" s="15">
        <v>1.54E-2</v>
      </c>
      <c r="S949" s="18">
        <f>(Tabela25[[#This Row],[FRETE]]+Tabela25[[#This Row],[DESPESAS]]+Tabela25[[#This Row],[IPI]]+Tabela25[[#This Row],[Vl. Produto]])*Tabela25[[#This Row],[Aliq.%]]</f>
        <v>0</v>
      </c>
    </row>
    <row r="950" spans="13:19" x14ac:dyDescent="0.25">
      <c r="M950" s="46"/>
      <c r="N950" s="46"/>
      <c r="O950" s="46"/>
      <c r="P950" s="46"/>
      <c r="R950" s="15">
        <v>1.54E-2</v>
      </c>
      <c r="S950" s="18">
        <f>(Tabela25[[#This Row],[FRETE]]+Tabela25[[#This Row],[DESPESAS]]+Tabela25[[#This Row],[IPI]]+Tabela25[[#This Row],[Vl. Produto]])*Tabela25[[#This Row],[Aliq.%]]</f>
        <v>0</v>
      </c>
    </row>
    <row r="951" spans="13:19" x14ac:dyDescent="0.25">
      <c r="M951" s="46"/>
      <c r="N951" s="46"/>
      <c r="O951" s="46"/>
      <c r="P951" s="46"/>
      <c r="R951" s="15">
        <v>1.54E-2</v>
      </c>
      <c r="S951" s="18">
        <f>(Tabela25[[#This Row],[FRETE]]+Tabela25[[#This Row],[DESPESAS]]+Tabela25[[#This Row],[IPI]]+Tabela25[[#This Row],[Vl. Produto]])*Tabela25[[#This Row],[Aliq.%]]</f>
        <v>0</v>
      </c>
    </row>
    <row r="952" spans="13:19" x14ac:dyDescent="0.25">
      <c r="M952" s="46"/>
      <c r="N952" s="46"/>
      <c r="O952" s="46"/>
      <c r="P952" s="46"/>
      <c r="R952" s="15">
        <v>1.54E-2</v>
      </c>
      <c r="S952" s="18">
        <f>(Tabela25[[#This Row],[FRETE]]+Tabela25[[#This Row],[DESPESAS]]+Tabela25[[#This Row],[IPI]]+Tabela25[[#This Row],[Vl. Produto]])*Tabela25[[#This Row],[Aliq.%]]</f>
        <v>0</v>
      </c>
    </row>
    <row r="953" spans="13:19" x14ac:dyDescent="0.25">
      <c r="M953" s="46"/>
      <c r="N953" s="46"/>
      <c r="O953" s="46"/>
      <c r="P953" s="46"/>
      <c r="R953" s="15">
        <v>1.54E-2</v>
      </c>
      <c r="S953" s="18">
        <f>(Tabela25[[#This Row],[FRETE]]+Tabela25[[#This Row],[DESPESAS]]+Tabela25[[#This Row],[IPI]]+Tabela25[[#This Row],[Vl. Produto]])*Tabela25[[#This Row],[Aliq.%]]</f>
        <v>0</v>
      </c>
    </row>
    <row r="954" spans="13:19" x14ac:dyDescent="0.25">
      <c r="M954" s="46"/>
      <c r="N954" s="46"/>
      <c r="O954" s="46"/>
      <c r="P954" s="46"/>
      <c r="R954" s="15">
        <v>1.54E-2</v>
      </c>
      <c r="S954" s="18">
        <f>(Tabela25[[#This Row],[FRETE]]+Tabela25[[#This Row],[DESPESAS]]+Tabela25[[#This Row],[IPI]]+Tabela25[[#This Row],[Vl. Produto]])*Tabela25[[#This Row],[Aliq.%]]</f>
        <v>0</v>
      </c>
    </row>
    <row r="955" spans="13:19" x14ac:dyDescent="0.25">
      <c r="M955" s="46"/>
      <c r="N955" s="46"/>
      <c r="O955" s="46"/>
      <c r="P955" s="46"/>
      <c r="R955" s="15">
        <v>1.54E-2</v>
      </c>
      <c r="S955" s="18">
        <f>(Tabela25[[#This Row],[FRETE]]+Tabela25[[#This Row],[DESPESAS]]+Tabela25[[#This Row],[IPI]]+Tabela25[[#This Row],[Vl. Produto]])*Tabela25[[#This Row],[Aliq.%]]</f>
        <v>0</v>
      </c>
    </row>
    <row r="956" spans="13:19" x14ac:dyDescent="0.25">
      <c r="M956" s="46"/>
      <c r="N956" s="46"/>
      <c r="O956" s="46"/>
      <c r="P956" s="46"/>
      <c r="R956" s="15">
        <v>1.54E-2</v>
      </c>
      <c r="S956" s="18">
        <f>(Tabela25[[#This Row],[FRETE]]+Tabela25[[#This Row],[DESPESAS]]+Tabela25[[#This Row],[IPI]]+Tabela25[[#This Row],[Vl. Produto]])*Tabela25[[#This Row],[Aliq.%]]</f>
        <v>0</v>
      </c>
    </row>
    <row r="957" spans="13:19" x14ac:dyDescent="0.25">
      <c r="M957" s="46"/>
      <c r="N957" s="46"/>
      <c r="O957" s="46"/>
      <c r="P957" s="46"/>
      <c r="R957" s="15">
        <v>1.54E-2</v>
      </c>
      <c r="S957" s="18">
        <f>(Tabela25[[#This Row],[FRETE]]+Tabela25[[#This Row],[DESPESAS]]+Tabela25[[#This Row],[IPI]]+Tabela25[[#This Row],[Vl. Produto]])*Tabela25[[#This Row],[Aliq.%]]</f>
        <v>0</v>
      </c>
    </row>
    <row r="958" spans="13:19" x14ac:dyDescent="0.25">
      <c r="M958" s="46"/>
      <c r="N958" s="46"/>
      <c r="O958" s="46"/>
      <c r="P958" s="46"/>
      <c r="R958" s="15">
        <v>1.54E-2</v>
      </c>
      <c r="S958" s="18">
        <f>(Tabela25[[#This Row],[FRETE]]+Tabela25[[#This Row],[DESPESAS]]+Tabela25[[#This Row],[IPI]]+Tabela25[[#This Row],[Vl. Produto]])*Tabela25[[#This Row],[Aliq.%]]</f>
        <v>0</v>
      </c>
    </row>
    <row r="959" spans="13:19" x14ac:dyDescent="0.25">
      <c r="M959" s="46"/>
      <c r="N959" s="46"/>
      <c r="O959" s="46"/>
      <c r="P959" s="46"/>
      <c r="R959" s="15">
        <v>1.54E-2</v>
      </c>
      <c r="S959" s="18">
        <f>(Tabela25[[#This Row],[FRETE]]+Tabela25[[#This Row],[DESPESAS]]+Tabela25[[#This Row],[IPI]]+Tabela25[[#This Row],[Vl. Produto]])*Tabela25[[#This Row],[Aliq.%]]</f>
        <v>0</v>
      </c>
    </row>
    <row r="960" spans="13:19" x14ac:dyDescent="0.25">
      <c r="M960" s="46"/>
      <c r="N960" s="46"/>
      <c r="O960" s="46"/>
      <c r="P960" s="46"/>
      <c r="R960" s="15">
        <v>1.54E-2</v>
      </c>
      <c r="S960" s="18">
        <f>(Tabela25[[#This Row],[FRETE]]+Tabela25[[#This Row],[DESPESAS]]+Tabela25[[#This Row],[IPI]]+Tabela25[[#This Row],[Vl. Produto]])*Tabela25[[#This Row],[Aliq.%]]</f>
        <v>0</v>
      </c>
    </row>
    <row r="961" spans="13:19" x14ac:dyDescent="0.25">
      <c r="M961" s="46"/>
      <c r="N961" s="46"/>
      <c r="O961" s="46"/>
      <c r="P961" s="46"/>
      <c r="R961" s="15">
        <v>1.54E-2</v>
      </c>
      <c r="S961" s="18">
        <f>(Tabela25[[#This Row],[FRETE]]+Tabela25[[#This Row],[DESPESAS]]+Tabela25[[#This Row],[IPI]]+Tabela25[[#This Row],[Vl. Produto]])*Tabela25[[#This Row],[Aliq.%]]</f>
        <v>0</v>
      </c>
    </row>
    <row r="962" spans="13:19" x14ac:dyDescent="0.25">
      <c r="M962" s="46"/>
      <c r="N962" s="46"/>
      <c r="O962" s="46"/>
      <c r="P962" s="46"/>
      <c r="R962" s="15">
        <v>1.54E-2</v>
      </c>
      <c r="S962" s="18">
        <f>(Tabela25[[#This Row],[FRETE]]+Tabela25[[#This Row],[DESPESAS]]+Tabela25[[#This Row],[IPI]]+Tabela25[[#This Row],[Vl. Produto]])*Tabela25[[#This Row],[Aliq.%]]</f>
        <v>0</v>
      </c>
    </row>
    <row r="963" spans="13:19" x14ac:dyDescent="0.25">
      <c r="M963" s="46"/>
      <c r="N963" s="46"/>
      <c r="O963" s="46"/>
      <c r="P963" s="46"/>
      <c r="R963" s="15">
        <v>1.54E-2</v>
      </c>
      <c r="S963" s="18">
        <f>(Tabela25[[#This Row],[FRETE]]+Tabela25[[#This Row],[DESPESAS]]+Tabela25[[#This Row],[IPI]]+Tabela25[[#This Row],[Vl. Produto]])*Tabela25[[#This Row],[Aliq.%]]</f>
        <v>0</v>
      </c>
    </row>
    <row r="964" spans="13:19" x14ac:dyDescent="0.25">
      <c r="M964" s="46"/>
      <c r="N964" s="46"/>
      <c r="O964" s="46"/>
      <c r="P964" s="46"/>
      <c r="R964" s="15">
        <v>1.54E-2</v>
      </c>
      <c r="S964" s="18">
        <f>(Tabela25[[#This Row],[FRETE]]+Tabela25[[#This Row],[DESPESAS]]+Tabela25[[#This Row],[IPI]]+Tabela25[[#This Row],[Vl. Produto]])*Tabela25[[#This Row],[Aliq.%]]</f>
        <v>0</v>
      </c>
    </row>
    <row r="965" spans="13:19" x14ac:dyDescent="0.25">
      <c r="M965" s="46"/>
      <c r="N965" s="46"/>
      <c r="O965" s="46"/>
      <c r="P965" s="46"/>
      <c r="R965" s="15">
        <v>1.54E-2</v>
      </c>
      <c r="S965" s="18">
        <f>(Tabela25[[#This Row],[FRETE]]+Tabela25[[#This Row],[DESPESAS]]+Tabela25[[#This Row],[IPI]]+Tabela25[[#This Row],[Vl. Produto]])*Tabela25[[#This Row],[Aliq.%]]</f>
        <v>0</v>
      </c>
    </row>
    <row r="966" spans="13:19" x14ac:dyDescent="0.25">
      <c r="M966" s="46"/>
      <c r="N966" s="46"/>
      <c r="O966" s="46"/>
      <c r="P966" s="46"/>
      <c r="R966" s="15">
        <v>1.54E-2</v>
      </c>
      <c r="S966" s="18">
        <f>(Tabela25[[#This Row],[FRETE]]+Tabela25[[#This Row],[DESPESAS]]+Tabela25[[#This Row],[IPI]]+Tabela25[[#This Row],[Vl. Produto]])*Tabela25[[#This Row],[Aliq.%]]</f>
        <v>0</v>
      </c>
    </row>
    <row r="967" spans="13:19" x14ac:dyDescent="0.25">
      <c r="M967" s="46"/>
      <c r="N967" s="46"/>
      <c r="O967" s="46"/>
      <c r="P967" s="46"/>
      <c r="R967" s="15">
        <v>1.54E-2</v>
      </c>
      <c r="S967" s="18">
        <f>(Tabela25[[#This Row],[FRETE]]+Tabela25[[#This Row],[DESPESAS]]+Tabela25[[#This Row],[IPI]]+Tabela25[[#This Row],[Vl. Produto]])*Tabela25[[#This Row],[Aliq.%]]</f>
        <v>0</v>
      </c>
    </row>
    <row r="968" spans="13:19" x14ac:dyDescent="0.25">
      <c r="M968" s="46"/>
      <c r="N968" s="46"/>
      <c r="O968" s="46"/>
      <c r="P968" s="46"/>
      <c r="R968" s="15">
        <v>1.54E-2</v>
      </c>
      <c r="S968" s="18">
        <f>(Tabela25[[#This Row],[FRETE]]+Tabela25[[#This Row],[DESPESAS]]+Tabela25[[#This Row],[IPI]]+Tabela25[[#This Row],[Vl. Produto]])*Tabela25[[#This Row],[Aliq.%]]</f>
        <v>0</v>
      </c>
    </row>
    <row r="969" spans="13:19" x14ac:dyDescent="0.25">
      <c r="M969" s="46"/>
      <c r="N969" s="46"/>
      <c r="O969" s="46"/>
      <c r="P969" s="46"/>
      <c r="R969" s="15">
        <v>1.54E-2</v>
      </c>
      <c r="S969" s="18">
        <f>(Tabela25[[#This Row],[FRETE]]+Tabela25[[#This Row],[DESPESAS]]+Tabela25[[#This Row],[IPI]]+Tabela25[[#This Row],[Vl. Produto]])*Tabela25[[#This Row],[Aliq.%]]</f>
        <v>0</v>
      </c>
    </row>
    <row r="970" spans="13:19" x14ac:dyDescent="0.25">
      <c r="M970" s="46"/>
      <c r="N970" s="46"/>
      <c r="O970" s="46"/>
      <c r="P970" s="46"/>
      <c r="R970" s="15">
        <v>1.54E-2</v>
      </c>
      <c r="S970" s="18">
        <f>(Tabela25[[#This Row],[FRETE]]+Tabela25[[#This Row],[DESPESAS]]+Tabela25[[#This Row],[IPI]]+Tabela25[[#This Row],[Vl. Produto]])*Tabela25[[#This Row],[Aliq.%]]</f>
        <v>0</v>
      </c>
    </row>
    <row r="971" spans="13:19" x14ac:dyDescent="0.25">
      <c r="M971" s="46"/>
      <c r="N971" s="46"/>
      <c r="O971" s="46"/>
      <c r="P971" s="46"/>
      <c r="R971" s="15">
        <v>1.54E-2</v>
      </c>
      <c r="S971" s="18">
        <f>(Tabela25[[#This Row],[FRETE]]+Tabela25[[#This Row],[DESPESAS]]+Tabela25[[#This Row],[IPI]]+Tabela25[[#This Row],[Vl. Produto]])*Tabela25[[#This Row],[Aliq.%]]</f>
        <v>0</v>
      </c>
    </row>
    <row r="972" spans="13:19" x14ac:dyDescent="0.25">
      <c r="M972" s="46"/>
      <c r="N972" s="46"/>
      <c r="O972" s="46"/>
      <c r="P972" s="46"/>
      <c r="R972" s="15">
        <v>1.54E-2</v>
      </c>
      <c r="S972" s="18">
        <f>(Tabela25[[#This Row],[FRETE]]+Tabela25[[#This Row],[DESPESAS]]+Tabela25[[#This Row],[IPI]]+Tabela25[[#This Row],[Vl. Produto]])*Tabela25[[#This Row],[Aliq.%]]</f>
        <v>0</v>
      </c>
    </row>
    <row r="973" spans="13:19" x14ac:dyDescent="0.25">
      <c r="M973" s="46"/>
      <c r="N973" s="46"/>
      <c r="O973" s="46"/>
      <c r="P973" s="46"/>
      <c r="R973" s="15">
        <v>1.54E-2</v>
      </c>
      <c r="S973" s="18">
        <f>(Tabela25[[#This Row],[FRETE]]+Tabela25[[#This Row],[DESPESAS]]+Tabela25[[#This Row],[IPI]]+Tabela25[[#This Row],[Vl. Produto]])*Tabela25[[#This Row],[Aliq.%]]</f>
        <v>0</v>
      </c>
    </row>
    <row r="974" spans="13:19" x14ac:dyDescent="0.25">
      <c r="M974" s="46"/>
      <c r="N974" s="46"/>
      <c r="O974" s="46"/>
      <c r="P974" s="46"/>
      <c r="R974" s="15">
        <v>1.54E-2</v>
      </c>
      <c r="S974" s="18">
        <f>(Tabela25[[#This Row],[FRETE]]+Tabela25[[#This Row],[DESPESAS]]+Tabela25[[#This Row],[IPI]]+Tabela25[[#This Row],[Vl. Produto]])*Tabela25[[#This Row],[Aliq.%]]</f>
        <v>0</v>
      </c>
    </row>
    <row r="975" spans="13:19" x14ac:dyDescent="0.25">
      <c r="M975" s="46"/>
      <c r="N975" s="46"/>
      <c r="O975" s="46"/>
      <c r="P975" s="46"/>
      <c r="R975" s="15">
        <v>1.54E-2</v>
      </c>
      <c r="S975" s="18">
        <f>(Tabela25[[#This Row],[FRETE]]+Tabela25[[#This Row],[DESPESAS]]+Tabela25[[#This Row],[IPI]]+Tabela25[[#This Row],[Vl. Produto]])*Tabela25[[#This Row],[Aliq.%]]</f>
        <v>0</v>
      </c>
    </row>
    <row r="976" spans="13:19" x14ac:dyDescent="0.25">
      <c r="M976" s="46"/>
      <c r="N976" s="46"/>
      <c r="O976" s="46"/>
      <c r="P976" s="46"/>
      <c r="R976" s="15">
        <v>1.54E-2</v>
      </c>
      <c r="S976" s="18">
        <f>(Tabela25[[#This Row],[FRETE]]+Tabela25[[#This Row],[DESPESAS]]+Tabela25[[#This Row],[IPI]]+Tabela25[[#This Row],[Vl. Produto]])*Tabela25[[#This Row],[Aliq.%]]</f>
        <v>0</v>
      </c>
    </row>
    <row r="977" spans="13:19" x14ac:dyDescent="0.25">
      <c r="M977" s="46"/>
      <c r="N977" s="46"/>
      <c r="O977" s="46"/>
      <c r="P977" s="46"/>
      <c r="R977" s="15">
        <v>1.54E-2</v>
      </c>
      <c r="S977" s="18">
        <f>(Tabela25[[#This Row],[FRETE]]+Tabela25[[#This Row],[DESPESAS]]+Tabela25[[#This Row],[IPI]]+Tabela25[[#This Row],[Vl. Produto]])*Tabela25[[#This Row],[Aliq.%]]</f>
        <v>0</v>
      </c>
    </row>
    <row r="978" spans="13:19" x14ac:dyDescent="0.25">
      <c r="M978" s="46"/>
      <c r="N978" s="46"/>
      <c r="O978" s="46"/>
      <c r="P978" s="46"/>
      <c r="R978" s="15">
        <v>1.54E-2</v>
      </c>
      <c r="S978" s="18">
        <f>(Tabela25[[#This Row],[FRETE]]+Tabela25[[#This Row],[DESPESAS]]+Tabela25[[#This Row],[IPI]]+Tabela25[[#This Row],[Vl. Produto]])*Tabela25[[#This Row],[Aliq.%]]</f>
        <v>0</v>
      </c>
    </row>
    <row r="979" spans="13:19" x14ac:dyDescent="0.25">
      <c r="M979" s="46"/>
      <c r="N979" s="46"/>
      <c r="O979" s="46"/>
      <c r="P979" s="46"/>
      <c r="R979" s="15">
        <v>1.54E-2</v>
      </c>
      <c r="S979" s="18">
        <f>(Tabela25[[#This Row],[FRETE]]+Tabela25[[#This Row],[DESPESAS]]+Tabela25[[#This Row],[IPI]]+Tabela25[[#This Row],[Vl. Produto]])*Tabela25[[#This Row],[Aliq.%]]</f>
        <v>0</v>
      </c>
    </row>
    <row r="980" spans="13:19" x14ac:dyDescent="0.25">
      <c r="M980" s="46"/>
      <c r="N980" s="46"/>
      <c r="O980" s="46"/>
      <c r="P980" s="46"/>
      <c r="R980" s="15">
        <v>1.54E-2</v>
      </c>
      <c r="S980" s="18">
        <f>(Tabela25[[#This Row],[FRETE]]+Tabela25[[#This Row],[DESPESAS]]+Tabela25[[#This Row],[IPI]]+Tabela25[[#This Row],[Vl. Produto]])*Tabela25[[#This Row],[Aliq.%]]</f>
        <v>0</v>
      </c>
    </row>
    <row r="981" spans="13:19" x14ac:dyDescent="0.25">
      <c r="M981" s="46"/>
      <c r="N981" s="46"/>
      <c r="O981" s="46"/>
      <c r="P981" s="46"/>
      <c r="R981" s="15">
        <v>1.54E-2</v>
      </c>
      <c r="S981" s="18">
        <f>(Tabela25[[#This Row],[FRETE]]+Tabela25[[#This Row],[DESPESAS]]+Tabela25[[#This Row],[IPI]]+Tabela25[[#This Row],[Vl. Produto]])*Tabela25[[#This Row],[Aliq.%]]</f>
        <v>0</v>
      </c>
    </row>
    <row r="982" spans="13:19" x14ac:dyDescent="0.25">
      <c r="M982" s="46"/>
      <c r="N982" s="46"/>
      <c r="O982" s="46"/>
      <c r="P982" s="46"/>
      <c r="R982" s="15">
        <v>1.54E-2</v>
      </c>
      <c r="S982" s="18">
        <f>(Tabela25[[#This Row],[FRETE]]+Tabela25[[#This Row],[DESPESAS]]+Tabela25[[#This Row],[IPI]]+Tabela25[[#This Row],[Vl. Produto]])*Tabela25[[#This Row],[Aliq.%]]</f>
        <v>0</v>
      </c>
    </row>
    <row r="983" spans="13:19" x14ac:dyDescent="0.25">
      <c r="M983" s="46"/>
      <c r="N983" s="46"/>
      <c r="O983" s="46"/>
      <c r="P983" s="46"/>
      <c r="R983" s="15">
        <v>1.54E-2</v>
      </c>
      <c r="S983" s="18">
        <f>(Tabela25[[#This Row],[FRETE]]+Tabela25[[#This Row],[DESPESAS]]+Tabela25[[#This Row],[IPI]]+Tabela25[[#This Row],[Vl. Produto]])*Tabela25[[#This Row],[Aliq.%]]</f>
        <v>0</v>
      </c>
    </row>
    <row r="984" spans="13:19" x14ac:dyDescent="0.25">
      <c r="M984" s="46"/>
      <c r="N984" s="46"/>
      <c r="O984" s="46"/>
      <c r="P984" s="46"/>
      <c r="R984" s="15">
        <v>1.54E-2</v>
      </c>
      <c r="S984" s="18">
        <f>(Tabela25[[#This Row],[FRETE]]+Tabela25[[#This Row],[DESPESAS]]+Tabela25[[#This Row],[IPI]]+Tabela25[[#This Row],[Vl. Produto]])*Tabela25[[#This Row],[Aliq.%]]</f>
        <v>0</v>
      </c>
    </row>
    <row r="985" spans="13:19" x14ac:dyDescent="0.25">
      <c r="M985" s="46"/>
      <c r="N985" s="46"/>
      <c r="O985" s="46"/>
      <c r="P985" s="46"/>
      <c r="R985" s="15">
        <v>1.54E-2</v>
      </c>
      <c r="S985" s="18">
        <f>(Tabela25[[#This Row],[FRETE]]+Tabela25[[#This Row],[DESPESAS]]+Tabela25[[#This Row],[IPI]]+Tabela25[[#This Row],[Vl. Produto]])*Tabela25[[#This Row],[Aliq.%]]</f>
        <v>0</v>
      </c>
    </row>
    <row r="986" spans="13:19" x14ac:dyDescent="0.25">
      <c r="M986" s="46"/>
      <c r="N986" s="46"/>
      <c r="O986" s="46"/>
      <c r="P986" s="46"/>
      <c r="R986" s="15">
        <v>1.54E-2</v>
      </c>
      <c r="S986" s="18">
        <f>(Tabela25[[#This Row],[FRETE]]+Tabela25[[#This Row],[DESPESAS]]+Tabela25[[#This Row],[IPI]]+Tabela25[[#This Row],[Vl. Produto]])*Tabela25[[#This Row],[Aliq.%]]</f>
        <v>0</v>
      </c>
    </row>
    <row r="987" spans="13:19" x14ac:dyDescent="0.25">
      <c r="M987" s="46"/>
      <c r="N987" s="46"/>
      <c r="O987" s="46"/>
      <c r="P987" s="46"/>
      <c r="R987" s="15">
        <v>1.54E-2</v>
      </c>
      <c r="S987" s="18">
        <f>(Tabela25[[#This Row],[FRETE]]+Tabela25[[#This Row],[DESPESAS]]+Tabela25[[#This Row],[IPI]]+Tabela25[[#This Row],[Vl. Produto]])*Tabela25[[#This Row],[Aliq.%]]</f>
        <v>0</v>
      </c>
    </row>
    <row r="988" spans="13:19" x14ac:dyDescent="0.25">
      <c r="M988" s="46"/>
      <c r="N988" s="46"/>
      <c r="O988" s="46"/>
      <c r="P988" s="46"/>
      <c r="R988" s="15">
        <v>1.54E-2</v>
      </c>
      <c r="S988" s="18">
        <f>(Tabela25[[#This Row],[FRETE]]+Tabela25[[#This Row],[DESPESAS]]+Tabela25[[#This Row],[IPI]]+Tabela25[[#This Row],[Vl. Produto]])*Tabela25[[#This Row],[Aliq.%]]</f>
        <v>0</v>
      </c>
    </row>
    <row r="989" spans="13:19" x14ac:dyDescent="0.25">
      <c r="M989" s="46"/>
      <c r="N989" s="46"/>
      <c r="O989" s="46"/>
      <c r="P989" s="46"/>
      <c r="R989" s="15">
        <v>1.54E-2</v>
      </c>
      <c r="S989" s="18">
        <f>(Tabela25[[#This Row],[FRETE]]+Tabela25[[#This Row],[DESPESAS]]+Tabela25[[#This Row],[IPI]]+Tabela25[[#This Row],[Vl. Produto]])*Tabela25[[#This Row],[Aliq.%]]</f>
        <v>0</v>
      </c>
    </row>
    <row r="990" spans="13:19" x14ac:dyDescent="0.25">
      <c r="M990" s="46"/>
      <c r="N990" s="46"/>
      <c r="O990" s="46"/>
      <c r="P990" s="46"/>
      <c r="R990" s="15">
        <v>1.54E-2</v>
      </c>
      <c r="S990" s="18">
        <f>(Tabela25[[#This Row],[FRETE]]+Tabela25[[#This Row],[DESPESAS]]+Tabela25[[#This Row],[IPI]]+Tabela25[[#This Row],[Vl. Produto]])*Tabela25[[#This Row],[Aliq.%]]</f>
        <v>0</v>
      </c>
    </row>
    <row r="991" spans="13:19" x14ac:dyDescent="0.25">
      <c r="M991" s="46"/>
      <c r="N991" s="46"/>
      <c r="O991" s="46"/>
      <c r="P991" s="46"/>
      <c r="R991" s="15">
        <v>1.54E-2</v>
      </c>
      <c r="S991" s="18">
        <f>(Tabela25[[#This Row],[FRETE]]+Tabela25[[#This Row],[DESPESAS]]+Tabela25[[#This Row],[IPI]]+Tabela25[[#This Row],[Vl. Produto]])*Tabela25[[#This Row],[Aliq.%]]</f>
        <v>0</v>
      </c>
    </row>
    <row r="992" spans="13:19" x14ac:dyDescent="0.25">
      <c r="M992" s="46"/>
      <c r="N992" s="46"/>
      <c r="O992" s="46"/>
      <c r="P992" s="46"/>
      <c r="R992" s="15">
        <v>1.54E-2</v>
      </c>
      <c r="S992" s="18">
        <f>(Tabela25[[#This Row],[FRETE]]+Tabela25[[#This Row],[DESPESAS]]+Tabela25[[#This Row],[IPI]]+Tabela25[[#This Row],[Vl. Produto]])*Tabela25[[#This Row],[Aliq.%]]</f>
        <v>0</v>
      </c>
    </row>
    <row r="993" spans="13:19" x14ac:dyDescent="0.25">
      <c r="M993" s="46"/>
      <c r="N993" s="46"/>
      <c r="O993" s="46"/>
      <c r="P993" s="46"/>
      <c r="R993" s="15">
        <v>1.54E-2</v>
      </c>
      <c r="S993" s="18">
        <f>(Tabela25[[#This Row],[FRETE]]+Tabela25[[#This Row],[DESPESAS]]+Tabela25[[#This Row],[IPI]]+Tabela25[[#This Row],[Vl. Produto]])*Tabela25[[#This Row],[Aliq.%]]</f>
        <v>0</v>
      </c>
    </row>
    <row r="994" spans="13:19" x14ac:dyDescent="0.25">
      <c r="M994" s="46"/>
      <c r="N994" s="46"/>
      <c r="O994" s="46"/>
      <c r="P994" s="46"/>
      <c r="R994" s="15">
        <v>1.54E-2</v>
      </c>
      <c r="S994" s="18">
        <f>(Tabela25[[#This Row],[FRETE]]+Tabela25[[#This Row],[DESPESAS]]+Tabela25[[#This Row],[IPI]]+Tabela25[[#This Row],[Vl. Produto]])*Tabela25[[#This Row],[Aliq.%]]</f>
        <v>0</v>
      </c>
    </row>
    <row r="995" spans="13:19" x14ac:dyDescent="0.25">
      <c r="M995" s="46"/>
      <c r="N995" s="46"/>
      <c r="O995" s="46"/>
      <c r="P995" s="46"/>
      <c r="R995" s="15">
        <v>1.54E-2</v>
      </c>
      <c r="S995" s="18">
        <f>(Tabela25[[#This Row],[FRETE]]+Tabela25[[#This Row],[DESPESAS]]+Tabela25[[#This Row],[IPI]]+Tabela25[[#This Row],[Vl. Produto]])*Tabela25[[#This Row],[Aliq.%]]</f>
        <v>0</v>
      </c>
    </row>
    <row r="996" spans="13:19" x14ac:dyDescent="0.25">
      <c r="M996" s="46"/>
      <c r="N996" s="46"/>
      <c r="O996" s="46"/>
      <c r="P996" s="46"/>
      <c r="R996" s="15">
        <v>1.54E-2</v>
      </c>
      <c r="S996" s="18">
        <f>(Tabela25[[#This Row],[FRETE]]+Tabela25[[#This Row],[DESPESAS]]+Tabela25[[#This Row],[IPI]]+Tabela25[[#This Row],[Vl. Produto]])*Tabela25[[#This Row],[Aliq.%]]</f>
        <v>0</v>
      </c>
    </row>
    <row r="997" spans="13:19" x14ac:dyDescent="0.25">
      <c r="M997" s="46"/>
      <c r="N997" s="46"/>
      <c r="O997" s="46"/>
      <c r="P997" s="46"/>
      <c r="R997" s="15">
        <v>1.54E-2</v>
      </c>
      <c r="S997" s="18">
        <f>(Tabela25[[#This Row],[FRETE]]+Tabela25[[#This Row],[DESPESAS]]+Tabela25[[#This Row],[IPI]]+Tabela25[[#This Row],[Vl. Produto]])*Tabela25[[#This Row],[Aliq.%]]</f>
        <v>0</v>
      </c>
    </row>
    <row r="998" spans="13:19" x14ac:dyDescent="0.25">
      <c r="M998" s="46"/>
      <c r="N998" s="46"/>
      <c r="O998" s="46"/>
      <c r="P998" s="46"/>
      <c r="R998" s="15">
        <v>1.54E-2</v>
      </c>
      <c r="S998" s="18">
        <f>(Tabela25[[#This Row],[FRETE]]+Tabela25[[#This Row],[DESPESAS]]+Tabela25[[#This Row],[IPI]]+Tabela25[[#This Row],[Vl. Produto]])*Tabela25[[#This Row],[Aliq.%]]</f>
        <v>0</v>
      </c>
    </row>
    <row r="999" spans="13:19" x14ac:dyDescent="0.25">
      <c r="M999" s="46"/>
      <c r="N999" s="46"/>
      <c r="O999" s="46"/>
      <c r="P999" s="46"/>
      <c r="R999" s="15">
        <v>1.54E-2</v>
      </c>
      <c r="S999" s="18">
        <f>(Tabela25[[#This Row],[FRETE]]+Tabela25[[#This Row],[DESPESAS]]+Tabela25[[#This Row],[IPI]]+Tabela25[[#This Row],[Vl. Produto]])*Tabela25[[#This Row],[Aliq.%]]</f>
        <v>0</v>
      </c>
    </row>
    <row r="1000" spans="13:19" x14ac:dyDescent="0.25">
      <c r="M1000" s="46"/>
      <c r="N1000" s="46"/>
      <c r="O1000" s="46"/>
      <c r="P1000" s="46"/>
      <c r="R1000" s="15">
        <v>1.54E-2</v>
      </c>
      <c r="S1000" s="18">
        <f>(Tabela25[[#This Row],[FRETE]]+Tabela25[[#This Row],[DESPESAS]]+Tabela25[[#This Row],[IPI]]+Tabela25[[#This Row],[Vl. Produto]])*Tabela25[[#This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B1:U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7" width="10.7109375" style="17" customWidth="1"/>
    <col min="18" max="18" width="10.7109375" style="3" customWidth="1"/>
    <col min="19" max="19" width="20.7109375" style="4" customWidth="1"/>
    <col min="20" max="20" width="1.85546875" style="1" customWidth="1"/>
    <col min="21" max="21" width="10.7109375" style="1" customWidth="1"/>
    <col min="22" max="16384" width="9.140625" style="1"/>
  </cols>
  <sheetData>
    <row r="1" spans="2:21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34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35</v>
      </c>
      <c r="R1" s="13" t="s">
        <v>1</v>
      </c>
      <c r="S1" s="14" t="s">
        <v>2</v>
      </c>
      <c r="U1" s="47">
        <f>SUBTOTAL(109,Tabela22[ICMS ST a Recolher])</f>
        <v>0</v>
      </c>
    </row>
    <row r="2" spans="2:21" x14ac:dyDescent="0.25">
      <c r="B2" s="9"/>
      <c r="C2" s="6"/>
      <c r="M2" s="46"/>
      <c r="N2" s="46"/>
      <c r="O2" s="46"/>
      <c r="P2" s="46"/>
      <c r="R2" s="15">
        <v>0.04</v>
      </c>
      <c r="S2" s="18">
        <f>(Tabela22[[#This Row],[FRETE]]+Tabela22[[#This Row],[DESPESAS]]+Tabela22[[#This Row],[IPI]]+Tabela22[[#This Row],[Vl. Produto]])*Tabela22[[#This Row],[Aliq.%]]</f>
        <v>0</v>
      </c>
    </row>
    <row r="3" spans="2:21" x14ac:dyDescent="0.25">
      <c r="B3" s="9"/>
      <c r="C3" s="6"/>
      <c r="M3" s="46"/>
      <c r="N3" s="46"/>
      <c r="O3" s="46"/>
      <c r="P3" s="46"/>
      <c r="R3" s="15">
        <v>0.04</v>
      </c>
      <c r="S3" s="18">
        <f>(Tabela22[[#This Row],[FRETE]]+Tabela22[[#This Row],[DESPESAS]]+Tabela22[[#This Row],[IPI]]+Tabela22[[#This Row],[Vl. Produto]])*Tabela22[[#This Row],[Aliq.%]]</f>
        <v>0</v>
      </c>
    </row>
    <row r="4" spans="2:21" x14ac:dyDescent="0.25">
      <c r="B4" s="9"/>
      <c r="C4" s="6"/>
      <c r="M4" s="46"/>
      <c r="N4" s="46"/>
      <c r="O4" s="46"/>
      <c r="P4" s="46"/>
      <c r="R4" s="15">
        <v>0.04</v>
      </c>
      <c r="S4" s="18">
        <f>(Tabela22[[#This Row],[FRETE]]+Tabela22[[#This Row],[DESPESAS]]+Tabela22[[#This Row],[IPI]]+Tabela22[[#This Row],[Vl. Produto]])*Tabela22[[#This Row],[Aliq.%]]</f>
        <v>0</v>
      </c>
    </row>
    <row r="5" spans="2:21" x14ac:dyDescent="0.25">
      <c r="B5" s="9"/>
      <c r="C5" s="6"/>
      <c r="M5" s="46"/>
      <c r="N5" s="46"/>
      <c r="O5" s="46"/>
      <c r="P5" s="46"/>
      <c r="R5" s="15">
        <v>0.04</v>
      </c>
      <c r="S5" s="18">
        <f>(Tabela22[[#This Row],[FRETE]]+Tabela22[[#This Row],[DESPESAS]]+Tabela22[[#This Row],[IPI]]+Tabela22[[#This Row],[Vl. Produto]])*Tabela22[[#This Row],[Aliq.%]]</f>
        <v>0</v>
      </c>
    </row>
    <row r="6" spans="2:21" x14ac:dyDescent="0.25">
      <c r="B6" s="9"/>
      <c r="C6" s="6"/>
      <c r="M6" s="46"/>
      <c r="N6" s="46"/>
      <c r="O6" s="46"/>
      <c r="P6" s="46"/>
      <c r="R6" s="15">
        <v>0.04</v>
      </c>
      <c r="S6" s="18">
        <f>(Tabela22[[#This Row],[FRETE]]+Tabela22[[#This Row],[DESPESAS]]+Tabela22[[#This Row],[IPI]]+Tabela22[[#This Row],[Vl. Produto]])*Tabela22[[#This Row],[Aliq.%]]</f>
        <v>0</v>
      </c>
    </row>
    <row r="7" spans="2:21" x14ac:dyDescent="0.25">
      <c r="B7" s="9"/>
      <c r="C7" s="6"/>
      <c r="M7" s="46"/>
      <c r="N7" s="46"/>
      <c r="O7" s="46"/>
      <c r="P7" s="46"/>
      <c r="R7" s="15">
        <v>0.04</v>
      </c>
      <c r="S7" s="18">
        <f>(Tabela22[[#This Row],[FRETE]]+Tabela22[[#This Row],[DESPESAS]]+Tabela22[[#This Row],[IPI]]+Tabela22[[#This Row],[Vl. Produto]])*Tabela22[[#This Row],[Aliq.%]]</f>
        <v>0</v>
      </c>
    </row>
    <row r="8" spans="2:21" x14ac:dyDescent="0.25">
      <c r="B8" s="9"/>
      <c r="C8" s="6"/>
      <c r="M8" s="46"/>
      <c r="N8" s="46"/>
      <c r="O8" s="46"/>
      <c r="P8" s="46"/>
      <c r="R8" s="15">
        <v>0.04</v>
      </c>
      <c r="S8" s="18">
        <f>(Tabela22[[#This Row],[FRETE]]+Tabela22[[#This Row],[DESPESAS]]+Tabela22[[#This Row],[IPI]]+Tabela22[[#This Row],[Vl. Produto]])*Tabela22[[#This Row],[Aliq.%]]</f>
        <v>0</v>
      </c>
    </row>
    <row r="9" spans="2:21" x14ac:dyDescent="0.25">
      <c r="B9" s="62" t="s">
        <v>15</v>
      </c>
      <c r="C9" s="6"/>
      <c r="M9" s="46"/>
      <c r="N9" s="46"/>
      <c r="O9" s="46"/>
      <c r="P9" s="46"/>
      <c r="R9" s="15">
        <v>0.04</v>
      </c>
      <c r="S9" s="18">
        <f>(Tabela22[[#This Row],[FRETE]]+Tabela22[[#This Row],[DESPESAS]]+Tabela22[[#This Row],[IPI]]+Tabela22[[#This Row],[Vl. Produto]])*Tabela22[[#This Row],[Aliq.%]]</f>
        <v>0</v>
      </c>
    </row>
    <row r="10" spans="2:21" x14ac:dyDescent="0.25">
      <c r="B10" s="62"/>
      <c r="C10" s="6"/>
      <c r="M10" s="46"/>
      <c r="N10" s="46"/>
      <c r="O10" s="46"/>
      <c r="P10" s="46"/>
      <c r="R10" s="15">
        <v>0.04</v>
      </c>
      <c r="S10" s="18">
        <f>(Tabela22[[#This Row],[FRETE]]+Tabela22[[#This Row],[DESPESAS]]+Tabela22[[#This Row],[IPI]]+Tabela22[[#This Row],[Vl. Produto]])*Tabela22[[#This Row],[Aliq.%]]</f>
        <v>0</v>
      </c>
    </row>
    <row r="11" spans="2:21" x14ac:dyDescent="0.25">
      <c r="B11" s="62"/>
      <c r="C11" s="6"/>
      <c r="M11" s="46"/>
      <c r="N11" s="46"/>
      <c r="O11" s="46"/>
      <c r="P11" s="46"/>
      <c r="R11" s="15">
        <v>0.04</v>
      </c>
      <c r="S11" s="18">
        <f>(Tabela22[[#This Row],[FRETE]]+Tabela22[[#This Row],[DESPESAS]]+Tabela22[[#This Row],[IPI]]+Tabela22[[#This Row],[Vl. Produto]])*Tabela22[[#This Row],[Aliq.%]]</f>
        <v>0</v>
      </c>
    </row>
    <row r="12" spans="2:21" x14ac:dyDescent="0.25">
      <c r="B12" s="62"/>
      <c r="C12" s="6"/>
      <c r="M12" s="46"/>
      <c r="N12" s="46"/>
      <c r="O12" s="46"/>
      <c r="P12" s="46"/>
      <c r="R12" s="15">
        <v>0.04</v>
      </c>
      <c r="S12" s="18">
        <f>(Tabela22[[#This Row],[FRETE]]+Tabela22[[#This Row],[DESPESAS]]+Tabela22[[#This Row],[IPI]]+Tabela22[[#This Row],[Vl. Produto]])*Tabela22[[#This Row],[Aliq.%]]</f>
        <v>0</v>
      </c>
    </row>
    <row r="13" spans="2:21" x14ac:dyDescent="0.25">
      <c r="B13" s="62"/>
      <c r="C13" s="6"/>
      <c r="M13" s="46"/>
      <c r="N13" s="46"/>
      <c r="O13" s="46"/>
      <c r="P13" s="46"/>
      <c r="R13" s="15">
        <v>0.04</v>
      </c>
      <c r="S13" s="18">
        <f>(Tabela22[[#This Row],[FRETE]]+Tabela22[[#This Row],[DESPESAS]]+Tabela22[[#This Row],[IPI]]+Tabela22[[#This Row],[Vl. Produto]])*Tabela22[[#This Row],[Aliq.%]]</f>
        <v>0</v>
      </c>
    </row>
    <row r="14" spans="2:21" x14ac:dyDescent="0.25">
      <c r="B14" s="62"/>
      <c r="C14" s="6"/>
      <c r="M14" s="46"/>
      <c r="N14" s="46"/>
      <c r="O14" s="46"/>
      <c r="P14" s="46"/>
      <c r="R14" s="15">
        <v>0.04</v>
      </c>
      <c r="S14" s="18">
        <f>(Tabela22[[#This Row],[FRETE]]+Tabela22[[#This Row],[DESPESAS]]+Tabela22[[#This Row],[IPI]]+Tabela22[[#This Row],[Vl. Produto]])*Tabela22[[#This Row],[Aliq.%]]</f>
        <v>0</v>
      </c>
    </row>
    <row r="15" spans="2:21" x14ac:dyDescent="0.25">
      <c r="B15" s="62"/>
      <c r="C15" s="6"/>
      <c r="M15" s="46"/>
      <c r="N15" s="46"/>
      <c r="O15" s="46"/>
      <c r="P15" s="46"/>
      <c r="R15" s="15">
        <v>0.04</v>
      </c>
      <c r="S15" s="18">
        <f>(Tabela22[[#This Row],[FRETE]]+Tabela22[[#This Row],[DESPESAS]]+Tabela22[[#This Row],[IPI]]+Tabela22[[#This Row],[Vl. Produto]])*Tabela22[[#This Row],[Aliq.%]]</f>
        <v>0</v>
      </c>
    </row>
    <row r="16" spans="2:21" x14ac:dyDescent="0.25">
      <c r="B16" s="62"/>
      <c r="C16" s="6"/>
      <c r="M16" s="46"/>
      <c r="N16" s="46"/>
      <c r="O16" s="46"/>
      <c r="P16" s="46"/>
      <c r="R16" s="15">
        <v>0.04</v>
      </c>
      <c r="S16" s="18">
        <f>(Tabela22[[#This Row],[FRETE]]+Tabela22[[#This Row],[DESPESAS]]+Tabela22[[#This Row],[IPI]]+Tabela22[[#This Row],[Vl. Produto]])*Tabela22[[#This Row],[Aliq.%]]</f>
        <v>0</v>
      </c>
    </row>
    <row r="17" spans="2:19" x14ac:dyDescent="0.25">
      <c r="B17" s="62"/>
      <c r="C17" s="6"/>
      <c r="M17" s="46"/>
      <c r="N17" s="46"/>
      <c r="O17" s="46"/>
      <c r="P17" s="46"/>
      <c r="R17" s="15">
        <v>0.04</v>
      </c>
      <c r="S17" s="18">
        <f>(Tabela22[[#This Row],[FRETE]]+Tabela22[[#This Row],[DESPESAS]]+Tabela22[[#This Row],[IPI]]+Tabela22[[#This Row],[Vl. Produto]])*Tabela22[[#This Row],[Aliq.%]]</f>
        <v>0</v>
      </c>
    </row>
    <row r="18" spans="2:19" x14ac:dyDescent="0.25">
      <c r="B18" s="9"/>
      <c r="C18" s="6"/>
      <c r="M18" s="46"/>
      <c r="N18" s="46"/>
      <c r="O18" s="46"/>
      <c r="P18" s="46"/>
      <c r="R18" s="15">
        <v>0.04</v>
      </c>
      <c r="S18" s="18">
        <f>(Tabela22[[#This Row],[FRETE]]+Tabela22[[#This Row],[DESPESAS]]+Tabela22[[#This Row],[IPI]]+Tabela22[[#This Row],[Vl. Produto]])*Tabela22[[#This Row],[Aliq.%]]</f>
        <v>0</v>
      </c>
    </row>
    <row r="19" spans="2:19" x14ac:dyDescent="0.25">
      <c r="B19" s="9"/>
      <c r="C19" s="6"/>
      <c r="M19" s="46"/>
      <c r="N19" s="46"/>
      <c r="O19" s="46"/>
      <c r="P19" s="46"/>
      <c r="R19" s="15">
        <v>0.04</v>
      </c>
      <c r="S19" s="18">
        <f>(Tabela22[[#This Row],[FRETE]]+Tabela22[[#This Row],[DESPESAS]]+Tabela22[[#This Row],[IPI]]+Tabela22[[#This Row],[Vl. Produto]])*Tabela22[[#This Row],[Aliq.%]]</f>
        <v>0</v>
      </c>
    </row>
    <row r="20" spans="2:19" x14ac:dyDescent="0.25">
      <c r="B20" s="9"/>
      <c r="C20" s="6"/>
      <c r="M20" s="46"/>
      <c r="N20" s="46"/>
      <c r="O20" s="46"/>
      <c r="P20" s="46"/>
      <c r="R20" s="15">
        <v>0.04</v>
      </c>
      <c r="S20" s="18">
        <f>(Tabela22[[#This Row],[FRETE]]+Tabela22[[#This Row],[DESPESAS]]+Tabela22[[#This Row],[IPI]]+Tabela22[[#This Row],[Vl. Produto]])*Tabela22[[#This Row],[Aliq.%]]</f>
        <v>0</v>
      </c>
    </row>
    <row r="21" spans="2:19" x14ac:dyDescent="0.25">
      <c r="B21" s="9"/>
      <c r="C21" s="6"/>
      <c r="M21" s="46"/>
      <c r="N21" s="46"/>
      <c r="O21" s="46"/>
      <c r="P21" s="46"/>
      <c r="R21" s="15">
        <v>0.04</v>
      </c>
      <c r="S21" s="18">
        <f>(Tabela22[[#This Row],[FRETE]]+Tabela22[[#This Row],[DESPESAS]]+Tabela22[[#This Row],[IPI]]+Tabela22[[#This Row],[Vl. Produto]])*Tabela22[[#This Row],[Aliq.%]]</f>
        <v>0</v>
      </c>
    </row>
    <row r="22" spans="2:19" x14ac:dyDescent="0.25">
      <c r="B22" s="9"/>
      <c r="C22" s="6"/>
      <c r="M22" s="46"/>
      <c r="N22" s="46"/>
      <c r="O22" s="46"/>
      <c r="P22" s="46"/>
      <c r="R22" s="15">
        <v>0.04</v>
      </c>
      <c r="S22" s="18">
        <f>(Tabela22[[#This Row],[FRETE]]+Tabela22[[#This Row],[DESPESAS]]+Tabela22[[#This Row],[IPI]]+Tabela22[[#This Row],[Vl. Produto]])*Tabela22[[#This Row],[Aliq.%]]</f>
        <v>0</v>
      </c>
    </row>
    <row r="23" spans="2:19" x14ac:dyDescent="0.25">
      <c r="B23" s="9"/>
      <c r="C23" s="6"/>
      <c r="M23" s="46"/>
      <c r="N23" s="46"/>
      <c r="O23" s="46"/>
      <c r="P23" s="46"/>
      <c r="R23" s="15">
        <v>0.04</v>
      </c>
      <c r="S23" s="18">
        <f>(Tabela22[[#This Row],[FRETE]]+Tabela22[[#This Row],[DESPESAS]]+Tabela22[[#This Row],[IPI]]+Tabela22[[#This Row],[Vl. Produto]])*Tabela22[[#This Row],[Aliq.%]]</f>
        <v>0</v>
      </c>
    </row>
    <row r="24" spans="2:19" x14ac:dyDescent="0.25">
      <c r="B24" s="9"/>
      <c r="C24" s="6"/>
      <c r="M24" s="46"/>
      <c r="N24" s="46"/>
      <c r="O24" s="46"/>
      <c r="P24" s="46"/>
      <c r="R24" s="15">
        <v>0.04</v>
      </c>
      <c r="S24" s="18">
        <f>(Tabela22[[#This Row],[FRETE]]+Tabela22[[#This Row],[DESPESAS]]+Tabela22[[#This Row],[IPI]]+Tabela22[[#This Row],[Vl. Produto]])*Tabela22[[#This Row],[Aliq.%]]</f>
        <v>0</v>
      </c>
    </row>
    <row r="25" spans="2:19" x14ac:dyDescent="0.25">
      <c r="B25" s="9"/>
      <c r="C25" s="6"/>
      <c r="M25" s="46"/>
      <c r="N25" s="46"/>
      <c r="O25" s="46"/>
      <c r="P25" s="46"/>
      <c r="R25" s="15">
        <v>0.04</v>
      </c>
      <c r="S25" s="18">
        <f>(Tabela22[[#This Row],[FRETE]]+Tabela22[[#This Row],[DESPESAS]]+Tabela22[[#This Row],[IPI]]+Tabela22[[#This Row],[Vl. Produto]])*Tabela22[[#This Row],[Aliq.%]]</f>
        <v>0</v>
      </c>
    </row>
    <row r="26" spans="2:19" x14ac:dyDescent="0.25">
      <c r="B26" s="9"/>
      <c r="C26" s="6"/>
      <c r="M26" s="46"/>
      <c r="N26" s="46"/>
      <c r="O26" s="46"/>
      <c r="P26" s="46"/>
      <c r="R26" s="15">
        <v>0.04</v>
      </c>
      <c r="S26" s="18">
        <f>(Tabela22[[#This Row],[FRETE]]+Tabela22[[#This Row],[DESPESAS]]+Tabela22[[#This Row],[IPI]]+Tabela22[[#This Row],[Vl. Produto]])*Tabela22[[#This Row],[Aliq.%]]</f>
        <v>0</v>
      </c>
    </row>
    <row r="27" spans="2:19" x14ac:dyDescent="0.25">
      <c r="B27" s="9"/>
      <c r="C27" s="6"/>
      <c r="M27" s="46"/>
      <c r="N27" s="46"/>
      <c r="O27" s="46"/>
      <c r="P27" s="46"/>
      <c r="R27" s="15">
        <v>0.04</v>
      </c>
      <c r="S27" s="18">
        <f>(Tabela22[[#This Row],[FRETE]]+Tabela22[[#This Row],[DESPESAS]]+Tabela22[[#This Row],[IPI]]+Tabela22[[#This Row],[Vl. Produto]])*Tabela22[[#This Row],[Aliq.%]]</f>
        <v>0</v>
      </c>
    </row>
    <row r="28" spans="2:19" x14ac:dyDescent="0.25">
      <c r="M28" s="46"/>
      <c r="N28" s="46"/>
      <c r="O28" s="46"/>
      <c r="P28" s="46"/>
      <c r="R28" s="15">
        <v>0.04</v>
      </c>
      <c r="S28" s="18">
        <f>(Tabela22[[#This Row],[FRETE]]+Tabela22[[#This Row],[DESPESAS]]+Tabela22[[#This Row],[IPI]]+Tabela22[[#This Row],[Vl. Produto]])*Tabela22[[#This Row],[Aliq.%]]</f>
        <v>0</v>
      </c>
    </row>
    <row r="29" spans="2:19" x14ac:dyDescent="0.25">
      <c r="M29" s="46"/>
      <c r="N29" s="46"/>
      <c r="O29" s="46"/>
      <c r="P29" s="46"/>
      <c r="R29" s="15">
        <v>0.04</v>
      </c>
      <c r="S29" s="18">
        <f>(Tabela22[[#This Row],[FRETE]]+Tabela22[[#This Row],[DESPESAS]]+Tabela22[[#This Row],[IPI]]+Tabela22[[#This Row],[Vl. Produto]])*Tabela22[[#This Row],[Aliq.%]]</f>
        <v>0</v>
      </c>
    </row>
    <row r="30" spans="2:19" x14ac:dyDescent="0.25">
      <c r="M30" s="46"/>
      <c r="N30" s="46"/>
      <c r="O30" s="46"/>
      <c r="P30" s="46"/>
      <c r="R30" s="15">
        <v>0.04</v>
      </c>
      <c r="S30" s="18">
        <f>(Tabela22[[#This Row],[FRETE]]+Tabela22[[#This Row],[DESPESAS]]+Tabela22[[#This Row],[IPI]]+Tabela22[[#This Row],[Vl. Produto]])*Tabela22[[#This Row],[Aliq.%]]</f>
        <v>0</v>
      </c>
    </row>
    <row r="31" spans="2:19" x14ac:dyDescent="0.25">
      <c r="M31" s="46"/>
      <c r="N31" s="46"/>
      <c r="O31" s="46"/>
      <c r="P31" s="46"/>
      <c r="R31" s="15">
        <v>0.04</v>
      </c>
      <c r="S31" s="18">
        <f>(Tabela22[[#This Row],[FRETE]]+Tabela22[[#This Row],[DESPESAS]]+Tabela22[[#This Row],[IPI]]+Tabela22[[#This Row],[Vl. Produto]])*Tabela22[[#This Row],[Aliq.%]]</f>
        <v>0</v>
      </c>
    </row>
    <row r="32" spans="2:19" x14ac:dyDescent="0.25">
      <c r="M32" s="46"/>
      <c r="N32" s="46"/>
      <c r="O32" s="46"/>
      <c r="P32" s="46"/>
      <c r="R32" s="15">
        <v>0.04</v>
      </c>
      <c r="S32" s="18">
        <f>(Tabela22[[#This Row],[FRETE]]+Tabela22[[#This Row],[DESPESAS]]+Tabela22[[#This Row],[IPI]]+Tabela22[[#This Row],[Vl. Produto]])*Tabela22[[#This Row],[Aliq.%]]</f>
        <v>0</v>
      </c>
    </row>
    <row r="33" spans="13:19" x14ac:dyDescent="0.25">
      <c r="M33" s="46"/>
      <c r="N33" s="46"/>
      <c r="O33" s="46"/>
      <c r="P33" s="46"/>
      <c r="R33" s="15">
        <v>0.04</v>
      </c>
      <c r="S33" s="18">
        <f>(Tabela22[[#This Row],[FRETE]]+Tabela22[[#This Row],[DESPESAS]]+Tabela22[[#This Row],[IPI]]+Tabela22[[#This Row],[Vl. Produto]])*Tabela22[[#This Row],[Aliq.%]]</f>
        <v>0</v>
      </c>
    </row>
    <row r="34" spans="13:19" x14ac:dyDescent="0.25">
      <c r="M34" s="46"/>
      <c r="N34" s="46"/>
      <c r="O34" s="46"/>
      <c r="P34" s="46"/>
      <c r="R34" s="15">
        <v>0.04</v>
      </c>
      <c r="S34" s="18">
        <f>(Tabela22[[#This Row],[FRETE]]+Tabela22[[#This Row],[DESPESAS]]+Tabela22[[#This Row],[IPI]]+Tabela22[[#This Row],[Vl. Produto]])*Tabela22[[#This Row],[Aliq.%]]</f>
        <v>0</v>
      </c>
    </row>
    <row r="35" spans="13:19" x14ac:dyDescent="0.25">
      <c r="M35" s="46"/>
      <c r="N35" s="46"/>
      <c r="O35" s="46"/>
      <c r="P35" s="46"/>
      <c r="R35" s="15">
        <v>0.04</v>
      </c>
      <c r="S35" s="18">
        <f>(Tabela22[[#This Row],[FRETE]]+Tabela22[[#This Row],[DESPESAS]]+Tabela22[[#This Row],[IPI]]+Tabela22[[#This Row],[Vl. Produto]])*Tabela22[[#This Row],[Aliq.%]]</f>
        <v>0</v>
      </c>
    </row>
    <row r="36" spans="13:19" x14ac:dyDescent="0.25">
      <c r="M36" s="46"/>
      <c r="N36" s="46"/>
      <c r="O36" s="46"/>
      <c r="P36" s="46"/>
      <c r="R36" s="15">
        <v>0.04</v>
      </c>
      <c r="S36" s="18">
        <f>(Tabela22[[#This Row],[FRETE]]+Tabela22[[#This Row],[DESPESAS]]+Tabela22[[#This Row],[IPI]]+Tabela22[[#This Row],[Vl. Produto]])*Tabela22[[#This Row],[Aliq.%]]</f>
        <v>0</v>
      </c>
    </row>
    <row r="37" spans="13:19" x14ac:dyDescent="0.25">
      <c r="M37" s="46"/>
      <c r="N37" s="46"/>
      <c r="O37" s="46"/>
      <c r="P37" s="46"/>
      <c r="R37" s="15">
        <v>0.04</v>
      </c>
      <c r="S37" s="18">
        <f>(Tabela22[[#This Row],[FRETE]]+Tabela22[[#This Row],[DESPESAS]]+Tabela22[[#This Row],[IPI]]+Tabela22[[#This Row],[Vl. Produto]])*Tabela22[[#This Row],[Aliq.%]]</f>
        <v>0</v>
      </c>
    </row>
    <row r="38" spans="13:19" x14ac:dyDescent="0.25">
      <c r="M38" s="46"/>
      <c r="N38" s="46"/>
      <c r="O38" s="46"/>
      <c r="P38" s="46"/>
      <c r="R38" s="15">
        <v>0.04</v>
      </c>
      <c r="S38" s="18">
        <f>(Tabela22[[#This Row],[FRETE]]+Tabela22[[#This Row],[DESPESAS]]+Tabela22[[#This Row],[IPI]]+Tabela22[[#This Row],[Vl. Produto]])*Tabela22[[#This Row],[Aliq.%]]</f>
        <v>0</v>
      </c>
    </row>
    <row r="39" spans="13:19" x14ac:dyDescent="0.25">
      <c r="M39" s="46"/>
      <c r="N39" s="46"/>
      <c r="O39" s="46"/>
      <c r="P39" s="46"/>
      <c r="R39" s="15">
        <v>0.04</v>
      </c>
      <c r="S39" s="18">
        <f>(Tabela22[[#This Row],[FRETE]]+Tabela22[[#This Row],[DESPESAS]]+Tabela22[[#This Row],[IPI]]+Tabela22[[#This Row],[Vl. Produto]])*Tabela22[[#This Row],[Aliq.%]]</f>
        <v>0</v>
      </c>
    </row>
    <row r="40" spans="13:19" x14ac:dyDescent="0.25">
      <c r="M40" s="46"/>
      <c r="N40" s="46"/>
      <c r="O40" s="46"/>
      <c r="P40" s="46"/>
      <c r="R40" s="15">
        <v>0.04</v>
      </c>
      <c r="S40" s="18">
        <f>(Tabela22[[#This Row],[FRETE]]+Tabela22[[#This Row],[DESPESAS]]+Tabela22[[#This Row],[IPI]]+Tabela22[[#This Row],[Vl. Produto]])*Tabela22[[#This Row],[Aliq.%]]</f>
        <v>0</v>
      </c>
    </row>
    <row r="41" spans="13:19" x14ac:dyDescent="0.25">
      <c r="M41" s="46"/>
      <c r="N41" s="46"/>
      <c r="O41" s="46"/>
      <c r="P41" s="46"/>
      <c r="R41" s="15">
        <v>0.04</v>
      </c>
      <c r="S41" s="18">
        <f>(Tabela22[[#This Row],[FRETE]]+Tabela22[[#This Row],[DESPESAS]]+Tabela22[[#This Row],[IPI]]+Tabela22[[#This Row],[Vl. Produto]])*Tabela22[[#This Row],[Aliq.%]]</f>
        <v>0</v>
      </c>
    </row>
    <row r="42" spans="13:19" x14ac:dyDescent="0.25">
      <c r="M42" s="46"/>
      <c r="N42" s="46"/>
      <c r="O42" s="46"/>
      <c r="P42" s="46"/>
      <c r="R42" s="15">
        <v>0.04</v>
      </c>
      <c r="S42" s="18">
        <f>(Tabela22[[#This Row],[FRETE]]+Tabela22[[#This Row],[DESPESAS]]+Tabela22[[#This Row],[IPI]]+Tabela22[[#This Row],[Vl. Produto]])*Tabela22[[#This Row],[Aliq.%]]</f>
        <v>0</v>
      </c>
    </row>
    <row r="43" spans="13:19" x14ac:dyDescent="0.25">
      <c r="M43" s="46"/>
      <c r="N43" s="46"/>
      <c r="O43" s="46"/>
      <c r="P43" s="46"/>
      <c r="R43" s="15">
        <v>0.04</v>
      </c>
      <c r="S43" s="18">
        <f>(Tabela22[[#This Row],[FRETE]]+Tabela22[[#This Row],[DESPESAS]]+Tabela22[[#This Row],[IPI]]+Tabela22[[#This Row],[Vl. Produto]])*Tabela22[[#This Row],[Aliq.%]]</f>
        <v>0</v>
      </c>
    </row>
    <row r="44" spans="13:19" x14ac:dyDescent="0.25">
      <c r="M44" s="46"/>
      <c r="N44" s="46"/>
      <c r="O44" s="46"/>
      <c r="P44" s="46"/>
      <c r="R44" s="15">
        <v>0.04</v>
      </c>
      <c r="S44" s="18">
        <f>(Tabela22[[#This Row],[FRETE]]+Tabela22[[#This Row],[DESPESAS]]+Tabela22[[#This Row],[IPI]]+Tabela22[[#This Row],[Vl. Produto]])*Tabela22[[#This Row],[Aliq.%]]</f>
        <v>0</v>
      </c>
    </row>
    <row r="45" spans="13:19" x14ac:dyDescent="0.25">
      <c r="M45" s="46"/>
      <c r="N45" s="46"/>
      <c r="O45" s="46"/>
      <c r="P45" s="46"/>
      <c r="R45" s="15">
        <v>0.04</v>
      </c>
      <c r="S45" s="18">
        <f>(Tabela22[[#This Row],[FRETE]]+Tabela22[[#This Row],[DESPESAS]]+Tabela22[[#This Row],[IPI]]+Tabela22[[#This Row],[Vl. Produto]])*Tabela22[[#This Row],[Aliq.%]]</f>
        <v>0</v>
      </c>
    </row>
    <row r="46" spans="13:19" x14ac:dyDescent="0.25">
      <c r="M46" s="46"/>
      <c r="N46" s="46"/>
      <c r="O46" s="46"/>
      <c r="P46" s="46"/>
      <c r="R46" s="15">
        <v>0.04</v>
      </c>
      <c r="S46" s="18">
        <f>(Tabela22[[#This Row],[FRETE]]+Tabela22[[#This Row],[DESPESAS]]+Tabela22[[#This Row],[IPI]]+Tabela22[[#This Row],[Vl. Produto]])*Tabela22[[#This Row],[Aliq.%]]</f>
        <v>0</v>
      </c>
    </row>
    <row r="47" spans="13:19" x14ac:dyDescent="0.25">
      <c r="M47" s="46"/>
      <c r="N47" s="46"/>
      <c r="O47" s="46"/>
      <c r="P47" s="46"/>
      <c r="R47" s="15">
        <v>0.04</v>
      </c>
      <c r="S47" s="18">
        <f>(Tabela22[[#This Row],[FRETE]]+Tabela22[[#This Row],[DESPESAS]]+Tabela22[[#This Row],[IPI]]+Tabela22[[#This Row],[Vl. Produto]])*Tabela22[[#This Row],[Aliq.%]]</f>
        <v>0</v>
      </c>
    </row>
    <row r="48" spans="13:19" x14ac:dyDescent="0.25">
      <c r="M48" s="46"/>
      <c r="N48" s="46"/>
      <c r="O48" s="46"/>
      <c r="P48" s="46"/>
      <c r="R48" s="15">
        <v>0.04</v>
      </c>
      <c r="S48" s="18">
        <f>(Tabela22[[#This Row],[FRETE]]+Tabela22[[#This Row],[DESPESAS]]+Tabela22[[#This Row],[IPI]]+Tabela22[[#This Row],[Vl. Produto]])*Tabela22[[#This Row],[Aliq.%]]</f>
        <v>0</v>
      </c>
    </row>
    <row r="49" spans="13:19" x14ac:dyDescent="0.25">
      <c r="M49" s="46"/>
      <c r="N49" s="46"/>
      <c r="O49" s="46"/>
      <c r="P49" s="46"/>
      <c r="R49" s="15">
        <v>0.04</v>
      </c>
      <c r="S49" s="18">
        <f>(Tabela22[[#This Row],[FRETE]]+Tabela22[[#This Row],[DESPESAS]]+Tabela22[[#This Row],[IPI]]+Tabela22[[#This Row],[Vl. Produto]])*Tabela22[[#This Row],[Aliq.%]]</f>
        <v>0</v>
      </c>
    </row>
    <row r="50" spans="13:19" x14ac:dyDescent="0.25">
      <c r="M50" s="46"/>
      <c r="N50" s="46"/>
      <c r="O50" s="46"/>
      <c r="P50" s="46"/>
      <c r="R50" s="15">
        <v>0.04</v>
      </c>
      <c r="S50" s="18">
        <f>(Tabela22[[#This Row],[FRETE]]+Tabela22[[#This Row],[DESPESAS]]+Tabela22[[#This Row],[IPI]]+Tabela22[[#This Row],[Vl. Produto]])*Tabela22[[#This Row],[Aliq.%]]</f>
        <v>0</v>
      </c>
    </row>
    <row r="51" spans="13:19" x14ac:dyDescent="0.25">
      <c r="M51" s="46"/>
      <c r="N51" s="46"/>
      <c r="O51" s="46"/>
      <c r="P51" s="46"/>
      <c r="R51" s="15">
        <v>0.04</v>
      </c>
      <c r="S51" s="18">
        <f>(Tabela22[[#This Row],[FRETE]]+Tabela22[[#This Row],[DESPESAS]]+Tabela22[[#This Row],[IPI]]+Tabela22[[#This Row],[Vl. Produto]])*Tabela22[[#This Row],[Aliq.%]]</f>
        <v>0</v>
      </c>
    </row>
    <row r="52" spans="13:19" x14ac:dyDescent="0.25">
      <c r="M52" s="46"/>
      <c r="N52" s="46"/>
      <c r="O52" s="46"/>
      <c r="P52" s="46"/>
      <c r="R52" s="15">
        <v>0.04</v>
      </c>
      <c r="S52" s="18">
        <f>(Tabela22[[#This Row],[FRETE]]+Tabela22[[#This Row],[DESPESAS]]+Tabela22[[#This Row],[IPI]]+Tabela22[[#This Row],[Vl. Produto]])*Tabela22[[#This Row],[Aliq.%]]</f>
        <v>0</v>
      </c>
    </row>
    <row r="53" spans="13:19" x14ac:dyDescent="0.25">
      <c r="M53" s="46"/>
      <c r="N53" s="46"/>
      <c r="O53" s="46"/>
      <c r="P53" s="46"/>
      <c r="R53" s="15">
        <v>0.04</v>
      </c>
      <c r="S53" s="18">
        <f>(Tabela22[[#This Row],[FRETE]]+Tabela22[[#This Row],[DESPESAS]]+Tabela22[[#This Row],[IPI]]+Tabela22[[#This Row],[Vl. Produto]])*Tabela22[[#This Row],[Aliq.%]]</f>
        <v>0</v>
      </c>
    </row>
    <row r="54" spans="13:19" x14ac:dyDescent="0.25">
      <c r="M54" s="46"/>
      <c r="N54" s="46"/>
      <c r="O54" s="46"/>
      <c r="P54" s="46"/>
      <c r="R54" s="15">
        <v>0.04</v>
      </c>
      <c r="S54" s="18">
        <f>(Tabela22[[#This Row],[FRETE]]+Tabela22[[#This Row],[DESPESAS]]+Tabela22[[#This Row],[IPI]]+Tabela22[[#This Row],[Vl. Produto]])*Tabela22[[#This Row],[Aliq.%]]</f>
        <v>0</v>
      </c>
    </row>
    <row r="55" spans="13:19" x14ac:dyDescent="0.25">
      <c r="M55" s="46"/>
      <c r="N55" s="46"/>
      <c r="O55" s="46"/>
      <c r="P55" s="46"/>
      <c r="R55" s="15">
        <v>0.04</v>
      </c>
      <c r="S55" s="18">
        <f>(Tabela22[[#This Row],[FRETE]]+Tabela22[[#This Row],[DESPESAS]]+Tabela22[[#This Row],[IPI]]+Tabela22[[#This Row],[Vl. Produto]])*Tabela22[[#This Row],[Aliq.%]]</f>
        <v>0</v>
      </c>
    </row>
    <row r="56" spans="13:19" x14ac:dyDescent="0.25">
      <c r="M56" s="46"/>
      <c r="N56" s="46"/>
      <c r="O56" s="46"/>
      <c r="P56" s="46"/>
      <c r="R56" s="15">
        <v>0.04</v>
      </c>
      <c r="S56" s="18">
        <f>(Tabela22[[#This Row],[FRETE]]+Tabela22[[#This Row],[DESPESAS]]+Tabela22[[#This Row],[IPI]]+Tabela22[[#This Row],[Vl. Produto]])*Tabela22[[#This Row],[Aliq.%]]</f>
        <v>0</v>
      </c>
    </row>
    <row r="57" spans="13:19" x14ac:dyDescent="0.25">
      <c r="M57" s="46"/>
      <c r="N57" s="46"/>
      <c r="O57" s="46"/>
      <c r="P57" s="46"/>
      <c r="R57" s="15">
        <v>0.04</v>
      </c>
      <c r="S57" s="18">
        <f>(Tabela22[[#This Row],[FRETE]]+Tabela22[[#This Row],[DESPESAS]]+Tabela22[[#This Row],[IPI]]+Tabela22[[#This Row],[Vl. Produto]])*Tabela22[[#This Row],[Aliq.%]]</f>
        <v>0</v>
      </c>
    </row>
    <row r="58" spans="13:19" x14ac:dyDescent="0.25">
      <c r="M58" s="46"/>
      <c r="N58" s="46"/>
      <c r="O58" s="46"/>
      <c r="P58" s="46"/>
      <c r="R58" s="15">
        <v>0.04</v>
      </c>
      <c r="S58" s="18">
        <f>(Tabela22[[#This Row],[FRETE]]+Tabela22[[#This Row],[DESPESAS]]+Tabela22[[#This Row],[IPI]]+Tabela22[[#This Row],[Vl. Produto]])*Tabela22[[#This Row],[Aliq.%]]</f>
        <v>0</v>
      </c>
    </row>
    <row r="59" spans="13:19" x14ac:dyDescent="0.25">
      <c r="M59" s="46"/>
      <c r="N59" s="46"/>
      <c r="O59" s="46"/>
      <c r="P59" s="46"/>
      <c r="R59" s="15">
        <v>0.04</v>
      </c>
      <c r="S59" s="18">
        <f>(Tabela22[[#This Row],[FRETE]]+Tabela22[[#This Row],[DESPESAS]]+Tabela22[[#This Row],[IPI]]+Tabela22[[#This Row],[Vl. Produto]])*Tabela22[[#This Row],[Aliq.%]]</f>
        <v>0</v>
      </c>
    </row>
    <row r="60" spans="13:19" x14ac:dyDescent="0.25">
      <c r="M60" s="46"/>
      <c r="N60" s="46"/>
      <c r="O60" s="46"/>
      <c r="P60" s="46"/>
      <c r="R60" s="15">
        <v>0.04</v>
      </c>
      <c r="S60" s="18">
        <f>(Tabela22[[#This Row],[FRETE]]+Tabela22[[#This Row],[DESPESAS]]+Tabela22[[#This Row],[IPI]]+Tabela22[[#This Row],[Vl. Produto]])*Tabela22[[#This Row],[Aliq.%]]</f>
        <v>0</v>
      </c>
    </row>
    <row r="61" spans="13:19" x14ac:dyDescent="0.25">
      <c r="M61" s="46"/>
      <c r="N61" s="46"/>
      <c r="O61" s="46"/>
      <c r="P61" s="46"/>
      <c r="R61" s="15">
        <v>0.04</v>
      </c>
      <c r="S61" s="18">
        <f>(Tabela22[[#This Row],[FRETE]]+Tabela22[[#This Row],[DESPESAS]]+Tabela22[[#This Row],[IPI]]+Tabela22[[#This Row],[Vl. Produto]])*Tabela22[[#This Row],[Aliq.%]]</f>
        <v>0</v>
      </c>
    </row>
    <row r="62" spans="13:19" x14ac:dyDescent="0.25">
      <c r="M62" s="46"/>
      <c r="N62" s="46"/>
      <c r="O62" s="46"/>
      <c r="P62" s="46"/>
      <c r="R62" s="15">
        <v>0.04</v>
      </c>
      <c r="S62" s="18">
        <f>(Tabela22[[#This Row],[FRETE]]+Tabela22[[#This Row],[DESPESAS]]+Tabela22[[#This Row],[IPI]]+Tabela22[[#This Row],[Vl. Produto]])*Tabela22[[#This Row],[Aliq.%]]</f>
        <v>0</v>
      </c>
    </row>
    <row r="63" spans="13:19" x14ac:dyDescent="0.25">
      <c r="M63" s="46"/>
      <c r="N63" s="46"/>
      <c r="O63" s="46"/>
      <c r="P63" s="46"/>
      <c r="R63" s="15">
        <v>0.04</v>
      </c>
      <c r="S63" s="18">
        <f>(Tabela22[[#This Row],[FRETE]]+Tabela22[[#This Row],[DESPESAS]]+Tabela22[[#This Row],[IPI]]+Tabela22[[#This Row],[Vl. Produto]])*Tabela22[[#This Row],[Aliq.%]]</f>
        <v>0</v>
      </c>
    </row>
    <row r="64" spans="13:19" x14ac:dyDescent="0.25">
      <c r="M64" s="46"/>
      <c r="N64" s="46"/>
      <c r="O64" s="46"/>
      <c r="P64" s="46"/>
      <c r="R64" s="15">
        <v>0.04</v>
      </c>
      <c r="S64" s="18">
        <f>(Tabela22[[#This Row],[FRETE]]+Tabela22[[#This Row],[DESPESAS]]+Tabela22[[#This Row],[IPI]]+Tabela22[[#This Row],[Vl. Produto]])*Tabela22[[#This Row],[Aliq.%]]</f>
        <v>0</v>
      </c>
    </row>
    <row r="65" spans="13:19" x14ac:dyDescent="0.25">
      <c r="M65" s="46"/>
      <c r="N65" s="46"/>
      <c r="O65" s="46"/>
      <c r="P65" s="46"/>
      <c r="R65" s="15">
        <v>0.04</v>
      </c>
      <c r="S65" s="18">
        <f>(Tabela22[[#This Row],[FRETE]]+Tabela22[[#This Row],[DESPESAS]]+Tabela22[[#This Row],[IPI]]+Tabela22[[#This Row],[Vl. Produto]])*Tabela22[[#This Row],[Aliq.%]]</f>
        <v>0</v>
      </c>
    </row>
    <row r="66" spans="13:19" x14ac:dyDescent="0.25">
      <c r="M66" s="46"/>
      <c r="N66" s="46"/>
      <c r="O66" s="46"/>
      <c r="P66" s="46"/>
      <c r="R66" s="15">
        <v>0.04</v>
      </c>
      <c r="S66" s="18">
        <f>(Tabela22[[#This Row],[FRETE]]+Tabela22[[#This Row],[DESPESAS]]+Tabela22[[#This Row],[IPI]]+Tabela22[[#This Row],[Vl. Produto]])*Tabela22[[#This Row],[Aliq.%]]</f>
        <v>0</v>
      </c>
    </row>
    <row r="67" spans="13:19" x14ac:dyDescent="0.25">
      <c r="M67" s="46"/>
      <c r="N67" s="46"/>
      <c r="O67" s="46"/>
      <c r="P67" s="46"/>
      <c r="R67" s="15">
        <v>0.04</v>
      </c>
      <c r="S67" s="18">
        <f>(Tabela22[[#This Row],[FRETE]]+Tabela22[[#This Row],[DESPESAS]]+Tabela22[[#This Row],[IPI]]+Tabela22[[#This Row],[Vl. Produto]])*Tabela22[[#This Row],[Aliq.%]]</f>
        <v>0</v>
      </c>
    </row>
    <row r="68" spans="13:19" x14ac:dyDescent="0.25">
      <c r="M68" s="46"/>
      <c r="N68" s="46"/>
      <c r="O68" s="46"/>
      <c r="P68" s="46"/>
      <c r="R68" s="15">
        <v>0.04</v>
      </c>
      <c r="S68" s="18">
        <f>(Tabela22[[#This Row],[FRETE]]+Tabela22[[#This Row],[DESPESAS]]+Tabela22[[#This Row],[IPI]]+Tabela22[[#This Row],[Vl. Produto]])*Tabela22[[#This Row],[Aliq.%]]</f>
        <v>0</v>
      </c>
    </row>
    <row r="69" spans="13:19" x14ac:dyDescent="0.25">
      <c r="M69" s="46"/>
      <c r="N69" s="46"/>
      <c r="O69" s="46"/>
      <c r="P69" s="46"/>
      <c r="R69" s="15">
        <v>0.04</v>
      </c>
      <c r="S69" s="18">
        <f>(Tabela22[[#This Row],[FRETE]]+Tabela22[[#This Row],[DESPESAS]]+Tabela22[[#This Row],[IPI]]+Tabela22[[#This Row],[Vl. Produto]])*Tabela22[[#This Row],[Aliq.%]]</f>
        <v>0</v>
      </c>
    </row>
    <row r="70" spans="13:19" x14ac:dyDescent="0.25">
      <c r="M70" s="46"/>
      <c r="N70" s="46"/>
      <c r="O70" s="46"/>
      <c r="P70" s="46"/>
      <c r="R70" s="15">
        <v>0.04</v>
      </c>
      <c r="S70" s="18">
        <f>(Tabela22[[#This Row],[FRETE]]+Tabela22[[#This Row],[DESPESAS]]+Tabela22[[#This Row],[IPI]]+Tabela22[[#This Row],[Vl. Produto]])*Tabela22[[#This Row],[Aliq.%]]</f>
        <v>0</v>
      </c>
    </row>
    <row r="71" spans="13:19" x14ac:dyDescent="0.25">
      <c r="M71" s="46"/>
      <c r="N71" s="46"/>
      <c r="O71" s="46"/>
      <c r="P71" s="46"/>
      <c r="R71" s="15">
        <v>0.04</v>
      </c>
      <c r="S71" s="18">
        <f>(Tabela22[[#This Row],[FRETE]]+Tabela22[[#This Row],[DESPESAS]]+Tabela22[[#This Row],[IPI]]+Tabela22[[#This Row],[Vl. Produto]])*Tabela22[[#This Row],[Aliq.%]]</f>
        <v>0</v>
      </c>
    </row>
    <row r="72" spans="13:19" x14ac:dyDescent="0.25">
      <c r="M72" s="46"/>
      <c r="N72" s="46"/>
      <c r="O72" s="46"/>
      <c r="P72" s="46"/>
      <c r="R72" s="15">
        <v>0.04</v>
      </c>
      <c r="S72" s="18">
        <f>(Tabela22[[#This Row],[FRETE]]+Tabela22[[#This Row],[DESPESAS]]+Tabela22[[#This Row],[IPI]]+Tabela22[[#This Row],[Vl. Produto]])*Tabela22[[#This Row],[Aliq.%]]</f>
        <v>0</v>
      </c>
    </row>
    <row r="73" spans="13:19" x14ac:dyDescent="0.25">
      <c r="M73" s="46"/>
      <c r="N73" s="46"/>
      <c r="O73" s="46"/>
      <c r="P73" s="46"/>
      <c r="R73" s="15">
        <v>0.04</v>
      </c>
      <c r="S73" s="18">
        <f>(Tabela22[[#This Row],[FRETE]]+Tabela22[[#This Row],[DESPESAS]]+Tabela22[[#This Row],[IPI]]+Tabela22[[#This Row],[Vl. Produto]])*Tabela22[[#This Row],[Aliq.%]]</f>
        <v>0</v>
      </c>
    </row>
    <row r="74" spans="13:19" x14ac:dyDescent="0.25">
      <c r="M74" s="46"/>
      <c r="N74" s="46"/>
      <c r="O74" s="46"/>
      <c r="P74" s="46"/>
      <c r="R74" s="15">
        <v>0.04</v>
      </c>
      <c r="S74" s="18">
        <f>(Tabela22[[#This Row],[FRETE]]+Tabela22[[#This Row],[DESPESAS]]+Tabela22[[#This Row],[IPI]]+Tabela22[[#This Row],[Vl. Produto]])*Tabela22[[#This Row],[Aliq.%]]</f>
        <v>0</v>
      </c>
    </row>
    <row r="75" spans="13:19" x14ac:dyDescent="0.25">
      <c r="M75" s="46"/>
      <c r="N75" s="46"/>
      <c r="O75" s="46"/>
      <c r="P75" s="46"/>
      <c r="R75" s="15">
        <v>0.04</v>
      </c>
      <c r="S75" s="18">
        <f>(Tabela22[[#This Row],[FRETE]]+Tabela22[[#This Row],[DESPESAS]]+Tabela22[[#This Row],[IPI]]+Tabela22[[#This Row],[Vl. Produto]])*Tabela22[[#This Row],[Aliq.%]]</f>
        <v>0</v>
      </c>
    </row>
    <row r="76" spans="13:19" x14ac:dyDescent="0.25">
      <c r="M76" s="46"/>
      <c r="N76" s="46"/>
      <c r="O76" s="46"/>
      <c r="P76" s="46"/>
      <c r="R76" s="15">
        <v>0.04</v>
      </c>
      <c r="S76" s="18">
        <f>(Tabela22[[#This Row],[FRETE]]+Tabela22[[#This Row],[DESPESAS]]+Tabela22[[#This Row],[IPI]]+Tabela22[[#This Row],[Vl. Produto]])*Tabela22[[#This Row],[Aliq.%]]</f>
        <v>0</v>
      </c>
    </row>
    <row r="77" spans="13:19" x14ac:dyDescent="0.25">
      <c r="M77" s="46"/>
      <c r="N77" s="46"/>
      <c r="O77" s="46"/>
      <c r="P77" s="46"/>
      <c r="R77" s="15">
        <v>0.04</v>
      </c>
      <c r="S77" s="18">
        <f>(Tabela22[[#This Row],[FRETE]]+Tabela22[[#This Row],[DESPESAS]]+Tabela22[[#This Row],[IPI]]+Tabela22[[#This Row],[Vl. Produto]])*Tabela22[[#This Row],[Aliq.%]]</f>
        <v>0</v>
      </c>
    </row>
    <row r="78" spans="13:19" x14ac:dyDescent="0.25">
      <c r="M78" s="46"/>
      <c r="N78" s="46"/>
      <c r="O78" s="46"/>
      <c r="P78" s="46"/>
      <c r="R78" s="15">
        <v>0.04</v>
      </c>
      <c r="S78" s="18">
        <f>(Tabela22[[#This Row],[FRETE]]+Tabela22[[#This Row],[DESPESAS]]+Tabela22[[#This Row],[IPI]]+Tabela22[[#This Row],[Vl. Produto]])*Tabela22[[#This Row],[Aliq.%]]</f>
        <v>0</v>
      </c>
    </row>
    <row r="79" spans="13:19" x14ac:dyDescent="0.25">
      <c r="M79" s="46"/>
      <c r="N79" s="46"/>
      <c r="O79" s="46"/>
      <c r="P79" s="46"/>
      <c r="R79" s="15">
        <v>0.04</v>
      </c>
      <c r="S79" s="18">
        <f>(Tabela22[[#This Row],[FRETE]]+Tabela22[[#This Row],[DESPESAS]]+Tabela22[[#This Row],[IPI]]+Tabela22[[#This Row],[Vl. Produto]])*Tabela22[[#This Row],[Aliq.%]]</f>
        <v>0</v>
      </c>
    </row>
    <row r="80" spans="13:19" x14ac:dyDescent="0.25">
      <c r="M80" s="46"/>
      <c r="N80" s="46"/>
      <c r="O80" s="46"/>
      <c r="P80" s="46"/>
      <c r="R80" s="15">
        <v>0.04</v>
      </c>
      <c r="S80" s="18">
        <f>(Tabela22[[#This Row],[FRETE]]+Tabela22[[#This Row],[DESPESAS]]+Tabela22[[#This Row],[IPI]]+Tabela22[[#This Row],[Vl. Produto]])*Tabela22[[#This Row],[Aliq.%]]</f>
        <v>0</v>
      </c>
    </row>
    <row r="81" spans="13:19" x14ac:dyDescent="0.25">
      <c r="M81" s="46"/>
      <c r="N81" s="46"/>
      <c r="O81" s="46"/>
      <c r="P81" s="46"/>
      <c r="R81" s="15">
        <v>0.04</v>
      </c>
      <c r="S81" s="18">
        <f>(Tabela22[[#This Row],[FRETE]]+Tabela22[[#This Row],[DESPESAS]]+Tabela22[[#This Row],[IPI]]+Tabela22[[#This Row],[Vl. Produto]])*Tabela22[[#This Row],[Aliq.%]]</f>
        <v>0</v>
      </c>
    </row>
    <row r="82" spans="13:19" x14ac:dyDescent="0.25">
      <c r="M82" s="46"/>
      <c r="N82" s="46"/>
      <c r="O82" s="46"/>
      <c r="P82" s="46"/>
      <c r="R82" s="15">
        <v>0.04</v>
      </c>
      <c r="S82" s="18">
        <f>(Tabela22[[#This Row],[FRETE]]+Tabela22[[#This Row],[DESPESAS]]+Tabela22[[#This Row],[IPI]]+Tabela22[[#This Row],[Vl. Produto]])*Tabela22[[#This Row],[Aliq.%]]</f>
        <v>0</v>
      </c>
    </row>
    <row r="83" spans="13:19" x14ac:dyDescent="0.25">
      <c r="M83" s="46"/>
      <c r="N83" s="46"/>
      <c r="O83" s="46"/>
      <c r="P83" s="46"/>
      <c r="R83" s="15">
        <v>0.04</v>
      </c>
      <c r="S83" s="18">
        <f>(Tabela22[[#This Row],[FRETE]]+Tabela22[[#This Row],[DESPESAS]]+Tabela22[[#This Row],[IPI]]+Tabela22[[#This Row],[Vl. Produto]])*Tabela22[[#This Row],[Aliq.%]]</f>
        <v>0</v>
      </c>
    </row>
    <row r="84" spans="13:19" x14ac:dyDescent="0.25">
      <c r="M84" s="46"/>
      <c r="N84" s="46"/>
      <c r="O84" s="46"/>
      <c r="P84" s="46"/>
      <c r="R84" s="15">
        <v>0.04</v>
      </c>
      <c r="S84" s="18">
        <f>(Tabela22[[#This Row],[FRETE]]+Tabela22[[#This Row],[DESPESAS]]+Tabela22[[#This Row],[IPI]]+Tabela22[[#This Row],[Vl. Produto]])*Tabela22[[#This Row],[Aliq.%]]</f>
        <v>0</v>
      </c>
    </row>
    <row r="85" spans="13:19" x14ac:dyDescent="0.25">
      <c r="M85" s="46"/>
      <c r="N85" s="46"/>
      <c r="O85" s="46"/>
      <c r="P85" s="46"/>
      <c r="R85" s="15">
        <v>0.04</v>
      </c>
      <c r="S85" s="18">
        <f>(Tabela22[[#This Row],[FRETE]]+Tabela22[[#This Row],[DESPESAS]]+Tabela22[[#This Row],[IPI]]+Tabela22[[#This Row],[Vl. Produto]])*Tabela22[[#This Row],[Aliq.%]]</f>
        <v>0</v>
      </c>
    </row>
    <row r="86" spans="13:19" x14ac:dyDescent="0.25">
      <c r="M86" s="46"/>
      <c r="N86" s="46"/>
      <c r="O86" s="46"/>
      <c r="P86" s="46"/>
      <c r="R86" s="15">
        <v>0.04</v>
      </c>
      <c r="S86" s="18">
        <f>(Tabela22[[#This Row],[FRETE]]+Tabela22[[#This Row],[DESPESAS]]+Tabela22[[#This Row],[IPI]]+Tabela22[[#This Row],[Vl. Produto]])*Tabela22[[#This Row],[Aliq.%]]</f>
        <v>0</v>
      </c>
    </row>
    <row r="87" spans="13:19" x14ac:dyDescent="0.25">
      <c r="M87" s="46"/>
      <c r="N87" s="46"/>
      <c r="O87" s="46"/>
      <c r="P87" s="46"/>
      <c r="R87" s="15">
        <v>0.04</v>
      </c>
      <c r="S87" s="18">
        <f>(Tabela22[[#This Row],[FRETE]]+Tabela22[[#This Row],[DESPESAS]]+Tabela22[[#This Row],[IPI]]+Tabela22[[#This Row],[Vl. Produto]])*Tabela22[[#This Row],[Aliq.%]]</f>
        <v>0</v>
      </c>
    </row>
    <row r="88" spans="13:19" x14ac:dyDescent="0.25">
      <c r="M88" s="46"/>
      <c r="N88" s="46"/>
      <c r="O88" s="46"/>
      <c r="P88" s="46"/>
      <c r="R88" s="15">
        <v>0.04</v>
      </c>
      <c r="S88" s="18">
        <f>(Tabela22[[#This Row],[FRETE]]+Tabela22[[#This Row],[DESPESAS]]+Tabela22[[#This Row],[IPI]]+Tabela22[[#This Row],[Vl. Produto]])*Tabela22[[#This Row],[Aliq.%]]</f>
        <v>0</v>
      </c>
    </row>
    <row r="89" spans="13:19" x14ac:dyDescent="0.25">
      <c r="M89" s="46"/>
      <c r="N89" s="46"/>
      <c r="O89" s="46"/>
      <c r="P89" s="46"/>
      <c r="R89" s="15">
        <v>0.04</v>
      </c>
      <c r="S89" s="18">
        <f>(Tabela22[[#This Row],[FRETE]]+Tabela22[[#This Row],[DESPESAS]]+Tabela22[[#This Row],[IPI]]+Tabela22[[#This Row],[Vl. Produto]])*Tabela22[[#This Row],[Aliq.%]]</f>
        <v>0</v>
      </c>
    </row>
    <row r="90" spans="13:19" x14ac:dyDescent="0.25">
      <c r="M90" s="46"/>
      <c r="N90" s="46"/>
      <c r="O90" s="46"/>
      <c r="P90" s="46"/>
      <c r="R90" s="15">
        <v>0.04</v>
      </c>
      <c r="S90" s="18">
        <f>(Tabela22[[#This Row],[FRETE]]+Tabela22[[#This Row],[DESPESAS]]+Tabela22[[#This Row],[IPI]]+Tabela22[[#This Row],[Vl. Produto]])*Tabela22[[#This Row],[Aliq.%]]</f>
        <v>0</v>
      </c>
    </row>
    <row r="91" spans="13:19" x14ac:dyDescent="0.25">
      <c r="M91" s="46"/>
      <c r="N91" s="46"/>
      <c r="O91" s="46"/>
      <c r="P91" s="46"/>
      <c r="R91" s="15">
        <v>0.04</v>
      </c>
      <c r="S91" s="18">
        <f>(Tabela22[[#This Row],[FRETE]]+Tabela22[[#This Row],[DESPESAS]]+Tabela22[[#This Row],[IPI]]+Tabela22[[#This Row],[Vl. Produto]])*Tabela22[[#This Row],[Aliq.%]]</f>
        <v>0</v>
      </c>
    </row>
    <row r="92" spans="13:19" x14ac:dyDescent="0.25">
      <c r="M92" s="46"/>
      <c r="N92" s="46"/>
      <c r="O92" s="46"/>
      <c r="P92" s="46"/>
      <c r="R92" s="15">
        <v>0.04</v>
      </c>
      <c r="S92" s="18">
        <f>(Tabela22[[#This Row],[FRETE]]+Tabela22[[#This Row],[DESPESAS]]+Tabela22[[#This Row],[IPI]]+Tabela22[[#This Row],[Vl. Produto]])*Tabela22[[#This Row],[Aliq.%]]</f>
        <v>0</v>
      </c>
    </row>
    <row r="93" spans="13:19" x14ac:dyDescent="0.25">
      <c r="M93" s="46"/>
      <c r="N93" s="46"/>
      <c r="O93" s="46"/>
      <c r="P93" s="46"/>
      <c r="R93" s="15">
        <v>0.04</v>
      </c>
      <c r="S93" s="18">
        <f>(Tabela22[[#This Row],[FRETE]]+Tabela22[[#This Row],[DESPESAS]]+Tabela22[[#This Row],[IPI]]+Tabela22[[#This Row],[Vl. Produto]])*Tabela22[[#This Row],[Aliq.%]]</f>
        <v>0</v>
      </c>
    </row>
    <row r="94" spans="13:19" x14ac:dyDescent="0.25">
      <c r="M94" s="46"/>
      <c r="N94" s="46"/>
      <c r="O94" s="46"/>
      <c r="P94" s="46"/>
      <c r="R94" s="15">
        <v>0.04</v>
      </c>
      <c r="S94" s="18">
        <f>(Tabela22[[#This Row],[FRETE]]+Tabela22[[#This Row],[DESPESAS]]+Tabela22[[#This Row],[IPI]]+Tabela22[[#This Row],[Vl. Produto]])*Tabela22[[#This Row],[Aliq.%]]</f>
        <v>0</v>
      </c>
    </row>
    <row r="95" spans="13:19" x14ac:dyDescent="0.25">
      <c r="M95" s="46"/>
      <c r="N95" s="46"/>
      <c r="O95" s="46"/>
      <c r="P95" s="46"/>
      <c r="R95" s="15">
        <v>0.04</v>
      </c>
      <c r="S95" s="18">
        <f>(Tabela22[[#This Row],[FRETE]]+Tabela22[[#This Row],[DESPESAS]]+Tabela22[[#This Row],[IPI]]+Tabela22[[#This Row],[Vl. Produto]])*Tabela22[[#This Row],[Aliq.%]]</f>
        <v>0</v>
      </c>
    </row>
    <row r="96" spans="13:19" x14ac:dyDescent="0.25">
      <c r="M96" s="46"/>
      <c r="N96" s="46"/>
      <c r="O96" s="46"/>
      <c r="P96" s="46"/>
      <c r="R96" s="15">
        <v>0.04</v>
      </c>
      <c r="S96" s="18">
        <f>(Tabela22[[#This Row],[FRETE]]+Tabela22[[#This Row],[DESPESAS]]+Tabela22[[#This Row],[IPI]]+Tabela22[[#This Row],[Vl. Produto]])*Tabela22[[#This Row],[Aliq.%]]</f>
        <v>0</v>
      </c>
    </row>
    <row r="97" spans="13:19" x14ac:dyDescent="0.25">
      <c r="M97" s="46"/>
      <c r="N97" s="46"/>
      <c r="O97" s="46"/>
      <c r="P97" s="46"/>
      <c r="R97" s="15">
        <v>0.04</v>
      </c>
      <c r="S97" s="18">
        <f>(Tabela22[[#This Row],[FRETE]]+Tabela22[[#This Row],[DESPESAS]]+Tabela22[[#This Row],[IPI]]+Tabela22[[#This Row],[Vl. Produto]])*Tabela22[[#This Row],[Aliq.%]]</f>
        <v>0</v>
      </c>
    </row>
    <row r="98" spans="13:19" x14ac:dyDescent="0.25">
      <c r="M98" s="46"/>
      <c r="N98" s="46"/>
      <c r="O98" s="46"/>
      <c r="P98" s="46"/>
      <c r="R98" s="15">
        <v>0.04</v>
      </c>
      <c r="S98" s="18">
        <f>(Tabela22[[#This Row],[FRETE]]+Tabela22[[#This Row],[DESPESAS]]+Tabela22[[#This Row],[IPI]]+Tabela22[[#This Row],[Vl. Produto]])*Tabela22[[#This Row],[Aliq.%]]</f>
        <v>0</v>
      </c>
    </row>
    <row r="99" spans="13:19" x14ac:dyDescent="0.25">
      <c r="M99" s="46"/>
      <c r="N99" s="46"/>
      <c r="O99" s="46"/>
      <c r="P99" s="46"/>
      <c r="R99" s="15">
        <v>0.04</v>
      </c>
      <c r="S99" s="18">
        <f>(Tabela22[[#This Row],[FRETE]]+Tabela22[[#This Row],[DESPESAS]]+Tabela22[[#This Row],[IPI]]+Tabela22[[#This Row],[Vl. Produto]])*Tabela22[[#This Row],[Aliq.%]]</f>
        <v>0</v>
      </c>
    </row>
    <row r="100" spans="13:19" x14ac:dyDescent="0.25">
      <c r="M100" s="46"/>
      <c r="N100" s="46"/>
      <c r="O100" s="46"/>
      <c r="P100" s="46"/>
      <c r="R100" s="15">
        <v>0.04</v>
      </c>
      <c r="S100" s="18">
        <f>(Tabela22[[#This Row],[FRETE]]+Tabela22[[#This Row],[DESPESAS]]+Tabela22[[#This Row],[IPI]]+Tabela22[[#This Row],[Vl. Produto]])*Tabela22[[#This Row],[Aliq.%]]</f>
        <v>0</v>
      </c>
    </row>
    <row r="101" spans="13:19" x14ac:dyDescent="0.25">
      <c r="M101" s="46"/>
      <c r="N101" s="46"/>
      <c r="O101" s="46"/>
      <c r="P101" s="46"/>
      <c r="R101" s="15">
        <v>0.04</v>
      </c>
      <c r="S101" s="18">
        <f>(Tabela22[[#This Row],[FRETE]]+Tabela22[[#This Row],[DESPESAS]]+Tabela22[[#This Row],[IPI]]+Tabela22[[#This Row],[Vl. Produto]])*Tabela22[[#This Row],[Aliq.%]]</f>
        <v>0</v>
      </c>
    </row>
    <row r="102" spans="13:19" x14ac:dyDescent="0.25">
      <c r="M102" s="46"/>
      <c r="N102" s="46"/>
      <c r="O102" s="46"/>
      <c r="P102" s="46"/>
      <c r="R102" s="15">
        <v>0.04</v>
      </c>
      <c r="S102" s="18">
        <f>(Tabela22[[#This Row],[FRETE]]+Tabela22[[#This Row],[DESPESAS]]+Tabela22[[#This Row],[IPI]]+Tabela22[[#This Row],[Vl. Produto]])*Tabela22[[#This Row],[Aliq.%]]</f>
        <v>0</v>
      </c>
    </row>
    <row r="103" spans="13:19" x14ac:dyDescent="0.25">
      <c r="M103" s="46"/>
      <c r="N103" s="46"/>
      <c r="O103" s="46"/>
      <c r="P103" s="46"/>
      <c r="R103" s="15">
        <v>0.04</v>
      </c>
      <c r="S103" s="18">
        <f>(Tabela22[[#This Row],[FRETE]]+Tabela22[[#This Row],[DESPESAS]]+Tabela22[[#This Row],[IPI]]+Tabela22[[#This Row],[Vl. Produto]])*Tabela22[[#This Row],[Aliq.%]]</f>
        <v>0</v>
      </c>
    </row>
    <row r="104" spans="13:19" x14ac:dyDescent="0.25">
      <c r="M104" s="46"/>
      <c r="N104" s="46"/>
      <c r="O104" s="46"/>
      <c r="P104" s="46"/>
      <c r="R104" s="15">
        <v>0.04</v>
      </c>
      <c r="S104" s="18">
        <f>(Tabela22[[#This Row],[FRETE]]+Tabela22[[#This Row],[DESPESAS]]+Tabela22[[#This Row],[IPI]]+Tabela22[[#This Row],[Vl. Produto]])*Tabela22[[#This Row],[Aliq.%]]</f>
        <v>0</v>
      </c>
    </row>
    <row r="105" spans="13:19" x14ac:dyDescent="0.25">
      <c r="M105" s="46"/>
      <c r="N105" s="46"/>
      <c r="O105" s="46"/>
      <c r="P105" s="46"/>
      <c r="R105" s="15">
        <v>0.04</v>
      </c>
      <c r="S105" s="18">
        <f>(Tabela22[[#This Row],[FRETE]]+Tabela22[[#This Row],[DESPESAS]]+Tabela22[[#This Row],[IPI]]+Tabela22[[#This Row],[Vl. Produto]])*Tabela22[[#This Row],[Aliq.%]]</f>
        <v>0</v>
      </c>
    </row>
    <row r="106" spans="13:19" x14ac:dyDescent="0.25">
      <c r="M106" s="46"/>
      <c r="N106" s="46"/>
      <c r="O106" s="46"/>
      <c r="P106" s="46"/>
      <c r="R106" s="15">
        <v>0.04</v>
      </c>
      <c r="S106" s="18">
        <f>(Tabela22[[#This Row],[FRETE]]+Tabela22[[#This Row],[DESPESAS]]+Tabela22[[#This Row],[IPI]]+Tabela22[[#This Row],[Vl. Produto]])*Tabela22[[#This Row],[Aliq.%]]</f>
        <v>0</v>
      </c>
    </row>
    <row r="107" spans="13:19" x14ac:dyDescent="0.25">
      <c r="M107" s="46"/>
      <c r="N107" s="46"/>
      <c r="O107" s="46"/>
      <c r="P107" s="46"/>
      <c r="R107" s="15">
        <v>0.04</v>
      </c>
      <c r="S107" s="18">
        <f>(Tabela22[[#This Row],[FRETE]]+Tabela22[[#This Row],[DESPESAS]]+Tabela22[[#This Row],[IPI]]+Tabela22[[#This Row],[Vl. Produto]])*Tabela22[[#This Row],[Aliq.%]]</f>
        <v>0</v>
      </c>
    </row>
    <row r="108" spans="13:19" x14ac:dyDescent="0.25">
      <c r="M108" s="46"/>
      <c r="N108" s="46"/>
      <c r="O108" s="46"/>
      <c r="P108" s="46"/>
      <c r="R108" s="15">
        <v>0.04</v>
      </c>
      <c r="S108" s="18">
        <f>(Tabela22[[#This Row],[FRETE]]+Tabela22[[#This Row],[DESPESAS]]+Tabela22[[#This Row],[IPI]]+Tabela22[[#This Row],[Vl. Produto]])*Tabela22[[#This Row],[Aliq.%]]</f>
        <v>0</v>
      </c>
    </row>
    <row r="109" spans="13:19" x14ac:dyDescent="0.25">
      <c r="M109" s="46"/>
      <c r="N109" s="46"/>
      <c r="O109" s="46"/>
      <c r="P109" s="46"/>
      <c r="R109" s="15">
        <v>0.04</v>
      </c>
      <c r="S109" s="18">
        <f>(Tabela22[[#This Row],[FRETE]]+Tabela22[[#This Row],[DESPESAS]]+Tabela22[[#This Row],[IPI]]+Tabela22[[#This Row],[Vl. Produto]])*Tabela22[[#This Row],[Aliq.%]]</f>
        <v>0</v>
      </c>
    </row>
    <row r="110" spans="13:19" x14ac:dyDescent="0.25">
      <c r="M110" s="46"/>
      <c r="N110" s="46"/>
      <c r="O110" s="46"/>
      <c r="P110" s="46"/>
      <c r="R110" s="15">
        <v>0.04</v>
      </c>
      <c r="S110" s="18">
        <f>(Tabela22[[#This Row],[FRETE]]+Tabela22[[#This Row],[DESPESAS]]+Tabela22[[#This Row],[IPI]]+Tabela22[[#This Row],[Vl. Produto]])*Tabela22[[#This Row],[Aliq.%]]</f>
        <v>0</v>
      </c>
    </row>
    <row r="111" spans="13:19" x14ac:dyDescent="0.25">
      <c r="M111" s="46"/>
      <c r="N111" s="46"/>
      <c r="O111" s="46"/>
      <c r="P111" s="46"/>
      <c r="R111" s="15">
        <v>0.04</v>
      </c>
      <c r="S111" s="18">
        <f>(Tabela22[[#This Row],[FRETE]]+Tabela22[[#This Row],[DESPESAS]]+Tabela22[[#This Row],[IPI]]+Tabela22[[#This Row],[Vl. Produto]])*Tabela22[[#This Row],[Aliq.%]]</f>
        <v>0</v>
      </c>
    </row>
    <row r="112" spans="13:19" x14ac:dyDescent="0.25">
      <c r="M112" s="46"/>
      <c r="N112" s="46"/>
      <c r="O112" s="46"/>
      <c r="P112" s="46"/>
      <c r="R112" s="15">
        <v>0.04</v>
      </c>
      <c r="S112" s="18">
        <f>(Tabela22[[#This Row],[FRETE]]+Tabela22[[#This Row],[DESPESAS]]+Tabela22[[#This Row],[IPI]]+Tabela22[[#This Row],[Vl. Produto]])*Tabela22[[#This Row],[Aliq.%]]</f>
        <v>0</v>
      </c>
    </row>
    <row r="113" spans="13:19" x14ac:dyDescent="0.25">
      <c r="M113" s="46"/>
      <c r="N113" s="46"/>
      <c r="O113" s="46"/>
      <c r="P113" s="46"/>
      <c r="R113" s="15">
        <v>0.04</v>
      </c>
      <c r="S113" s="18">
        <f>(Tabela22[[#This Row],[FRETE]]+Tabela22[[#This Row],[DESPESAS]]+Tabela22[[#This Row],[IPI]]+Tabela22[[#This Row],[Vl. Produto]])*Tabela22[[#This Row],[Aliq.%]]</f>
        <v>0</v>
      </c>
    </row>
    <row r="114" spans="13:19" x14ac:dyDescent="0.25">
      <c r="M114" s="46"/>
      <c r="N114" s="46"/>
      <c r="O114" s="46"/>
      <c r="P114" s="46"/>
      <c r="R114" s="15">
        <v>0.04</v>
      </c>
      <c r="S114" s="18">
        <f>(Tabela22[[#This Row],[FRETE]]+Tabela22[[#This Row],[DESPESAS]]+Tabela22[[#This Row],[IPI]]+Tabela22[[#This Row],[Vl. Produto]])*Tabela22[[#This Row],[Aliq.%]]</f>
        <v>0</v>
      </c>
    </row>
    <row r="115" spans="13:19" x14ac:dyDescent="0.25">
      <c r="M115" s="46"/>
      <c r="N115" s="46"/>
      <c r="O115" s="46"/>
      <c r="P115" s="46"/>
      <c r="R115" s="15">
        <v>0.04</v>
      </c>
      <c r="S115" s="18">
        <f>(Tabela22[[#This Row],[FRETE]]+Tabela22[[#This Row],[DESPESAS]]+Tabela22[[#This Row],[IPI]]+Tabela22[[#This Row],[Vl. Produto]])*Tabela22[[#This Row],[Aliq.%]]</f>
        <v>0</v>
      </c>
    </row>
    <row r="116" spans="13:19" x14ac:dyDescent="0.25">
      <c r="M116" s="46"/>
      <c r="N116" s="46"/>
      <c r="O116" s="46"/>
      <c r="P116" s="46"/>
      <c r="R116" s="15">
        <v>0.04</v>
      </c>
      <c r="S116" s="18">
        <f>(Tabela22[[#This Row],[FRETE]]+Tabela22[[#This Row],[DESPESAS]]+Tabela22[[#This Row],[IPI]]+Tabela22[[#This Row],[Vl. Produto]])*Tabela22[[#This Row],[Aliq.%]]</f>
        <v>0</v>
      </c>
    </row>
    <row r="117" spans="13:19" x14ac:dyDescent="0.25">
      <c r="M117" s="46"/>
      <c r="N117" s="46"/>
      <c r="O117" s="46"/>
      <c r="P117" s="46"/>
      <c r="R117" s="15">
        <v>0.04</v>
      </c>
      <c r="S117" s="18">
        <f>(Tabela22[[#This Row],[FRETE]]+Tabela22[[#This Row],[DESPESAS]]+Tabela22[[#This Row],[IPI]]+Tabela22[[#This Row],[Vl. Produto]])*Tabela22[[#This Row],[Aliq.%]]</f>
        <v>0</v>
      </c>
    </row>
    <row r="118" spans="13:19" x14ac:dyDescent="0.25">
      <c r="M118" s="46"/>
      <c r="N118" s="46"/>
      <c r="O118" s="46"/>
      <c r="P118" s="46"/>
      <c r="R118" s="15">
        <v>0.04</v>
      </c>
      <c r="S118" s="18">
        <f>(Tabela22[[#This Row],[FRETE]]+Tabela22[[#This Row],[DESPESAS]]+Tabela22[[#This Row],[IPI]]+Tabela22[[#This Row],[Vl. Produto]])*Tabela22[[#This Row],[Aliq.%]]</f>
        <v>0</v>
      </c>
    </row>
    <row r="119" spans="13:19" x14ac:dyDescent="0.25">
      <c r="M119" s="46"/>
      <c r="N119" s="46"/>
      <c r="O119" s="46"/>
      <c r="P119" s="46"/>
      <c r="R119" s="15">
        <v>0.04</v>
      </c>
      <c r="S119" s="18">
        <f>(Tabela22[[#This Row],[FRETE]]+Tabela22[[#This Row],[DESPESAS]]+Tabela22[[#This Row],[IPI]]+Tabela22[[#This Row],[Vl. Produto]])*Tabela22[[#This Row],[Aliq.%]]</f>
        <v>0</v>
      </c>
    </row>
    <row r="120" spans="13:19" x14ac:dyDescent="0.25">
      <c r="M120" s="46"/>
      <c r="N120" s="46"/>
      <c r="O120" s="46"/>
      <c r="P120" s="46"/>
      <c r="R120" s="15">
        <v>0.04</v>
      </c>
      <c r="S120" s="18">
        <f>(Tabela22[[#This Row],[FRETE]]+Tabela22[[#This Row],[DESPESAS]]+Tabela22[[#This Row],[IPI]]+Tabela22[[#This Row],[Vl. Produto]])*Tabela22[[#This Row],[Aliq.%]]</f>
        <v>0</v>
      </c>
    </row>
    <row r="121" spans="13:19" x14ac:dyDescent="0.25">
      <c r="M121" s="46"/>
      <c r="N121" s="46"/>
      <c r="O121" s="46"/>
      <c r="P121" s="46"/>
      <c r="R121" s="15">
        <v>0.04</v>
      </c>
      <c r="S121" s="18">
        <f>(Tabela22[[#This Row],[FRETE]]+Tabela22[[#This Row],[DESPESAS]]+Tabela22[[#This Row],[IPI]]+Tabela22[[#This Row],[Vl. Produto]])*Tabela22[[#This Row],[Aliq.%]]</f>
        <v>0</v>
      </c>
    </row>
    <row r="122" spans="13:19" x14ac:dyDescent="0.25">
      <c r="M122" s="46"/>
      <c r="N122" s="46"/>
      <c r="O122" s="46"/>
      <c r="P122" s="46"/>
      <c r="R122" s="15">
        <v>0.04</v>
      </c>
      <c r="S122" s="18">
        <f>(Tabela22[[#This Row],[FRETE]]+Tabela22[[#This Row],[DESPESAS]]+Tabela22[[#This Row],[IPI]]+Tabela22[[#This Row],[Vl. Produto]])*Tabela22[[#This Row],[Aliq.%]]</f>
        <v>0</v>
      </c>
    </row>
    <row r="123" spans="13:19" x14ac:dyDescent="0.25">
      <c r="M123" s="46"/>
      <c r="N123" s="46"/>
      <c r="O123" s="46"/>
      <c r="P123" s="46"/>
      <c r="R123" s="15">
        <v>0.04</v>
      </c>
      <c r="S123" s="18">
        <f>(Tabela22[[#This Row],[FRETE]]+Tabela22[[#This Row],[DESPESAS]]+Tabela22[[#This Row],[IPI]]+Tabela22[[#This Row],[Vl. Produto]])*Tabela22[[#This Row],[Aliq.%]]</f>
        <v>0</v>
      </c>
    </row>
    <row r="124" spans="13:19" x14ac:dyDescent="0.25">
      <c r="M124" s="46"/>
      <c r="N124" s="46"/>
      <c r="O124" s="46"/>
      <c r="P124" s="46"/>
      <c r="R124" s="15">
        <v>0.04</v>
      </c>
      <c r="S124" s="18">
        <f>(Tabela22[[#This Row],[FRETE]]+Tabela22[[#This Row],[DESPESAS]]+Tabela22[[#This Row],[IPI]]+Tabela22[[#This Row],[Vl. Produto]])*Tabela22[[#This Row],[Aliq.%]]</f>
        <v>0</v>
      </c>
    </row>
    <row r="125" spans="13:19" x14ac:dyDescent="0.25">
      <c r="M125" s="46"/>
      <c r="N125" s="46"/>
      <c r="O125" s="46"/>
      <c r="P125" s="46"/>
      <c r="R125" s="15">
        <v>0.04</v>
      </c>
      <c r="S125" s="18">
        <f>(Tabela22[[#This Row],[FRETE]]+Tabela22[[#This Row],[DESPESAS]]+Tabela22[[#This Row],[IPI]]+Tabela22[[#This Row],[Vl. Produto]])*Tabela22[[#This Row],[Aliq.%]]</f>
        <v>0</v>
      </c>
    </row>
    <row r="126" spans="13:19" x14ac:dyDescent="0.25">
      <c r="M126" s="46"/>
      <c r="N126" s="46"/>
      <c r="O126" s="46"/>
      <c r="P126" s="46"/>
      <c r="R126" s="15">
        <v>0.04</v>
      </c>
      <c r="S126" s="18">
        <f>(Tabela22[[#This Row],[FRETE]]+Tabela22[[#This Row],[DESPESAS]]+Tabela22[[#This Row],[IPI]]+Tabela22[[#This Row],[Vl. Produto]])*Tabela22[[#This Row],[Aliq.%]]</f>
        <v>0</v>
      </c>
    </row>
    <row r="127" spans="13:19" x14ac:dyDescent="0.25">
      <c r="M127" s="46"/>
      <c r="N127" s="46"/>
      <c r="O127" s="46"/>
      <c r="P127" s="46"/>
      <c r="R127" s="15">
        <v>0.04</v>
      </c>
      <c r="S127" s="18">
        <f>(Tabela22[[#This Row],[FRETE]]+Tabela22[[#This Row],[DESPESAS]]+Tabela22[[#This Row],[IPI]]+Tabela22[[#This Row],[Vl. Produto]])*Tabela22[[#This Row],[Aliq.%]]</f>
        <v>0</v>
      </c>
    </row>
    <row r="128" spans="13:19" x14ac:dyDescent="0.25">
      <c r="M128" s="46"/>
      <c r="N128" s="46"/>
      <c r="O128" s="46"/>
      <c r="P128" s="46"/>
      <c r="R128" s="15">
        <v>0.04</v>
      </c>
      <c r="S128" s="18">
        <f>(Tabela22[[#This Row],[FRETE]]+Tabela22[[#This Row],[DESPESAS]]+Tabela22[[#This Row],[IPI]]+Tabela22[[#This Row],[Vl. Produto]])*Tabela22[[#This Row],[Aliq.%]]</f>
        <v>0</v>
      </c>
    </row>
    <row r="129" spans="13:19" x14ac:dyDescent="0.25">
      <c r="M129" s="46"/>
      <c r="N129" s="46"/>
      <c r="O129" s="46"/>
      <c r="P129" s="46"/>
      <c r="R129" s="15">
        <v>0.04</v>
      </c>
      <c r="S129" s="18">
        <f>(Tabela22[[#This Row],[FRETE]]+Tabela22[[#This Row],[DESPESAS]]+Tabela22[[#This Row],[IPI]]+Tabela22[[#This Row],[Vl. Produto]])*Tabela22[[#This Row],[Aliq.%]]</f>
        <v>0</v>
      </c>
    </row>
    <row r="130" spans="13:19" x14ac:dyDescent="0.25">
      <c r="M130" s="46"/>
      <c r="N130" s="46"/>
      <c r="O130" s="46"/>
      <c r="P130" s="46"/>
      <c r="R130" s="15">
        <v>0.04</v>
      </c>
      <c r="S130" s="18">
        <f>(Tabela22[[#This Row],[FRETE]]+Tabela22[[#This Row],[DESPESAS]]+Tabela22[[#This Row],[IPI]]+Tabela22[[#This Row],[Vl. Produto]])*Tabela22[[#This Row],[Aliq.%]]</f>
        <v>0</v>
      </c>
    </row>
    <row r="131" spans="13:19" x14ac:dyDescent="0.25">
      <c r="M131" s="46"/>
      <c r="N131" s="46"/>
      <c r="O131" s="46"/>
      <c r="P131" s="46"/>
      <c r="R131" s="15">
        <v>0.04</v>
      </c>
      <c r="S131" s="18">
        <f>(Tabela22[[#This Row],[FRETE]]+Tabela22[[#This Row],[DESPESAS]]+Tabela22[[#This Row],[IPI]]+Tabela22[[#This Row],[Vl. Produto]])*Tabela22[[#This Row],[Aliq.%]]</f>
        <v>0</v>
      </c>
    </row>
    <row r="132" spans="13:19" x14ac:dyDescent="0.25">
      <c r="M132" s="46"/>
      <c r="N132" s="46"/>
      <c r="O132" s="46"/>
      <c r="P132" s="46"/>
      <c r="R132" s="15">
        <v>0.04</v>
      </c>
      <c r="S132" s="18">
        <f>(Tabela22[[#This Row],[FRETE]]+Tabela22[[#This Row],[DESPESAS]]+Tabela22[[#This Row],[IPI]]+Tabela22[[#This Row],[Vl. Produto]])*Tabela22[[#This Row],[Aliq.%]]</f>
        <v>0</v>
      </c>
    </row>
    <row r="133" spans="13:19" x14ac:dyDescent="0.25">
      <c r="M133" s="46"/>
      <c r="N133" s="46"/>
      <c r="O133" s="46"/>
      <c r="P133" s="46"/>
      <c r="R133" s="15">
        <v>0.04</v>
      </c>
      <c r="S133" s="18">
        <f>(Tabela22[[#This Row],[FRETE]]+Tabela22[[#This Row],[DESPESAS]]+Tabela22[[#This Row],[IPI]]+Tabela22[[#This Row],[Vl. Produto]])*Tabela22[[#This Row],[Aliq.%]]</f>
        <v>0</v>
      </c>
    </row>
    <row r="134" spans="13:19" x14ac:dyDescent="0.25">
      <c r="M134" s="46"/>
      <c r="N134" s="46"/>
      <c r="O134" s="46"/>
      <c r="P134" s="46"/>
      <c r="R134" s="15">
        <v>0.04</v>
      </c>
      <c r="S134" s="18">
        <f>(Tabela22[[#This Row],[FRETE]]+Tabela22[[#This Row],[DESPESAS]]+Tabela22[[#This Row],[IPI]]+Tabela22[[#This Row],[Vl. Produto]])*Tabela22[[#This Row],[Aliq.%]]</f>
        <v>0</v>
      </c>
    </row>
    <row r="135" spans="13:19" x14ac:dyDescent="0.25">
      <c r="M135" s="46"/>
      <c r="N135" s="46"/>
      <c r="O135" s="46"/>
      <c r="P135" s="46"/>
      <c r="R135" s="15">
        <v>0.04</v>
      </c>
      <c r="S135" s="18">
        <f>(Tabela22[[#This Row],[FRETE]]+Tabela22[[#This Row],[DESPESAS]]+Tabela22[[#This Row],[IPI]]+Tabela22[[#This Row],[Vl. Produto]])*Tabela22[[#This Row],[Aliq.%]]</f>
        <v>0</v>
      </c>
    </row>
    <row r="136" spans="13:19" x14ac:dyDescent="0.25">
      <c r="M136" s="46"/>
      <c r="N136" s="46"/>
      <c r="O136" s="46"/>
      <c r="P136" s="46"/>
      <c r="R136" s="15">
        <v>0.04</v>
      </c>
      <c r="S136" s="18">
        <f>(Tabela22[[#This Row],[FRETE]]+Tabela22[[#This Row],[DESPESAS]]+Tabela22[[#This Row],[IPI]]+Tabela22[[#This Row],[Vl. Produto]])*Tabela22[[#This Row],[Aliq.%]]</f>
        <v>0</v>
      </c>
    </row>
    <row r="137" spans="13:19" x14ac:dyDescent="0.25">
      <c r="M137" s="46"/>
      <c r="N137" s="46"/>
      <c r="O137" s="46"/>
      <c r="P137" s="46"/>
      <c r="R137" s="15">
        <v>0.04</v>
      </c>
      <c r="S137" s="18">
        <f>(Tabela22[[#This Row],[FRETE]]+Tabela22[[#This Row],[DESPESAS]]+Tabela22[[#This Row],[IPI]]+Tabela22[[#This Row],[Vl. Produto]])*Tabela22[[#This Row],[Aliq.%]]</f>
        <v>0</v>
      </c>
    </row>
    <row r="138" spans="13:19" x14ac:dyDescent="0.25">
      <c r="M138" s="46"/>
      <c r="N138" s="46"/>
      <c r="O138" s="46"/>
      <c r="P138" s="46"/>
      <c r="R138" s="15">
        <v>0.04</v>
      </c>
      <c r="S138" s="18">
        <f>(Tabela22[[#This Row],[FRETE]]+Tabela22[[#This Row],[DESPESAS]]+Tabela22[[#This Row],[IPI]]+Tabela22[[#This Row],[Vl. Produto]])*Tabela22[[#This Row],[Aliq.%]]</f>
        <v>0</v>
      </c>
    </row>
    <row r="139" spans="13:19" x14ac:dyDescent="0.25">
      <c r="M139" s="46"/>
      <c r="N139" s="46"/>
      <c r="O139" s="46"/>
      <c r="P139" s="46"/>
      <c r="R139" s="15">
        <v>0.04</v>
      </c>
      <c r="S139" s="18">
        <f>(Tabela22[[#This Row],[FRETE]]+Tabela22[[#This Row],[DESPESAS]]+Tabela22[[#This Row],[IPI]]+Tabela22[[#This Row],[Vl. Produto]])*Tabela22[[#This Row],[Aliq.%]]</f>
        <v>0</v>
      </c>
    </row>
    <row r="140" spans="13:19" x14ac:dyDescent="0.25">
      <c r="M140" s="46"/>
      <c r="N140" s="46"/>
      <c r="O140" s="46"/>
      <c r="P140" s="46"/>
      <c r="R140" s="15">
        <v>0.04</v>
      </c>
      <c r="S140" s="18">
        <f>(Tabela22[[#This Row],[FRETE]]+Tabela22[[#This Row],[DESPESAS]]+Tabela22[[#This Row],[IPI]]+Tabela22[[#This Row],[Vl. Produto]])*Tabela22[[#This Row],[Aliq.%]]</f>
        <v>0</v>
      </c>
    </row>
    <row r="141" spans="13:19" x14ac:dyDescent="0.25">
      <c r="M141" s="46"/>
      <c r="N141" s="46"/>
      <c r="O141" s="46"/>
      <c r="P141" s="46"/>
      <c r="R141" s="15">
        <v>0.04</v>
      </c>
      <c r="S141" s="18">
        <f>(Tabela22[[#This Row],[FRETE]]+Tabela22[[#This Row],[DESPESAS]]+Tabela22[[#This Row],[IPI]]+Tabela22[[#This Row],[Vl. Produto]])*Tabela22[[#This Row],[Aliq.%]]</f>
        <v>0</v>
      </c>
    </row>
    <row r="142" spans="13:19" x14ac:dyDescent="0.25">
      <c r="M142" s="46"/>
      <c r="N142" s="46"/>
      <c r="O142" s="46"/>
      <c r="P142" s="46"/>
      <c r="R142" s="15">
        <v>0.04</v>
      </c>
      <c r="S142" s="18">
        <f>(Tabela22[[#This Row],[FRETE]]+Tabela22[[#This Row],[DESPESAS]]+Tabela22[[#This Row],[IPI]]+Tabela22[[#This Row],[Vl. Produto]])*Tabela22[[#This Row],[Aliq.%]]</f>
        <v>0</v>
      </c>
    </row>
    <row r="143" spans="13:19" x14ac:dyDescent="0.25">
      <c r="M143" s="46"/>
      <c r="N143" s="46"/>
      <c r="O143" s="46"/>
      <c r="P143" s="46"/>
      <c r="R143" s="15">
        <v>0.04</v>
      </c>
      <c r="S143" s="18">
        <f>(Tabela22[[#This Row],[FRETE]]+Tabela22[[#This Row],[DESPESAS]]+Tabela22[[#This Row],[IPI]]+Tabela22[[#This Row],[Vl. Produto]])*Tabela22[[#This Row],[Aliq.%]]</f>
        <v>0</v>
      </c>
    </row>
    <row r="144" spans="13:19" x14ac:dyDescent="0.25">
      <c r="M144" s="46"/>
      <c r="N144" s="46"/>
      <c r="O144" s="46"/>
      <c r="P144" s="46"/>
      <c r="R144" s="15">
        <v>0.04</v>
      </c>
      <c r="S144" s="18">
        <f>(Tabela22[[#This Row],[FRETE]]+Tabela22[[#This Row],[DESPESAS]]+Tabela22[[#This Row],[IPI]]+Tabela22[[#This Row],[Vl. Produto]])*Tabela22[[#This Row],[Aliq.%]]</f>
        <v>0</v>
      </c>
    </row>
    <row r="145" spans="13:19" x14ac:dyDescent="0.25">
      <c r="M145" s="46"/>
      <c r="N145" s="46"/>
      <c r="O145" s="46"/>
      <c r="P145" s="46"/>
      <c r="R145" s="15">
        <v>0.04</v>
      </c>
      <c r="S145" s="18">
        <f>(Tabela22[[#This Row],[FRETE]]+Tabela22[[#This Row],[DESPESAS]]+Tabela22[[#This Row],[IPI]]+Tabela22[[#This Row],[Vl. Produto]])*Tabela22[[#This Row],[Aliq.%]]</f>
        <v>0</v>
      </c>
    </row>
    <row r="146" spans="13:19" x14ac:dyDescent="0.25">
      <c r="M146" s="46"/>
      <c r="N146" s="46"/>
      <c r="O146" s="46"/>
      <c r="P146" s="46"/>
      <c r="R146" s="15">
        <v>0.04</v>
      </c>
      <c r="S146" s="18">
        <f>(Tabela22[[#This Row],[FRETE]]+Tabela22[[#This Row],[DESPESAS]]+Tabela22[[#This Row],[IPI]]+Tabela22[[#This Row],[Vl. Produto]])*Tabela22[[#This Row],[Aliq.%]]</f>
        <v>0</v>
      </c>
    </row>
    <row r="147" spans="13:19" x14ac:dyDescent="0.25">
      <c r="M147" s="46"/>
      <c r="N147" s="46"/>
      <c r="O147" s="46"/>
      <c r="P147" s="46"/>
      <c r="R147" s="15">
        <v>0.04</v>
      </c>
      <c r="S147" s="18">
        <f>(Tabela22[[#This Row],[FRETE]]+Tabela22[[#This Row],[DESPESAS]]+Tabela22[[#This Row],[IPI]]+Tabela22[[#This Row],[Vl. Produto]])*Tabela22[[#This Row],[Aliq.%]]</f>
        <v>0</v>
      </c>
    </row>
    <row r="148" spans="13:19" x14ac:dyDescent="0.25">
      <c r="M148" s="46"/>
      <c r="N148" s="46"/>
      <c r="O148" s="46"/>
      <c r="P148" s="46"/>
      <c r="R148" s="15">
        <v>0.04</v>
      </c>
      <c r="S148" s="18">
        <f>(Tabela22[[#This Row],[FRETE]]+Tabela22[[#This Row],[DESPESAS]]+Tabela22[[#This Row],[IPI]]+Tabela22[[#This Row],[Vl. Produto]])*Tabela22[[#This Row],[Aliq.%]]</f>
        <v>0</v>
      </c>
    </row>
    <row r="149" spans="13:19" x14ac:dyDescent="0.25">
      <c r="M149" s="46"/>
      <c r="N149" s="46"/>
      <c r="O149" s="46"/>
      <c r="P149" s="46"/>
      <c r="R149" s="15">
        <v>0.04</v>
      </c>
      <c r="S149" s="18">
        <f>(Tabela22[[#This Row],[FRETE]]+Tabela22[[#This Row],[DESPESAS]]+Tabela22[[#This Row],[IPI]]+Tabela22[[#This Row],[Vl. Produto]])*Tabela22[[#This Row],[Aliq.%]]</f>
        <v>0</v>
      </c>
    </row>
    <row r="150" spans="13:19" x14ac:dyDescent="0.25">
      <c r="M150" s="46"/>
      <c r="N150" s="46"/>
      <c r="O150" s="46"/>
      <c r="P150" s="46"/>
      <c r="R150" s="15">
        <v>0.04</v>
      </c>
      <c r="S150" s="18">
        <f>(Tabela22[[#This Row],[FRETE]]+Tabela22[[#This Row],[DESPESAS]]+Tabela22[[#This Row],[IPI]]+Tabela22[[#This Row],[Vl. Produto]])*Tabela22[[#This Row],[Aliq.%]]</f>
        <v>0</v>
      </c>
    </row>
    <row r="151" spans="13:19" x14ac:dyDescent="0.25">
      <c r="M151" s="46"/>
      <c r="N151" s="46"/>
      <c r="O151" s="46"/>
      <c r="P151" s="46"/>
      <c r="R151" s="15">
        <v>0.04</v>
      </c>
      <c r="S151" s="18">
        <f>(Tabela22[[#This Row],[FRETE]]+Tabela22[[#This Row],[DESPESAS]]+Tabela22[[#This Row],[IPI]]+Tabela22[[#This Row],[Vl. Produto]])*Tabela22[[#This Row],[Aliq.%]]</f>
        <v>0</v>
      </c>
    </row>
    <row r="152" spans="13:19" x14ac:dyDescent="0.25">
      <c r="M152" s="46"/>
      <c r="N152" s="46"/>
      <c r="O152" s="46"/>
      <c r="P152" s="46"/>
      <c r="R152" s="15">
        <v>0.04</v>
      </c>
      <c r="S152" s="18">
        <f>(Tabela22[[#This Row],[FRETE]]+Tabela22[[#This Row],[DESPESAS]]+Tabela22[[#This Row],[IPI]]+Tabela22[[#This Row],[Vl. Produto]])*Tabela22[[#This Row],[Aliq.%]]</f>
        <v>0</v>
      </c>
    </row>
    <row r="153" spans="13:19" x14ac:dyDescent="0.25">
      <c r="M153" s="46"/>
      <c r="N153" s="46"/>
      <c r="O153" s="46"/>
      <c r="P153" s="46"/>
      <c r="R153" s="15">
        <v>0.04</v>
      </c>
      <c r="S153" s="18">
        <f>(Tabela22[[#This Row],[FRETE]]+Tabela22[[#This Row],[DESPESAS]]+Tabela22[[#This Row],[IPI]]+Tabela22[[#This Row],[Vl. Produto]])*Tabela22[[#This Row],[Aliq.%]]</f>
        <v>0</v>
      </c>
    </row>
    <row r="154" spans="13:19" x14ac:dyDescent="0.25">
      <c r="M154" s="46"/>
      <c r="N154" s="46"/>
      <c r="O154" s="46"/>
      <c r="P154" s="46"/>
      <c r="R154" s="15">
        <v>0.04</v>
      </c>
      <c r="S154" s="18">
        <f>(Tabela22[[#This Row],[FRETE]]+Tabela22[[#This Row],[DESPESAS]]+Tabela22[[#This Row],[IPI]]+Tabela22[[#This Row],[Vl. Produto]])*Tabela22[[#This Row],[Aliq.%]]</f>
        <v>0</v>
      </c>
    </row>
    <row r="155" spans="13:19" x14ac:dyDescent="0.25">
      <c r="M155" s="46"/>
      <c r="N155" s="46"/>
      <c r="O155" s="46"/>
      <c r="P155" s="46"/>
      <c r="R155" s="15">
        <v>0.04</v>
      </c>
      <c r="S155" s="18">
        <f>(Tabela22[[#This Row],[FRETE]]+Tabela22[[#This Row],[DESPESAS]]+Tabela22[[#This Row],[IPI]]+Tabela22[[#This Row],[Vl. Produto]])*Tabela22[[#This Row],[Aliq.%]]</f>
        <v>0</v>
      </c>
    </row>
    <row r="156" spans="13:19" x14ac:dyDescent="0.25">
      <c r="M156" s="46"/>
      <c r="N156" s="46"/>
      <c r="O156" s="46"/>
      <c r="P156" s="46"/>
      <c r="R156" s="15">
        <v>0.04</v>
      </c>
      <c r="S156" s="18">
        <f>(Tabela22[[#This Row],[FRETE]]+Tabela22[[#This Row],[DESPESAS]]+Tabela22[[#This Row],[IPI]]+Tabela22[[#This Row],[Vl. Produto]])*Tabela22[[#This Row],[Aliq.%]]</f>
        <v>0</v>
      </c>
    </row>
    <row r="157" spans="13:19" x14ac:dyDescent="0.25">
      <c r="M157" s="46"/>
      <c r="N157" s="46"/>
      <c r="O157" s="46"/>
      <c r="P157" s="46"/>
      <c r="R157" s="15">
        <v>0.04</v>
      </c>
      <c r="S157" s="18">
        <f>(Tabela22[[#This Row],[FRETE]]+Tabela22[[#This Row],[DESPESAS]]+Tabela22[[#This Row],[IPI]]+Tabela22[[#This Row],[Vl. Produto]])*Tabela22[[#This Row],[Aliq.%]]</f>
        <v>0</v>
      </c>
    </row>
    <row r="158" spans="13:19" x14ac:dyDescent="0.25">
      <c r="M158" s="46"/>
      <c r="N158" s="46"/>
      <c r="O158" s="46"/>
      <c r="P158" s="46"/>
      <c r="R158" s="15">
        <v>0.04</v>
      </c>
      <c r="S158" s="18">
        <f>(Tabela22[[#This Row],[FRETE]]+Tabela22[[#This Row],[DESPESAS]]+Tabela22[[#This Row],[IPI]]+Tabela22[[#This Row],[Vl. Produto]])*Tabela22[[#This Row],[Aliq.%]]</f>
        <v>0</v>
      </c>
    </row>
    <row r="159" spans="13:19" x14ac:dyDescent="0.25">
      <c r="M159" s="46"/>
      <c r="N159" s="46"/>
      <c r="O159" s="46"/>
      <c r="P159" s="46"/>
      <c r="R159" s="15">
        <v>0.04</v>
      </c>
      <c r="S159" s="18">
        <f>(Tabela22[[#This Row],[FRETE]]+Tabela22[[#This Row],[DESPESAS]]+Tabela22[[#This Row],[IPI]]+Tabela22[[#This Row],[Vl. Produto]])*Tabela22[[#This Row],[Aliq.%]]</f>
        <v>0</v>
      </c>
    </row>
    <row r="160" spans="13:19" x14ac:dyDescent="0.25">
      <c r="M160" s="46"/>
      <c r="N160" s="46"/>
      <c r="O160" s="46"/>
      <c r="P160" s="46"/>
      <c r="R160" s="15">
        <v>0.04</v>
      </c>
      <c r="S160" s="18">
        <f>(Tabela22[[#This Row],[FRETE]]+Tabela22[[#This Row],[DESPESAS]]+Tabela22[[#This Row],[IPI]]+Tabela22[[#This Row],[Vl. Produto]])*Tabela22[[#This Row],[Aliq.%]]</f>
        <v>0</v>
      </c>
    </row>
    <row r="161" spans="13:19" x14ac:dyDescent="0.25">
      <c r="M161" s="46"/>
      <c r="N161" s="46"/>
      <c r="O161" s="46"/>
      <c r="P161" s="46"/>
      <c r="R161" s="15">
        <v>0.04</v>
      </c>
      <c r="S161" s="18">
        <f>(Tabela22[[#This Row],[FRETE]]+Tabela22[[#This Row],[DESPESAS]]+Tabela22[[#This Row],[IPI]]+Tabela22[[#This Row],[Vl. Produto]])*Tabela22[[#This Row],[Aliq.%]]</f>
        <v>0</v>
      </c>
    </row>
    <row r="162" spans="13:19" x14ac:dyDescent="0.25">
      <c r="M162" s="46"/>
      <c r="N162" s="46"/>
      <c r="O162" s="46"/>
      <c r="P162" s="46"/>
      <c r="R162" s="15">
        <v>0.04</v>
      </c>
      <c r="S162" s="18">
        <f>(Tabela22[[#This Row],[FRETE]]+Tabela22[[#This Row],[DESPESAS]]+Tabela22[[#This Row],[IPI]]+Tabela22[[#This Row],[Vl. Produto]])*Tabela22[[#This Row],[Aliq.%]]</f>
        <v>0</v>
      </c>
    </row>
    <row r="163" spans="13:19" x14ac:dyDescent="0.25">
      <c r="M163" s="46"/>
      <c r="N163" s="46"/>
      <c r="O163" s="46"/>
      <c r="P163" s="46"/>
      <c r="R163" s="15">
        <v>0.04</v>
      </c>
      <c r="S163" s="18">
        <f>(Tabela22[[#This Row],[FRETE]]+Tabela22[[#This Row],[DESPESAS]]+Tabela22[[#This Row],[IPI]]+Tabela22[[#This Row],[Vl. Produto]])*Tabela22[[#This Row],[Aliq.%]]</f>
        <v>0</v>
      </c>
    </row>
    <row r="164" spans="13:19" x14ac:dyDescent="0.25">
      <c r="M164" s="46"/>
      <c r="N164" s="46"/>
      <c r="O164" s="46"/>
      <c r="P164" s="46"/>
      <c r="R164" s="15">
        <v>0.04</v>
      </c>
      <c r="S164" s="18">
        <f>(Tabela22[[#This Row],[FRETE]]+Tabela22[[#This Row],[DESPESAS]]+Tabela22[[#This Row],[IPI]]+Tabela22[[#This Row],[Vl. Produto]])*Tabela22[[#This Row],[Aliq.%]]</f>
        <v>0</v>
      </c>
    </row>
    <row r="165" spans="13:19" x14ac:dyDescent="0.25">
      <c r="M165" s="46"/>
      <c r="N165" s="46"/>
      <c r="O165" s="46"/>
      <c r="P165" s="46"/>
      <c r="R165" s="15">
        <v>0.04</v>
      </c>
      <c r="S165" s="18">
        <f>(Tabela22[[#This Row],[FRETE]]+Tabela22[[#This Row],[DESPESAS]]+Tabela22[[#This Row],[IPI]]+Tabela22[[#This Row],[Vl. Produto]])*Tabela22[[#This Row],[Aliq.%]]</f>
        <v>0</v>
      </c>
    </row>
    <row r="166" spans="13:19" x14ac:dyDescent="0.25">
      <c r="M166" s="46"/>
      <c r="N166" s="46"/>
      <c r="O166" s="46"/>
      <c r="P166" s="46"/>
      <c r="R166" s="15">
        <v>0.04</v>
      </c>
      <c r="S166" s="18">
        <f>(Tabela22[[#This Row],[FRETE]]+Tabela22[[#This Row],[DESPESAS]]+Tabela22[[#This Row],[IPI]]+Tabela22[[#This Row],[Vl. Produto]])*Tabela22[[#This Row],[Aliq.%]]</f>
        <v>0</v>
      </c>
    </row>
    <row r="167" spans="13:19" x14ac:dyDescent="0.25">
      <c r="M167" s="46"/>
      <c r="N167" s="46"/>
      <c r="O167" s="46"/>
      <c r="P167" s="46"/>
      <c r="R167" s="15">
        <v>0.04</v>
      </c>
      <c r="S167" s="18">
        <f>(Tabela22[[#This Row],[FRETE]]+Tabela22[[#This Row],[DESPESAS]]+Tabela22[[#This Row],[IPI]]+Tabela22[[#This Row],[Vl. Produto]])*Tabela22[[#This Row],[Aliq.%]]</f>
        <v>0</v>
      </c>
    </row>
    <row r="168" spans="13:19" x14ac:dyDescent="0.25">
      <c r="M168" s="46"/>
      <c r="N168" s="46"/>
      <c r="O168" s="46"/>
      <c r="P168" s="46"/>
      <c r="R168" s="15">
        <v>0.04</v>
      </c>
      <c r="S168" s="18">
        <f>(Tabela22[[#This Row],[FRETE]]+Tabela22[[#This Row],[DESPESAS]]+Tabela22[[#This Row],[IPI]]+Tabela22[[#This Row],[Vl. Produto]])*Tabela22[[#This Row],[Aliq.%]]</f>
        <v>0</v>
      </c>
    </row>
    <row r="169" spans="13:19" x14ac:dyDescent="0.25">
      <c r="M169" s="46"/>
      <c r="N169" s="46"/>
      <c r="O169" s="46"/>
      <c r="P169" s="46"/>
      <c r="R169" s="15">
        <v>0.04</v>
      </c>
      <c r="S169" s="18">
        <f>(Tabela22[[#This Row],[FRETE]]+Tabela22[[#This Row],[DESPESAS]]+Tabela22[[#This Row],[IPI]]+Tabela22[[#This Row],[Vl. Produto]])*Tabela22[[#This Row],[Aliq.%]]</f>
        <v>0</v>
      </c>
    </row>
    <row r="170" spans="13:19" x14ac:dyDescent="0.25">
      <c r="M170" s="46"/>
      <c r="N170" s="46"/>
      <c r="O170" s="46"/>
      <c r="P170" s="46"/>
      <c r="R170" s="15">
        <v>0.04</v>
      </c>
      <c r="S170" s="18">
        <f>(Tabela22[[#This Row],[FRETE]]+Tabela22[[#This Row],[DESPESAS]]+Tabela22[[#This Row],[IPI]]+Tabela22[[#This Row],[Vl. Produto]])*Tabela22[[#This Row],[Aliq.%]]</f>
        <v>0</v>
      </c>
    </row>
    <row r="171" spans="13:19" x14ac:dyDescent="0.25">
      <c r="M171" s="46"/>
      <c r="N171" s="46"/>
      <c r="O171" s="46"/>
      <c r="P171" s="46"/>
      <c r="R171" s="15">
        <v>0.04</v>
      </c>
      <c r="S171" s="18">
        <f>(Tabela22[[#This Row],[FRETE]]+Tabela22[[#This Row],[DESPESAS]]+Tabela22[[#This Row],[IPI]]+Tabela22[[#This Row],[Vl. Produto]])*Tabela22[[#This Row],[Aliq.%]]</f>
        <v>0</v>
      </c>
    </row>
    <row r="172" spans="13:19" x14ac:dyDescent="0.25">
      <c r="M172" s="46"/>
      <c r="N172" s="46"/>
      <c r="O172" s="46"/>
      <c r="P172" s="46"/>
      <c r="R172" s="15">
        <v>0.04</v>
      </c>
      <c r="S172" s="18">
        <f>(Tabela22[[#This Row],[FRETE]]+Tabela22[[#This Row],[DESPESAS]]+Tabela22[[#This Row],[IPI]]+Tabela22[[#This Row],[Vl. Produto]])*Tabela22[[#This Row],[Aliq.%]]</f>
        <v>0</v>
      </c>
    </row>
    <row r="173" spans="13:19" x14ac:dyDescent="0.25">
      <c r="M173" s="46"/>
      <c r="N173" s="46"/>
      <c r="O173" s="46"/>
      <c r="P173" s="46"/>
      <c r="R173" s="15">
        <v>0.04</v>
      </c>
      <c r="S173" s="18">
        <f>(Tabela22[[#This Row],[FRETE]]+Tabela22[[#This Row],[DESPESAS]]+Tabela22[[#This Row],[IPI]]+Tabela22[[#This Row],[Vl. Produto]])*Tabela22[[#This Row],[Aliq.%]]</f>
        <v>0</v>
      </c>
    </row>
    <row r="174" spans="13:19" x14ac:dyDescent="0.25">
      <c r="M174" s="46"/>
      <c r="N174" s="46"/>
      <c r="O174" s="46"/>
      <c r="P174" s="46"/>
      <c r="R174" s="15">
        <v>0.04</v>
      </c>
      <c r="S174" s="18">
        <f>(Tabela22[[#This Row],[FRETE]]+Tabela22[[#This Row],[DESPESAS]]+Tabela22[[#This Row],[IPI]]+Tabela22[[#This Row],[Vl. Produto]])*Tabela22[[#This Row],[Aliq.%]]</f>
        <v>0</v>
      </c>
    </row>
    <row r="175" spans="13:19" x14ac:dyDescent="0.25">
      <c r="M175" s="46"/>
      <c r="N175" s="46"/>
      <c r="O175" s="46"/>
      <c r="P175" s="46"/>
      <c r="R175" s="15">
        <v>0.04</v>
      </c>
      <c r="S175" s="18">
        <f>(Tabela22[[#This Row],[FRETE]]+Tabela22[[#This Row],[DESPESAS]]+Tabela22[[#This Row],[IPI]]+Tabela22[[#This Row],[Vl. Produto]])*Tabela22[[#This Row],[Aliq.%]]</f>
        <v>0</v>
      </c>
    </row>
    <row r="176" spans="13:19" x14ac:dyDescent="0.25">
      <c r="M176" s="46"/>
      <c r="N176" s="46"/>
      <c r="O176" s="46"/>
      <c r="P176" s="46"/>
      <c r="R176" s="15">
        <v>0.04</v>
      </c>
      <c r="S176" s="18">
        <f>(Tabela22[[#This Row],[FRETE]]+Tabela22[[#This Row],[DESPESAS]]+Tabela22[[#This Row],[IPI]]+Tabela22[[#This Row],[Vl. Produto]])*Tabela22[[#This Row],[Aliq.%]]</f>
        <v>0</v>
      </c>
    </row>
    <row r="177" spans="13:19" x14ac:dyDescent="0.25">
      <c r="M177" s="46"/>
      <c r="N177" s="46"/>
      <c r="O177" s="46"/>
      <c r="P177" s="46"/>
      <c r="R177" s="15">
        <v>0.04</v>
      </c>
      <c r="S177" s="18">
        <f>(Tabela22[[#This Row],[FRETE]]+Tabela22[[#This Row],[DESPESAS]]+Tabela22[[#This Row],[IPI]]+Tabela22[[#This Row],[Vl. Produto]])*Tabela22[[#This Row],[Aliq.%]]</f>
        <v>0</v>
      </c>
    </row>
    <row r="178" spans="13:19" x14ac:dyDescent="0.25">
      <c r="M178" s="46"/>
      <c r="N178" s="46"/>
      <c r="O178" s="46"/>
      <c r="P178" s="46"/>
      <c r="R178" s="15">
        <v>0.04</v>
      </c>
      <c r="S178" s="18">
        <f>(Tabela22[[#This Row],[FRETE]]+Tabela22[[#This Row],[DESPESAS]]+Tabela22[[#This Row],[IPI]]+Tabela22[[#This Row],[Vl. Produto]])*Tabela22[[#This Row],[Aliq.%]]</f>
        <v>0</v>
      </c>
    </row>
    <row r="179" spans="13:19" x14ac:dyDescent="0.25">
      <c r="M179" s="46"/>
      <c r="N179" s="46"/>
      <c r="O179" s="46"/>
      <c r="P179" s="46"/>
      <c r="R179" s="15">
        <v>0.04</v>
      </c>
      <c r="S179" s="18">
        <f>(Tabela22[[#This Row],[FRETE]]+Tabela22[[#This Row],[DESPESAS]]+Tabela22[[#This Row],[IPI]]+Tabela22[[#This Row],[Vl. Produto]])*Tabela22[[#This Row],[Aliq.%]]</f>
        <v>0</v>
      </c>
    </row>
    <row r="180" spans="13:19" x14ac:dyDescent="0.25">
      <c r="M180" s="46"/>
      <c r="N180" s="46"/>
      <c r="O180" s="46"/>
      <c r="P180" s="46"/>
      <c r="R180" s="15">
        <v>0.04</v>
      </c>
      <c r="S180" s="18">
        <f>(Tabela22[[#This Row],[FRETE]]+Tabela22[[#This Row],[DESPESAS]]+Tabela22[[#This Row],[IPI]]+Tabela22[[#This Row],[Vl. Produto]])*Tabela22[[#This Row],[Aliq.%]]</f>
        <v>0</v>
      </c>
    </row>
    <row r="181" spans="13:19" x14ac:dyDescent="0.25">
      <c r="M181" s="46"/>
      <c r="N181" s="46"/>
      <c r="O181" s="46"/>
      <c r="P181" s="46"/>
      <c r="R181" s="15">
        <v>0.04</v>
      </c>
      <c r="S181" s="18">
        <f>(Tabela22[[#This Row],[FRETE]]+Tabela22[[#This Row],[DESPESAS]]+Tabela22[[#This Row],[IPI]]+Tabela22[[#This Row],[Vl. Produto]])*Tabela22[[#This Row],[Aliq.%]]</f>
        <v>0</v>
      </c>
    </row>
    <row r="182" spans="13:19" x14ac:dyDescent="0.25">
      <c r="M182" s="46"/>
      <c r="N182" s="46"/>
      <c r="O182" s="46"/>
      <c r="P182" s="46"/>
      <c r="R182" s="15">
        <v>0.04</v>
      </c>
      <c r="S182" s="18">
        <f>(Tabela22[[#This Row],[FRETE]]+Tabela22[[#This Row],[DESPESAS]]+Tabela22[[#This Row],[IPI]]+Tabela22[[#This Row],[Vl. Produto]])*Tabela22[[#This Row],[Aliq.%]]</f>
        <v>0</v>
      </c>
    </row>
    <row r="183" spans="13:19" x14ac:dyDescent="0.25">
      <c r="M183" s="46"/>
      <c r="N183" s="46"/>
      <c r="O183" s="46"/>
      <c r="P183" s="46"/>
      <c r="R183" s="15">
        <v>0.04</v>
      </c>
      <c r="S183" s="18">
        <f>(Tabela22[[#This Row],[FRETE]]+Tabela22[[#This Row],[DESPESAS]]+Tabela22[[#This Row],[IPI]]+Tabela22[[#This Row],[Vl. Produto]])*Tabela22[[#This Row],[Aliq.%]]</f>
        <v>0</v>
      </c>
    </row>
    <row r="184" spans="13:19" x14ac:dyDescent="0.25">
      <c r="M184" s="46"/>
      <c r="N184" s="46"/>
      <c r="O184" s="46"/>
      <c r="P184" s="46"/>
      <c r="R184" s="15">
        <v>0.04</v>
      </c>
      <c r="S184" s="18">
        <f>(Tabela22[[#This Row],[FRETE]]+Tabela22[[#This Row],[DESPESAS]]+Tabela22[[#This Row],[IPI]]+Tabela22[[#This Row],[Vl. Produto]])*Tabela22[[#This Row],[Aliq.%]]</f>
        <v>0</v>
      </c>
    </row>
    <row r="185" spans="13:19" x14ac:dyDescent="0.25">
      <c r="M185" s="46"/>
      <c r="N185" s="46"/>
      <c r="O185" s="46"/>
      <c r="P185" s="46"/>
      <c r="R185" s="15">
        <v>0.04</v>
      </c>
      <c r="S185" s="18">
        <f>(Tabela22[[#This Row],[FRETE]]+Tabela22[[#This Row],[DESPESAS]]+Tabela22[[#This Row],[IPI]]+Tabela22[[#This Row],[Vl. Produto]])*Tabela22[[#This Row],[Aliq.%]]</f>
        <v>0</v>
      </c>
    </row>
    <row r="186" spans="13:19" x14ac:dyDescent="0.25">
      <c r="M186" s="46"/>
      <c r="N186" s="46"/>
      <c r="O186" s="46"/>
      <c r="P186" s="46"/>
      <c r="R186" s="15">
        <v>0.04</v>
      </c>
      <c r="S186" s="18">
        <f>(Tabela22[[#This Row],[FRETE]]+Tabela22[[#This Row],[DESPESAS]]+Tabela22[[#This Row],[IPI]]+Tabela22[[#This Row],[Vl. Produto]])*Tabela22[[#This Row],[Aliq.%]]</f>
        <v>0</v>
      </c>
    </row>
    <row r="187" spans="13:19" x14ac:dyDescent="0.25">
      <c r="M187" s="46"/>
      <c r="N187" s="46"/>
      <c r="O187" s="46"/>
      <c r="P187" s="46"/>
      <c r="R187" s="15">
        <v>0.04</v>
      </c>
      <c r="S187" s="18">
        <f>(Tabela22[[#This Row],[FRETE]]+Tabela22[[#This Row],[DESPESAS]]+Tabela22[[#This Row],[IPI]]+Tabela22[[#This Row],[Vl. Produto]])*Tabela22[[#This Row],[Aliq.%]]</f>
        <v>0</v>
      </c>
    </row>
    <row r="188" spans="13:19" x14ac:dyDescent="0.25">
      <c r="M188" s="46"/>
      <c r="N188" s="46"/>
      <c r="O188" s="46"/>
      <c r="P188" s="46"/>
      <c r="R188" s="15">
        <v>0.04</v>
      </c>
      <c r="S188" s="18">
        <f>(Tabela22[[#This Row],[FRETE]]+Tabela22[[#This Row],[DESPESAS]]+Tabela22[[#This Row],[IPI]]+Tabela22[[#This Row],[Vl. Produto]])*Tabela22[[#This Row],[Aliq.%]]</f>
        <v>0</v>
      </c>
    </row>
    <row r="189" spans="13:19" x14ac:dyDescent="0.25">
      <c r="M189" s="46"/>
      <c r="N189" s="46"/>
      <c r="O189" s="46"/>
      <c r="P189" s="46"/>
      <c r="R189" s="15">
        <v>0.04</v>
      </c>
      <c r="S189" s="18">
        <f>(Tabela22[[#This Row],[FRETE]]+Tabela22[[#This Row],[DESPESAS]]+Tabela22[[#This Row],[IPI]]+Tabela22[[#This Row],[Vl. Produto]])*Tabela22[[#This Row],[Aliq.%]]</f>
        <v>0</v>
      </c>
    </row>
    <row r="190" spans="13:19" x14ac:dyDescent="0.25">
      <c r="M190" s="46"/>
      <c r="N190" s="46"/>
      <c r="O190" s="46"/>
      <c r="P190" s="46"/>
      <c r="R190" s="15">
        <v>0.04</v>
      </c>
      <c r="S190" s="18">
        <f>(Tabela22[[#This Row],[FRETE]]+Tabela22[[#This Row],[DESPESAS]]+Tabela22[[#This Row],[IPI]]+Tabela22[[#This Row],[Vl. Produto]])*Tabela22[[#This Row],[Aliq.%]]</f>
        <v>0</v>
      </c>
    </row>
    <row r="191" spans="13:19" x14ac:dyDescent="0.25">
      <c r="M191" s="46"/>
      <c r="N191" s="46"/>
      <c r="O191" s="46"/>
      <c r="P191" s="46"/>
      <c r="R191" s="15">
        <v>0.04</v>
      </c>
      <c r="S191" s="18">
        <f>(Tabela22[[#This Row],[FRETE]]+Tabela22[[#This Row],[DESPESAS]]+Tabela22[[#This Row],[IPI]]+Tabela22[[#This Row],[Vl. Produto]])*Tabela22[[#This Row],[Aliq.%]]</f>
        <v>0</v>
      </c>
    </row>
    <row r="192" spans="13:19" x14ac:dyDescent="0.25">
      <c r="M192" s="46"/>
      <c r="N192" s="46"/>
      <c r="O192" s="46"/>
      <c r="P192" s="46"/>
      <c r="R192" s="15">
        <v>0.04</v>
      </c>
      <c r="S192" s="18">
        <f>(Tabela22[[#This Row],[FRETE]]+Tabela22[[#This Row],[DESPESAS]]+Tabela22[[#This Row],[IPI]]+Tabela22[[#This Row],[Vl. Produto]])*Tabela22[[#This Row],[Aliq.%]]</f>
        <v>0</v>
      </c>
    </row>
    <row r="193" spans="13:19" x14ac:dyDescent="0.25">
      <c r="M193" s="46"/>
      <c r="N193" s="46"/>
      <c r="O193" s="46"/>
      <c r="P193" s="46"/>
      <c r="R193" s="15">
        <v>0.04</v>
      </c>
      <c r="S193" s="18">
        <f>(Tabela22[[#This Row],[FRETE]]+Tabela22[[#This Row],[DESPESAS]]+Tabela22[[#This Row],[IPI]]+Tabela22[[#This Row],[Vl. Produto]])*Tabela22[[#This Row],[Aliq.%]]</f>
        <v>0</v>
      </c>
    </row>
    <row r="194" spans="13:19" x14ac:dyDescent="0.25">
      <c r="M194" s="46"/>
      <c r="N194" s="46"/>
      <c r="O194" s="46"/>
      <c r="P194" s="46"/>
      <c r="R194" s="15">
        <v>0.04</v>
      </c>
      <c r="S194" s="18">
        <f>(Tabela22[[#This Row],[FRETE]]+Tabela22[[#This Row],[DESPESAS]]+Tabela22[[#This Row],[IPI]]+Tabela22[[#This Row],[Vl. Produto]])*Tabela22[[#This Row],[Aliq.%]]</f>
        <v>0</v>
      </c>
    </row>
    <row r="195" spans="13:19" x14ac:dyDescent="0.25">
      <c r="M195" s="46"/>
      <c r="N195" s="46"/>
      <c r="O195" s="46"/>
      <c r="P195" s="46"/>
      <c r="R195" s="15">
        <v>0.04</v>
      </c>
      <c r="S195" s="18">
        <f>(Tabela22[[#This Row],[FRETE]]+Tabela22[[#This Row],[DESPESAS]]+Tabela22[[#This Row],[IPI]]+Tabela22[[#This Row],[Vl. Produto]])*Tabela22[[#This Row],[Aliq.%]]</f>
        <v>0</v>
      </c>
    </row>
    <row r="196" spans="13:19" x14ac:dyDescent="0.25">
      <c r="M196" s="46"/>
      <c r="N196" s="46"/>
      <c r="O196" s="46"/>
      <c r="P196" s="46"/>
      <c r="R196" s="15">
        <v>0.04</v>
      </c>
      <c r="S196" s="18">
        <f>(Tabela22[[#This Row],[FRETE]]+Tabela22[[#This Row],[DESPESAS]]+Tabela22[[#This Row],[IPI]]+Tabela22[[#This Row],[Vl. Produto]])*Tabela22[[#This Row],[Aliq.%]]</f>
        <v>0</v>
      </c>
    </row>
    <row r="197" spans="13:19" x14ac:dyDescent="0.25">
      <c r="M197" s="46"/>
      <c r="N197" s="46"/>
      <c r="O197" s="46"/>
      <c r="P197" s="46"/>
      <c r="R197" s="15">
        <v>0.04</v>
      </c>
      <c r="S197" s="18">
        <f>(Tabela22[[#This Row],[FRETE]]+Tabela22[[#This Row],[DESPESAS]]+Tabela22[[#This Row],[IPI]]+Tabela22[[#This Row],[Vl. Produto]])*Tabela22[[#This Row],[Aliq.%]]</f>
        <v>0</v>
      </c>
    </row>
    <row r="198" spans="13:19" x14ac:dyDescent="0.25">
      <c r="M198" s="46"/>
      <c r="N198" s="46"/>
      <c r="O198" s="46"/>
      <c r="P198" s="46"/>
      <c r="R198" s="15">
        <v>0.04</v>
      </c>
      <c r="S198" s="18">
        <f>(Tabela22[[#This Row],[FRETE]]+Tabela22[[#This Row],[DESPESAS]]+Tabela22[[#This Row],[IPI]]+Tabela22[[#This Row],[Vl. Produto]])*Tabela22[[#This Row],[Aliq.%]]</f>
        <v>0</v>
      </c>
    </row>
    <row r="199" spans="13:19" x14ac:dyDescent="0.25">
      <c r="M199" s="46"/>
      <c r="N199" s="46"/>
      <c r="O199" s="46"/>
      <c r="P199" s="46"/>
      <c r="R199" s="15">
        <v>0.04</v>
      </c>
      <c r="S199" s="18">
        <f>(Tabela22[[#This Row],[FRETE]]+Tabela22[[#This Row],[DESPESAS]]+Tabela22[[#This Row],[IPI]]+Tabela22[[#This Row],[Vl. Produto]])*Tabela22[[#This Row],[Aliq.%]]</f>
        <v>0</v>
      </c>
    </row>
    <row r="200" spans="13:19" x14ac:dyDescent="0.25">
      <c r="M200" s="46"/>
      <c r="N200" s="46"/>
      <c r="O200" s="46"/>
      <c r="P200" s="46"/>
      <c r="R200" s="15">
        <v>0.04</v>
      </c>
      <c r="S200" s="18">
        <f>(Tabela22[[#This Row],[FRETE]]+Tabela22[[#This Row],[DESPESAS]]+Tabela22[[#This Row],[IPI]]+Tabela22[[#This Row],[Vl. Produto]])*Tabela22[[#This Row],[Aliq.%]]</f>
        <v>0</v>
      </c>
    </row>
    <row r="201" spans="13:19" x14ac:dyDescent="0.25">
      <c r="M201" s="46"/>
      <c r="N201" s="46"/>
      <c r="O201" s="46"/>
      <c r="P201" s="46"/>
      <c r="R201" s="15">
        <v>0.04</v>
      </c>
      <c r="S201" s="18">
        <f>(Tabela22[[#This Row],[FRETE]]+Tabela22[[#This Row],[DESPESAS]]+Tabela22[[#This Row],[IPI]]+Tabela22[[#This Row],[Vl. Produto]])*Tabela22[[#This Row],[Aliq.%]]</f>
        <v>0</v>
      </c>
    </row>
    <row r="202" spans="13:19" x14ac:dyDescent="0.25">
      <c r="M202" s="46"/>
      <c r="N202" s="46"/>
      <c r="O202" s="46"/>
      <c r="P202" s="46"/>
      <c r="R202" s="15">
        <v>0.04</v>
      </c>
      <c r="S202" s="18">
        <f>(Tabela22[[#This Row],[FRETE]]+Tabela22[[#This Row],[DESPESAS]]+Tabela22[[#This Row],[IPI]]+Tabela22[[#This Row],[Vl. Produto]])*Tabela22[[#This Row],[Aliq.%]]</f>
        <v>0</v>
      </c>
    </row>
    <row r="203" spans="13:19" x14ac:dyDescent="0.25">
      <c r="M203" s="46"/>
      <c r="N203" s="46"/>
      <c r="O203" s="46"/>
      <c r="P203" s="46"/>
      <c r="R203" s="15">
        <v>0.04</v>
      </c>
      <c r="S203" s="18">
        <f>(Tabela22[[#This Row],[FRETE]]+Tabela22[[#This Row],[DESPESAS]]+Tabela22[[#This Row],[IPI]]+Tabela22[[#This Row],[Vl. Produto]])*Tabela22[[#This Row],[Aliq.%]]</f>
        <v>0</v>
      </c>
    </row>
    <row r="204" spans="13:19" x14ac:dyDescent="0.25">
      <c r="M204" s="46"/>
      <c r="N204" s="46"/>
      <c r="O204" s="46"/>
      <c r="P204" s="46"/>
      <c r="R204" s="15">
        <v>0.04</v>
      </c>
      <c r="S204" s="18">
        <f>(Tabela22[[#This Row],[FRETE]]+Tabela22[[#This Row],[DESPESAS]]+Tabela22[[#This Row],[IPI]]+Tabela22[[#This Row],[Vl. Produto]])*Tabela22[[#This Row],[Aliq.%]]</f>
        <v>0</v>
      </c>
    </row>
    <row r="205" spans="13:19" x14ac:dyDescent="0.25">
      <c r="M205" s="46"/>
      <c r="N205" s="46"/>
      <c r="O205" s="46"/>
      <c r="P205" s="46"/>
      <c r="R205" s="15">
        <v>0.04</v>
      </c>
      <c r="S205" s="18">
        <f>(Tabela22[[#This Row],[FRETE]]+Tabela22[[#This Row],[DESPESAS]]+Tabela22[[#This Row],[IPI]]+Tabela22[[#This Row],[Vl. Produto]])*Tabela22[[#This Row],[Aliq.%]]</f>
        <v>0</v>
      </c>
    </row>
    <row r="206" spans="13:19" x14ac:dyDescent="0.25">
      <c r="M206" s="46"/>
      <c r="N206" s="46"/>
      <c r="O206" s="46"/>
      <c r="P206" s="46"/>
      <c r="R206" s="15">
        <v>0.04</v>
      </c>
      <c r="S206" s="18">
        <f>(Tabela22[[#This Row],[FRETE]]+Tabela22[[#This Row],[DESPESAS]]+Tabela22[[#This Row],[IPI]]+Tabela22[[#This Row],[Vl. Produto]])*Tabela22[[#This Row],[Aliq.%]]</f>
        <v>0</v>
      </c>
    </row>
    <row r="207" spans="13:19" x14ac:dyDescent="0.25">
      <c r="M207" s="46"/>
      <c r="N207" s="46"/>
      <c r="O207" s="46"/>
      <c r="P207" s="46"/>
      <c r="R207" s="15">
        <v>0.04</v>
      </c>
      <c r="S207" s="18">
        <f>(Tabela22[[#This Row],[FRETE]]+Tabela22[[#This Row],[DESPESAS]]+Tabela22[[#This Row],[IPI]]+Tabela22[[#This Row],[Vl. Produto]])*Tabela22[[#This Row],[Aliq.%]]</f>
        <v>0</v>
      </c>
    </row>
    <row r="208" spans="13:19" x14ac:dyDescent="0.25">
      <c r="M208" s="46"/>
      <c r="N208" s="46"/>
      <c r="O208" s="46"/>
      <c r="P208" s="46"/>
      <c r="R208" s="15">
        <v>0.04</v>
      </c>
      <c r="S208" s="18">
        <f>(Tabela22[[#This Row],[FRETE]]+Tabela22[[#This Row],[DESPESAS]]+Tabela22[[#This Row],[IPI]]+Tabela22[[#This Row],[Vl. Produto]])*Tabela22[[#This Row],[Aliq.%]]</f>
        <v>0</v>
      </c>
    </row>
    <row r="209" spans="13:19" x14ac:dyDescent="0.25">
      <c r="M209" s="46"/>
      <c r="N209" s="46"/>
      <c r="O209" s="46"/>
      <c r="P209" s="46"/>
      <c r="R209" s="15">
        <v>0.04</v>
      </c>
      <c r="S209" s="18">
        <f>(Tabela22[[#This Row],[FRETE]]+Tabela22[[#This Row],[DESPESAS]]+Tabela22[[#This Row],[IPI]]+Tabela22[[#This Row],[Vl. Produto]])*Tabela22[[#This Row],[Aliq.%]]</f>
        <v>0</v>
      </c>
    </row>
    <row r="210" spans="13:19" x14ac:dyDescent="0.25">
      <c r="M210" s="46"/>
      <c r="N210" s="46"/>
      <c r="O210" s="46"/>
      <c r="P210" s="46"/>
      <c r="R210" s="15">
        <v>0.04</v>
      </c>
      <c r="S210" s="18">
        <f>(Tabela22[[#This Row],[FRETE]]+Tabela22[[#This Row],[DESPESAS]]+Tabela22[[#This Row],[IPI]]+Tabela22[[#This Row],[Vl. Produto]])*Tabela22[[#This Row],[Aliq.%]]</f>
        <v>0</v>
      </c>
    </row>
    <row r="211" spans="13:19" x14ac:dyDescent="0.25">
      <c r="M211" s="46"/>
      <c r="N211" s="46"/>
      <c r="O211" s="46"/>
      <c r="P211" s="46"/>
      <c r="R211" s="15">
        <v>0.04</v>
      </c>
      <c r="S211" s="18">
        <f>(Tabela22[[#This Row],[FRETE]]+Tabela22[[#This Row],[DESPESAS]]+Tabela22[[#This Row],[IPI]]+Tabela22[[#This Row],[Vl. Produto]])*Tabela22[[#This Row],[Aliq.%]]</f>
        <v>0</v>
      </c>
    </row>
    <row r="212" spans="13:19" x14ac:dyDescent="0.25">
      <c r="M212" s="46"/>
      <c r="N212" s="46"/>
      <c r="O212" s="46"/>
      <c r="P212" s="46"/>
      <c r="R212" s="15">
        <v>0.04</v>
      </c>
      <c r="S212" s="18">
        <f>(Tabela22[[#This Row],[FRETE]]+Tabela22[[#This Row],[DESPESAS]]+Tabela22[[#This Row],[IPI]]+Tabela22[[#This Row],[Vl. Produto]])*Tabela22[[#This Row],[Aliq.%]]</f>
        <v>0</v>
      </c>
    </row>
    <row r="213" spans="13:19" x14ac:dyDescent="0.25">
      <c r="M213" s="46"/>
      <c r="N213" s="46"/>
      <c r="O213" s="46"/>
      <c r="P213" s="46"/>
      <c r="R213" s="15">
        <v>0.04</v>
      </c>
      <c r="S213" s="18">
        <f>(Tabela22[[#This Row],[FRETE]]+Tabela22[[#This Row],[DESPESAS]]+Tabela22[[#This Row],[IPI]]+Tabela22[[#This Row],[Vl. Produto]])*Tabela22[[#This Row],[Aliq.%]]</f>
        <v>0</v>
      </c>
    </row>
    <row r="214" spans="13:19" x14ac:dyDescent="0.25">
      <c r="M214" s="46"/>
      <c r="N214" s="46"/>
      <c r="O214" s="46"/>
      <c r="P214" s="46"/>
      <c r="R214" s="15">
        <v>0.04</v>
      </c>
      <c r="S214" s="18">
        <f>(Tabela22[[#This Row],[FRETE]]+Tabela22[[#This Row],[DESPESAS]]+Tabela22[[#This Row],[IPI]]+Tabela22[[#This Row],[Vl. Produto]])*Tabela22[[#This Row],[Aliq.%]]</f>
        <v>0</v>
      </c>
    </row>
    <row r="215" spans="13:19" x14ac:dyDescent="0.25">
      <c r="M215" s="46"/>
      <c r="N215" s="46"/>
      <c r="O215" s="46"/>
      <c r="P215" s="46"/>
      <c r="R215" s="15">
        <v>0.04</v>
      </c>
      <c r="S215" s="18">
        <f>(Tabela22[[#This Row],[FRETE]]+Tabela22[[#This Row],[DESPESAS]]+Tabela22[[#This Row],[IPI]]+Tabela22[[#This Row],[Vl. Produto]])*Tabela22[[#This Row],[Aliq.%]]</f>
        <v>0</v>
      </c>
    </row>
    <row r="216" spans="13:19" x14ac:dyDescent="0.25">
      <c r="M216" s="46"/>
      <c r="N216" s="46"/>
      <c r="O216" s="46"/>
      <c r="P216" s="46"/>
      <c r="R216" s="15">
        <v>0.04</v>
      </c>
      <c r="S216" s="18">
        <f>(Tabela22[[#This Row],[FRETE]]+Tabela22[[#This Row],[DESPESAS]]+Tabela22[[#This Row],[IPI]]+Tabela22[[#This Row],[Vl. Produto]])*Tabela22[[#This Row],[Aliq.%]]</f>
        <v>0</v>
      </c>
    </row>
    <row r="217" spans="13:19" x14ac:dyDescent="0.25">
      <c r="M217" s="46"/>
      <c r="N217" s="46"/>
      <c r="O217" s="46"/>
      <c r="P217" s="46"/>
      <c r="R217" s="15">
        <v>0.04</v>
      </c>
      <c r="S217" s="18">
        <f>(Tabela22[[#This Row],[FRETE]]+Tabela22[[#This Row],[DESPESAS]]+Tabela22[[#This Row],[IPI]]+Tabela22[[#This Row],[Vl. Produto]])*Tabela22[[#This Row],[Aliq.%]]</f>
        <v>0</v>
      </c>
    </row>
    <row r="218" spans="13:19" x14ac:dyDescent="0.25">
      <c r="M218" s="46"/>
      <c r="N218" s="46"/>
      <c r="O218" s="46"/>
      <c r="P218" s="46"/>
      <c r="R218" s="15">
        <v>0.04</v>
      </c>
      <c r="S218" s="18">
        <f>(Tabela22[[#This Row],[FRETE]]+Tabela22[[#This Row],[DESPESAS]]+Tabela22[[#This Row],[IPI]]+Tabela22[[#This Row],[Vl. Produto]])*Tabela22[[#This Row],[Aliq.%]]</f>
        <v>0</v>
      </c>
    </row>
    <row r="219" spans="13:19" x14ac:dyDescent="0.25">
      <c r="M219" s="46"/>
      <c r="N219" s="46"/>
      <c r="O219" s="46"/>
      <c r="P219" s="46"/>
      <c r="R219" s="15">
        <v>0.04</v>
      </c>
      <c r="S219" s="18">
        <f>(Tabela22[[#This Row],[FRETE]]+Tabela22[[#This Row],[DESPESAS]]+Tabela22[[#This Row],[IPI]]+Tabela22[[#This Row],[Vl. Produto]])*Tabela22[[#This Row],[Aliq.%]]</f>
        <v>0</v>
      </c>
    </row>
    <row r="220" spans="13:19" x14ac:dyDescent="0.25">
      <c r="M220" s="46"/>
      <c r="N220" s="46"/>
      <c r="O220" s="46"/>
      <c r="P220" s="46"/>
      <c r="R220" s="15">
        <v>0.04</v>
      </c>
      <c r="S220" s="18">
        <f>(Tabela22[[#This Row],[FRETE]]+Tabela22[[#This Row],[DESPESAS]]+Tabela22[[#This Row],[IPI]]+Tabela22[[#This Row],[Vl. Produto]])*Tabela22[[#This Row],[Aliq.%]]</f>
        <v>0</v>
      </c>
    </row>
    <row r="221" spans="13:19" x14ac:dyDescent="0.25">
      <c r="M221" s="46"/>
      <c r="N221" s="46"/>
      <c r="O221" s="46"/>
      <c r="P221" s="46"/>
      <c r="R221" s="15">
        <v>0.04</v>
      </c>
      <c r="S221" s="18">
        <f>(Tabela22[[#This Row],[FRETE]]+Tabela22[[#This Row],[DESPESAS]]+Tabela22[[#This Row],[IPI]]+Tabela22[[#This Row],[Vl. Produto]])*Tabela22[[#This Row],[Aliq.%]]</f>
        <v>0</v>
      </c>
    </row>
    <row r="222" spans="13:19" x14ac:dyDescent="0.25">
      <c r="M222" s="46"/>
      <c r="N222" s="46"/>
      <c r="O222" s="46"/>
      <c r="P222" s="46"/>
      <c r="R222" s="15">
        <v>0.04</v>
      </c>
      <c r="S222" s="18">
        <f>(Tabela22[[#This Row],[FRETE]]+Tabela22[[#This Row],[DESPESAS]]+Tabela22[[#This Row],[IPI]]+Tabela22[[#This Row],[Vl. Produto]])*Tabela22[[#This Row],[Aliq.%]]</f>
        <v>0</v>
      </c>
    </row>
    <row r="223" spans="13:19" x14ac:dyDescent="0.25">
      <c r="M223" s="46"/>
      <c r="N223" s="46"/>
      <c r="O223" s="46"/>
      <c r="P223" s="46"/>
      <c r="R223" s="15">
        <v>0.04</v>
      </c>
      <c r="S223" s="18">
        <f>(Tabela22[[#This Row],[FRETE]]+Tabela22[[#This Row],[DESPESAS]]+Tabela22[[#This Row],[IPI]]+Tabela22[[#This Row],[Vl. Produto]])*Tabela22[[#This Row],[Aliq.%]]</f>
        <v>0</v>
      </c>
    </row>
    <row r="224" spans="13:19" x14ac:dyDescent="0.25">
      <c r="M224" s="46"/>
      <c r="N224" s="46"/>
      <c r="O224" s="46"/>
      <c r="P224" s="46"/>
      <c r="R224" s="15">
        <v>0.04</v>
      </c>
      <c r="S224" s="18">
        <f>(Tabela22[[#This Row],[FRETE]]+Tabela22[[#This Row],[DESPESAS]]+Tabela22[[#This Row],[IPI]]+Tabela22[[#This Row],[Vl. Produto]])*Tabela22[[#This Row],[Aliq.%]]</f>
        <v>0</v>
      </c>
    </row>
    <row r="225" spans="13:19" x14ac:dyDescent="0.25">
      <c r="M225" s="46"/>
      <c r="N225" s="46"/>
      <c r="O225" s="46"/>
      <c r="P225" s="46"/>
      <c r="R225" s="15">
        <v>0.04</v>
      </c>
      <c r="S225" s="18">
        <f>(Tabela22[[#This Row],[FRETE]]+Tabela22[[#This Row],[DESPESAS]]+Tabela22[[#This Row],[IPI]]+Tabela22[[#This Row],[Vl. Produto]])*Tabela22[[#This Row],[Aliq.%]]</f>
        <v>0</v>
      </c>
    </row>
    <row r="226" spans="13:19" x14ac:dyDescent="0.25">
      <c r="M226" s="46"/>
      <c r="N226" s="46"/>
      <c r="O226" s="46"/>
      <c r="P226" s="46"/>
      <c r="R226" s="15">
        <v>0.04</v>
      </c>
      <c r="S226" s="18">
        <f>(Tabela22[[#This Row],[FRETE]]+Tabela22[[#This Row],[DESPESAS]]+Tabela22[[#This Row],[IPI]]+Tabela22[[#This Row],[Vl. Produto]])*Tabela22[[#This Row],[Aliq.%]]</f>
        <v>0</v>
      </c>
    </row>
    <row r="227" spans="13:19" x14ac:dyDescent="0.25">
      <c r="M227" s="46"/>
      <c r="N227" s="46"/>
      <c r="O227" s="46"/>
      <c r="P227" s="46"/>
      <c r="R227" s="15">
        <v>0.04</v>
      </c>
      <c r="S227" s="18">
        <f>(Tabela22[[#This Row],[FRETE]]+Tabela22[[#This Row],[DESPESAS]]+Tabela22[[#This Row],[IPI]]+Tabela22[[#This Row],[Vl. Produto]])*Tabela22[[#This Row],[Aliq.%]]</f>
        <v>0</v>
      </c>
    </row>
    <row r="228" spans="13:19" x14ac:dyDescent="0.25">
      <c r="M228" s="46"/>
      <c r="N228" s="46"/>
      <c r="O228" s="46"/>
      <c r="P228" s="46"/>
      <c r="R228" s="15">
        <v>0.04</v>
      </c>
      <c r="S228" s="18">
        <f>(Tabela22[[#This Row],[FRETE]]+Tabela22[[#This Row],[DESPESAS]]+Tabela22[[#This Row],[IPI]]+Tabela22[[#This Row],[Vl. Produto]])*Tabela22[[#This Row],[Aliq.%]]</f>
        <v>0</v>
      </c>
    </row>
    <row r="229" spans="13:19" x14ac:dyDescent="0.25">
      <c r="M229" s="46"/>
      <c r="N229" s="46"/>
      <c r="O229" s="46"/>
      <c r="P229" s="46"/>
      <c r="R229" s="15">
        <v>0.04</v>
      </c>
      <c r="S229" s="18">
        <f>(Tabela22[[#This Row],[FRETE]]+Tabela22[[#This Row],[DESPESAS]]+Tabela22[[#This Row],[IPI]]+Tabela22[[#This Row],[Vl. Produto]])*Tabela22[[#This Row],[Aliq.%]]</f>
        <v>0</v>
      </c>
    </row>
    <row r="230" spans="13:19" x14ac:dyDescent="0.25">
      <c r="M230" s="46"/>
      <c r="N230" s="46"/>
      <c r="O230" s="46"/>
      <c r="P230" s="46"/>
      <c r="R230" s="15">
        <v>0.04</v>
      </c>
      <c r="S230" s="18">
        <f>(Tabela22[[#This Row],[FRETE]]+Tabela22[[#This Row],[DESPESAS]]+Tabela22[[#This Row],[IPI]]+Tabela22[[#This Row],[Vl. Produto]])*Tabela22[[#This Row],[Aliq.%]]</f>
        <v>0</v>
      </c>
    </row>
    <row r="231" spans="13:19" x14ac:dyDescent="0.25">
      <c r="M231" s="46"/>
      <c r="N231" s="46"/>
      <c r="O231" s="46"/>
      <c r="P231" s="46"/>
      <c r="R231" s="15">
        <v>0.04</v>
      </c>
      <c r="S231" s="18">
        <f>(Tabela22[[#This Row],[FRETE]]+Tabela22[[#This Row],[DESPESAS]]+Tabela22[[#This Row],[IPI]]+Tabela22[[#This Row],[Vl. Produto]])*Tabela22[[#This Row],[Aliq.%]]</f>
        <v>0</v>
      </c>
    </row>
    <row r="232" spans="13:19" x14ac:dyDescent="0.25">
      <c r="M232" s="46"/>
      <c r="N232" s="46"/>
      <c r="O232" s="46"/>
      <c r="P232" s="46"/>
      <c r="R232" s="15">
        <v>0.04</v>
      </c>
      <c r="S232" s="18">
        <f>(Tabela22[[#This Row],[FRETE]]+Tabela22[[#This Row],[DESPESAS]]+Tabela22[[#This Row],[IPI]]+Tabela22[[#This Row],[Vl. Produto]])*Tabela22[[#This Row],[Aliq.%]]</f>
        <v>0</v>
      </c>
    </row>
    <row r="233" spans="13:19" x14ac:dyDescent="0.25">
      <c r="M233" s="46"/>
      <c r="N233" s="46"/>
      <c r="O233" s="46"/>
      <c r="P233" s="46"/>
      <c r="R233" s="15">
        <v>0.04</v>
      </c>
      <c r="S233" s="18">
        <f>(Tabela22[[#This Row],[FRETE]]+Tabela22[[#This Row],[DESPESAS]]+Tabela22[[#This Row],[IPI]]+Tabela22[[#This Row],[Vl. Produto]])*Tabela22[[#This Row],[Aliq.%]]</f>
        <v>0</v>
      </c>
    </row>
    <row r="234" spans="13:19" x14ac:dyDescent="0.25">
      <c r="M234" s="46"/>
      <c r="N234" s="46"/>
      <c r="O234" s="46"/>
      <c r="P234" s="46"/>
      <c r="R234" s="15">
        <v>0.04</v>
      </c>
      <c r="S234" s="18">
        <f>(Tabela22[[#This Row],[FRETE]]+Tabela22[[#This Row],[DESPESAS]]+Tabela22[[#This Row],[IPI]]+Tabela22[[#This Row],[Vl. Produto]])*Tabela22[[#This Row],[Aliq.%]]</f>
        <v>0</v>
      </c>
    </row>
    <row r="235" spans="13:19" x14ac:dyDescent="0.25">
      <c r="M235" s="46"/>
      <c r="N235" s="46"/>
      <c r="O235" s="46"/>
      <c r="P235" s="46"/>
      <c r="R235" s="15">
        <v>0.04</v>
      </c>
      <c r="S235" s="18">
        <f>(Tabela22[[#This Row],[FRETE]]+Tabela22[[#This Row],[DESPESAS]]+Tabela22[[#This Row],[IPI]]+Tabela22[[#This Row],[Vl. Produto]])*Tabela22[[#This Row],[Aliq.%]]</f>
        <v>0</v>
      </c>
    </row>
    <row r="236" spans="13:19" x14ac:dyDescent="0.25">
      <c r="M236" s="46"/>
      <c r="N236" s="46"/>
      <c r="O236" s="46"/>
      <c r="P236" s="46"/>
      <c r="R236" s="15">
        <v>0.04</v>
      </c>
      <c r="S236" s="18">
        <f>(Tabela22[[#This Row],[FRETE]]+Tabela22[[#This Row],[DESPESAS]]+Tabela22[[#This Row],[IPI]]+Tabela22[[#This Row],[Vl. Produto]])*Tabela22[[#This Row],[Aliq.%]]</f>
        <v>0</v>
      </c>
    </row>
    <row r="237" spans="13:19" x14ac:dyDescent="0.25">
      <c r="M237" s="46"/>
      <c r="N237" s="46"/>
      <c r="O237" s="46"/>
      <c r="P237" s="46"/>
      <c r="R237" s="15">
        <v>0.04</v>
      </c>
      <c r="S237" s="18">
        <f>(Tabela22[[#This Row],[FRETE]]+Tabela22[[#This Row],[DESPESAS]]+Tabela22[[#This Row],[IPI]]+Tabela22[[#This Row],[Vl. Produto]])*Tabela22[[#This Row],[Aliq.%]]</f>
        <v>0</v>
      </c>
    </row>
    <row r="238" spans="13:19" x14ac:dyDescent="0.25">
      <c r="M238" s="46"/>
      <c r="N238" s="46"/>
      <c r="O238" s="46"/>
      <c r="P238" s="46"/>
      <c r="R238" s="15">
        <v>0.04</v>
      </c>
      <c r="S238" s="18">
        <f>(Tabela22[[#This Row],[FRETE]]+Tabela22[[#This Row],[DESPESAS]]+Tabela22[[#This Row],[IPI]]+Tabela22[[#This Row],[Vl. Produto]])*Tabela22[[#This Row],[Aliq.%]]</f>
        <v>0</v>
      </c>
    </row>
    <row r="239" spans="13:19" x14ac:dyDescent="0.25">
      <c r="M239" s="46"/>
      <c r="N239" s="46"/>
      <c r="O239" s="46"/>
      <c r="P239" s="46"/>
      <c r="R239" s="15">
        <v>0.04</v>
      </c>
      <c r="S239" s="18">
        <f>(Tabela22[[#This Row],[FRETE]]+Tabela22[[#This Row],[DESPESAS]]+Tabela22[[#This Row],[IPI]]+Tabela22[[#This Row],[Vl. Produto]])*Tabela22[[#This Row],[Aliq.%]]</f>
        <v>0</v>
      </c>
    </row>
    <row r="240" spans="13:19" x14ac:dyDescent="0.25">
      <c r="M240" s="46"/>
      <c r="N240" s="46"/>
      <c r="O240" s="46"/>
      <c r="P240" s="46"/>
      <c r="R240" s="15">
        <v>0.04</v>
      </c>
      <c r="S240" s="18">
        <f>(Tabela22[[#This Row],[FRETE]]+Tabela22[[#This Row],[DESPESAS]]+Tabela22[[#This Row],[IPI]]+Tabela22[[#This Row],[Vl. Produto]])*Tabela22[[#This Row],[Aliq.%]]</f>
        <v>0</v>
      </c>
    </row>
    <row r="241" spans="13:19" x14ac:dyDescent="0.25">
      <c r="M241" s="46"/>
      <c r="N241" s="46"/>
      <c r="O241" s="46"/>
      <c r="P241" s="46"/>
      <c r="R241" s="15">
        <v>0.04</v>
      </c>
      <c r="S241" s="18">
        <f>(Tabela22[[#This Row],[FRETE]]+Tabela22[[#This Row],[DESPESAS]]+Tabela22[[#This Row],[IPI]]+Tabela22[[#This Row],[Vl. Produto]])*Tabela22[[#This Row],[Aliq.%]]</f>
        <v>0</v>
      </c>
    </row>
    <row r="242" spans="13:19" x14ac:dyDescent="0.25">
      <c r="M242" s="46"/>
      <c r="N242" s="46"/>
      <c r="O242" s="46"/>
      <c r="P242" s="46"/>
      <c r="R242" s="15">
        <v>0.04</v>
      </c>
      <c r="S242" s="18">
        <f>(Tabela22[[#This Row],[FRETE]]+Tabela22[[#This Row],[DESPESAS]]+Tabela22[[#This Row],[IPI]]+Tabela22[[#This Row],[Vl. Produto]])*Tabela22[[#This Row],[Aliq.%]]</f>
        <v>0</v>
      </c>
    </row>
    <row r="243" spans="13:19" x14ac:dyDescent="0.25">
      <c r="M243" s="46"/>
      <c r="N243" s="46"/>
      <c r="O243" s="46"/>
      <c r="P243" s="46"/>
      <c r="R243" s="15">
        <v>0.04</v>
      </c>
      <c r="S243" s="18">
        <f>(Tabela22[[#This Row],[FRETE]]+Tabela22[[#This Row],[DESPESAS]]+Tabela22[[#This Row],[IPI]]+Tabela22[[#This Row],[Vl. Produto]])*Tabela22[[#This Row],[Aliq.%]]</f>
        <v>0</v>
      </c>
    </row>
    <row r="244" spans="13:19" x14ac:dyDescent="0.25">
      <c r="M244" s="46"/>
      <c r="N244" s="46"/>
      <c r="O244" s="46"/>
      <c r="P244" s="46"/>
      <c r="R244" s="15">
        <v>0.04</v>
      </c>
      <c r="S244" s="18">
        <f>(Tabela22[[#This Row],[FRETE]]+Tabela22[[#This Row],[DESPESAS]]+Tabela22[[#This Row],[IPI]]+Tabela22[[#This Row],[Vl. Produto]])*Tabela22[[#This Row],[Aliq.%]]</f>
        <v>0</v>
      </c>
    </row>
    <row r="245" spans="13:19" x14ac:dyDescent="0.25">
      <c r="M245" s="46"/>
      <c r="N245" s="46"/>
      <c r="O245" s="46"/>
      <c r="P245" s="46"/>
      <c r="R245" s="15">
        <v>0.04</v>
      </c>
      <c r="S245" s="18">
        <f>(Tabela22[[#This Row],[FRETE]]+Tabela22[[#This Row],[DESPESAS]]+Tabela22[[#This Row],[IPI]]+Tabela22[[#This Row],[Vl. Produto]])*Tabela22[[#This Row],[Aliq.%]]</f>
        <v>0</v>
      </c>
    </row>
    <row r="246" spans="13:19" x14ac:dyDescent="0.25">
      <c r="M246" s="46"/>
      <c r="N246" s="46"/>
      <c r="O246" s="46"/>
      <c r="P246" s="46"/>
      <c r="R246" s="15">
        <v>0.04</v>
      </c>
      <c r="S246" s="18">
        <f>(Tabela22[[#This Row],[FRETE]]+Tabela22[[#This Row],[DESPESAS]]+Tabela22[[#This Row],[IPI]]+Tabela22[[#This Row],[Vl. Produto]])*Tabela22[[#This Row],[Aliq.%]]</f>
        <v>0</v>
      </c>
    </row>
    <row r="247" spans="13:19" x14ac:dyDescent="0.25">
      <c r="M247" s="46"/>
      <c r="N247" s="46"/>
      <c r="O247" s="46"/>
      <c r="P247" s="46"/>
      <c r="R247" s="15">
        <v>0.04</v>
      </c>
      <c r="S247" s="18">
        <f>(Tabela22[[#This Row],[FRETE]]+Tabela22[[#This Row],[DESPESAS]]+Tabela22[[#This Row],[IPI]]+Tabela22[[#This Row],[Vl. Produto]])*Tabela22[[#This Row],[Aliq.%]]</f>
        <v>0</v>
      </c>
    </row>
    <row r="248" spans="13:19" x14ac:dyDescent="0.25">
      <c r="M248" s="46"/>
      <c r="N248" s="46"/>
      <c r="O248" s="46"/>
      <c r="P248" s="46"/>
      <c r="R248" s="15">
        <v>0.04</v>
      </c>
      <c r="S248" s="18">
        <f>(Tabela22[[#This Row],[FRETE]]+Tabela22[[#This Row],[DESPESAS]]+Tabela22[[#This Row],[IPI]]+Tabela22[[#This Row],[Vl. Produto]])*Tabela22[[#This Row],[Aliq.%]]</f>
        <v>0</v>
      </c>
    </row>
    <row r="249" spans="13:19" x14ac:dyDescent="0.25">
      <c r="M249" s="46"/>
      <c r="N249" s="46"/>
      <c r="O249" s="46"/>
      <c r="P249" s="46"/>
      <c r="R249" s="15">
        <v>0.04</v>
      </c>
      <c r="S249" s="18">
        <f>(Tabela22[[#This Row],[FRETE]]+Tabela22[[#This Row],[DESPESAS]]+Tabela22[[#This Row],[IPI]]+Tabela22[[#This Row],[Vl. Produto]])*Tabela22[[#This Row],[Aliq.%]]</f>
        <v>0</v>
      </c>
    </row>
    <row r="250" spans="13:19" x14ac:dyDescent="0.25">
      <c r="M250" s="46"/>
      <c r="N250" s="46"/>
      <c r="O250" s="46"/>
      <c r="P250" s="46"/>
      <c r="R250" s="15">
        <v>0.04</v>
      </c>
      <c r="S250" s="18">
        <f>(Tabela22[[#This Row],[FRETE]]+Tabela22[[#This Row],[DESPESAS]]+Tabela22[[#This Row],[IPI]]+Tabela22[[#This Row],[Vl. Produto]])*Tabela22[[#This Row],[Aliq.%]]</f>
        <v>0</v>
      </c>
    </row>
    <row r="251" spans="13:19" x14ac:dyDescent="0.25">
      <c r="M251" s="46"/>
      <c r="N251" s="46"/>
      <c r="O251" s="46"/>
      <c r="P251" s="46"/>
      <c r="R251" s="15">
        <v>0.04</v>
      </c>
      <c r="S251" s="18">
        <f>(Tabela22[[#This Row],[FRETE]]+Tabela22[[#This Row],[DESPESAS]]+Tabela22[[#This Row],[IPI]]+Tabela22[[#This Row],[Vl. Produto]])*Tabela22[[#This Row],[Aliq.%]]</f>
        <v>0</v>
      </c>
    </row>
    <row r="252" spans="13:19" x14ac:dyDescent="0.25">
      <c r="M252" s="46"/>
      <c r="N252" s="46"/>
      <c r="O252" s="46"/>
      <c r="P252" s="46"/>
      <c r="R252" s="15">
        <v>0.04</v>
      </c>
      <c r="S252" s="18">
        <f>(Tabela22[[#This Row],[FRETE]]+Tabela22[[#This Row],[DESPESAS]]+Tabela22[[#This Row],[IPI]]+Tabela22[[#This Row],[Vl. Produto]])*Tabela22[[#This Row],[Aliq.%]]</f>
        <v>0</v>
      </c>
    </row>
    <row r="253" spans="13:19" x14ac:dyDescent="0.25">
      <c r="M253" s="46"/>
      <c r="N253" s="46"/>
      <c r="O253" s="46"/>
      <c r="P253" s="46"/>
      <c r="R253" s="15">
        <v>0.04</v>
      </c>
      <c r="S253" s="18">
        <f>(Tabela22[[#This Row],[FRETE]]+Tabela22[[#This Row],[DESPESAS]]+Tabela22[[#This Row],[IPI]]+Tabela22[[#This Row],[Vl. Produto]])*Tabela22[[#This Row],[Aliq.%]]</f>
        <v>0</v>
      </c>
    </row>
    <row r="254" spans="13:19" x14ac:dyDescent="0.25">
      <c r="M254" s="46"/>
      <c r="N254" s="46"/>
      <c r="O254" s="46"/>
      <c r="P254" s="46"/>
      <c r="R254" s="15">
        <v>0.04</v>
      </c>
      <c r="S254" s="18">
        <f>(Tabela22[[#This Row],[FRETE]]+Tabela22[[#This Row],[DESPESAS]]+Tabela22[[#This Row],[IPI]]+Tabela22[[#This Row],[Vl. Produto]])*Tabela22[[#This Row],[Aliq.%]]</f>
        <v>0</v>
      </c>
    </row>
    <row r="255" spans="13:19" x14ac:dyDescent="0.25">
      <c r="M255" s="46"/>
      <c r="N255" s="46"/>
      <c r="O255" s="46"/>
      <c r="P255" s="46"/>
      <c r="R255" s="15">
        <v>0.04</v>
      </c>
      <c r="S255" s="18">
        <f>(Tabela22[[#This Row],[FRETE]]+Tabela22[[#This Row],[DESPESAS]]+Tabela22[[#This Row],[IPI]]+Tabela22[[#This Row],[Vl. Produto]])*Tabela22[[#This Row],[Aliq.%]]</f>
        <v>0</v>
      </c>
    </row>
    <row r="256" spans="13:19" x14ac:dyDescent="0.25">
      <c r="M256" s="46"/>
      <c r="N256" s="46"/>
      <c r="O256" s="46"/>
      <c r="P256" s="46"/>
      <c r="R256" s="15">
        <v>0.04</v>
      </c>
      <c r="S256" s="18">
        <f>(Tabela22[[#This Row],[FRETE]]+Tabela22[[#This Row],[DESPESAS]]+Tabela22[[#This Row],[IPI]]+Tabela22[[#This Row],[Vl. Produto]])*Tabela22[[#This Row],[Aliq.%]]</f>
        <v>0</v>
      </c>
    </row>
    <row r="257" spans="13:19" x14ac:dyDescent="0.25">
      <c r="M257" s="46"/>
      <c r="N257" s="46"/>
      <c r="O257" s="46"/>
      <c r="P257" s="46"/>
      <c r="R257" s="15">
        <v>0.04</v>
      </c>
      <c r="S257" s="18">
        <f>(Tabela22[[#This Row],[FRETE]]+Tabela22[[#This Row],[DESPESAS]]+Tabela22[[#This Row],[IPI]]+Tabela22[[#This Row],[Vl. Produto]])*Tabela22[[#This Row],[Aliq.%]]</f>
        <v>0</v>
      </c>
    </row>
    <row r="258" spans="13:19" x14ac:dyDescent="0.25">
      <c r="M258" s="46"/>
      <c r="N258" s="46"/>
      <c r="O258" s="46"/>
      <c r="P258" s="46"/>
      <c r="R258" s="15">
        <v>0.04</v>
      </c>
      <c r="S258" s="18">
        <f>(Tabela22[[#This Row],[FRETE]]+Tabela22[[#This Row],[DESPESAS]]+Tabela22[[#This Row],[IPI]]+Tabela22[[#This Row],[Vl. Produto]])*Tabela22[[#This Row],[Aliq.%]]</f>
        <v>0</v>
      </c>
    </row>
    <row r="259" spans="13:19" x14ac:dyDescent="0.25">
      <c r="M259" s="46"/>
      <c r="N259" s="46"/>
      <c r="O259" s="46"/>
      <c r="P259" s="46"/>
      <c r="R259" s="15">
        <v>0.04</v>
      </c>
      <c r="S259" s="18">
        <f>(Tabela22[[#This Row],[FRETE]]+Tabela22[[#This Row],[DESPESAS]]+Tabela22[[#This Row],[IPI]]+Tabela22[[#This Row],[Vl. Produto]])*Tabela22[[#This Row],[Aliq.%]]</f>
        <v>0</v>
      </c>
    </row>
    <row r="260" spans="13:19" x14ac:dyDescent="0.25">
      <c r="M260" s="46"/>
      <c r="N260" s="46"/>
      <c r="O260" s="46"/>
      <c r="P260" s="46"/>
      <c r="R260" s="15">
        <v>0.04</v>
      </c>
      <c r="S260" s="18">
        <f>(Tabela22[[#This Row],[FRETE]]+Tabela22[[#This Row],[DESPESAS]]+Tabela22[[#This Row],[IPI]]+Tabela22[[#This Row],[Vl. Produto]])*Tabela22[[#This Row],[Aliq.%]]</f>
        <v>0</v>
      </c>
    </row>
    <row r="261" spans="13:19" x14ac:dyDescent="0.25">
      <c r="M261" s="46"/>
      <c r="N261" s="46"/>
      <c r="O261" s="46"/>
      <c r="P261" s="46"/>
      <c r="R261" s="15">
        <v>0.04</v>
      </c>
      <c r="S261" s="18">
        <f>(Tabela22[[#This Row],[FRETE]]+Tabela22[[#This Row],[DESPESAS]]+Tabela22[[#This Row],[IPI]]+Tabela22[[#This Row],[Vl. Produto]])*Tabela22[[#This Row],[Aliq.%]]</f>
        <v>0</v>
      </c>
    </row>
    <row r="262" spans="13:19" x14ac:dyDescent="0.25">
      <c r="M262" s="46"/>
      <c r="N262" s="46"/>
      <c r="O262" s="46"/>
      <c r="P262" s="46"/>
      <c r="R262" s="15">
        <v>0.04</v>
      </c>
      <c r="S262" s="18">
        <f>(Tabela22[[#This Row],[FRETE]]+Tabela22[[#This Row],[DESPESAS]]+Tabela22[[#This Row],[IPI]]+Tabela22[[#This Row],[Vl. Produto]])*Tabela22[[#This Row],[Aliq.%]]</f>
        <v>0</v>
      </c>
    </row>
    <row r="263" spans="13:19" x14ac:dyDescent="0.25">
      <c r="M263" s="46"/>
      <c r="N263" s="46"/>
      <c r="O263" s="46"/>
      <c r="P263" s="46"/>
      <c r="R263" s="15">
        <v>0.04</v>
      </c>
      <c r="S263" s="18">
        <f>(Tabela22[[#This Row],[FRETE]]+Tabela22[[#This Row],[DESPESAS]]+Tabela22[[#This Row],[IPI]]+Tabela22[[#This Row],[Vl. Produto]])*Tabela22[[#This Row],[Aliq.%]]</f>
        <v>0</v>
      </c>
    </row>
    <row r="264" spans="13:19" x14ac:dyDescent="0.25">
      <c r="M264" s="46"/>
      <c r="N264" s="46"/>
      <c r="O264" s="46"/>
      <c r="P264" s="46"/>
      <c r="R264" s="15">
        <v>0.04</v>
      </c>
      <c r="S264" s="18">
        <f>(Tabela22[[#This Row],[FRETE]]+Tabela22[[#This Row],[DESPESAS]]+Tabela22[[#This Row],[IPI]]+Tabela22[[#This Row],[Vl. Produto]])*Tabela22[[#This Row],[Aliq.%]]</f>
        <v>0</v>
      </c>
    </row>
    <row r="265" spans="13:19" x14ac:dyDescent="0.25">
      <c r="M265" s="46"/>
      <c r="N265" s="46"/>
      <c r="O265" s="46"/>
      <c r="P265" s="46"/>
      <c r="R265" s="15">
        <v>0.04</v>
      </c>
      <c r="S265" s="18">
        <f>(Tabela22[[#This Row],[FRETE]]+Tabela22[[#This Row],[DESPESAS]]+Tabela22[[#This Row],[IPI]]+Tabela22[[#This Row],[Vl. Produto]])*Tabela22[[#This Row],[Aliq.%]]</f>
        <v>0</v>
      </c>
    </row>
    <row r="266" spans="13:19" x14ac:dyDescent="0.25">
      <c r="M266" s="46"/>
      <c r="N266" s="46"/>
      <c r="O266" s="46"/>
      <c r="P266" s="46"/>
      <c r="R266" s="15">
        <v>0.04</v>
      </c>
      <c r="S266" s="18">
        <f>(Tabela22[[#This Row],[FRETE]]+Tabela22[[#This Row],[DESPESAS]]+Tabela22[[#This Row],[IPI]]+Tabela22[[#This Row],[Vl. Produto]])*Tabela22[[#This Row],[Aliq.%]]</f>
        <v>0</v>
      </c>
    </row>
    <row r="267" spans="13:19" x14ac:dyDescent="0.25">
      <c r="M267" s="46"/>
      <c r="N267" s="46"/>
      <c r="O267" s="46"/>
      <c r="P267" s="46"/>
      <c r="R267" s="15">
        <v>0.04</v>
      </c>
      <c r="S267" s="18">
        <f>(Tabela22[[#This Row],[FRETE]]+Tabela22[[#This Row],[DESPESAS]]+Tabela22[[#This Row],[IPI]]+Tabela22[[#This Row],[Vl. Produto]])*Tabela22[[#This Row],[Aliq.%]]</f>
        <v>0</v>
      </c>
    </row>
    <row r="268" spans="13:19" x14ac:dyDescent="0.25">
      <c r="M268" s="46"/>
      <c r="N268" s="46"/>
      <c r="O268" s="46"/>
      <c r="P268" s="46"/>
      <c r="R268" s="15">
        <v>0.04</v>
      </c>
      <c r="S268" s="18">
        <f>(Tabela22[[#This Row],[FRETE]]+Tabela22[[#This Row],[DESPESAS]]+Tabela22[[#This Row],[IPI]]+Tabela22[[#This Row],[Vl. Produto]])*Tabela22[[#This Row],[Aliq.%]]</f>
        <v>0</v>
      </c>
    </row>
    <row r="269" spans="13:19" x14ac:dyDescent="0.25">
      <c r="M269" s="46"/>
      <c r="N269" s="46"/>
      <c r="O269" s="46"/>
      <c r="P269" s="46"/>
      <c r="R269" s="15">
        <v>0.04</v>
      </c>
      <c r="S269" s="18">
        <f>(Tabela22[[#This Row],[FRETE]]+Tabela22[[#This Row],[DESPESAS]]+Tabela22[[#This Row],[IPI]]+Tabela22[[#This Row],[Vl. Produto]])*Tabela22[[#This Row],[Aliq.%]]</f>
        <v>0</v>
      </c>
    </row>
    <row r="270" spans="13:19" x14ac:dyDescent="0.25">
      <c r="M270" s="46"/>
      <c r="N270" s="46"/>
      <c r="O270" s="46"/>
      <c r="P270" s="46"/>
      <c r="R270" s="15">
        <v>0.04</v>
      </c>
      <c r="S270" s="18">
        <f>(Tabela22[[#This Row],[FRETE]]+Tabela22[[#This Row],[DESPESAS]]+Tabela22[[#This Row],[IPI]]+Tabela22[[#This Row],[Vl. Produto]])*Tabela22[[#This Row],[Aliq.%]]</f>
        <v>0</v>
      </c>
    </row>
    <row r="271" spans="13:19" x14ac:dyDescent="0.25">
      <c r="M271" s="46"/>
      <c r="N271" s="46"/>
      <c r="O271" s="46"/>
      <c r="P271" s="46"/>
      <c r="R271" s="15">
        <v>0.04</v>
      </c>
      <c r="S271" s="18">
        <f>(Tabela22[[#This Row],[FRETE]]+Tabela22[[#This Row],[DESPESAS]]+Tabela22[[#This Row],[IPI]]+Tabela22[[#This Row],[Vl. Produto]])*Tabela22[[#This Row],[Aliq.%]]</f>
        <v>0</v>
      </c>
    </row>
    <row r="272" spans="13:19" x14ac:dyDescent="0.25">
      <c r="M272" s="46"/>
      <c r="N272" s="46"/>
      <c r="O272" s="46"/>
      <c r="P272" s="46"/>
      <c r="R272" s="15">
        <v>0.04</v>
      </c>
      <c r="S272" s="18">
        <f>(Tabela22[[#This Row],[FRETE]]+Tabela22[[#This Row],[DESPESAS]]+Tabela22[[#This Row],[IPI]]+Tabela22[[#This Row],[Vl. Produto]])*Tabela22[[#This Row],[Aliq.%]]</f>
        <v>0</v>
      </c>
    </row>
    <row r="273" spans="13:19" x14ac:dyDescent="0.25">
      <c r="M273" s="46"/>
      <c r="N273" s="46"/>
      <c r="O273" s="46"/>
      <c r="P273" s="46"/>
      <c r="R273" s="15">
        <v>0.04</v>
      </c>
      <c r="S273" s="18">
        <f>(Tabela22[[#This Row],[FRETE]]+Tabela22[[#This Row],[DESPESAS]]+Tabela22[[#This Row],[IPI]]+Tabela22[[#This Row],[Vl. Produto]])*Tabela22[[#This Row],[Aliq.%]]</f>
        <v>0</v>
      </c>
    </row>
    <row r="274" spans="13:19" x14ac:dyDescent="0.25">
      <c r="M274" s="46"/>
      <c r="N274" s="46"/>
      <c r="O274" s="46"/>
      <c r="P274" s="46"/>
      <c r="R274" s="15">
        <v>0.04</v>
      </c>
      <c r="S274" s="18">
        <f>(Tabela22[[#This Row],[FRETE]]+Tabela22[[#This Row],[DESPESAS]]+Tabela22[[#This Row],[IPI]]+Tabela22[[#This Row],[Vl. Produto]])*Tabela22[[#This Row],[Aliq.%]]</f>
        <v>0</v>
      </c>
    </row>
    <row r="275" spans="13:19" x14ac:dyDescent="0.25">
      <c r="M275" s="46"/>
      <c r="N275" s="46"/>
      <c r="O275" s="46"/>
      <c r="P275" s="46"/>
      <c r="R275" s="15">
        <v>0.04</v>
      </c>
      <c r="S275" s="18">
        <f>(Tabela22[[#This Row],[FRETE]]+Tabela22[[#This Row],[DESPESAS]]+Tabela22[[#This Row],[IPI]]+Tabela22[[#This Row],[Vl. Produto]])*Tabela22[[#This Row],[Aliq.%]]</f>
        <v>0</v>
      </c>
    </row>
    <row r="276" spans="13:19" x14ac:dyDescent="0.25">
      <c r="M276" s="46"/>
      <c r="N276" s="46"/>
      <c r="O276" s="46"/>
      <c r="P276" s="46"/>
      <c r="R276" s="15">
        <v>0.04</v>
      </c>
      <c r="S276" s="18">
        <f>(Tabela22[[#This Row],[FRETE]]+Tabela22[[#This Row],[DESPESAS]]+Tabela22[[#This Row],[IPI]]+Tabela22[[#This Row],[Vl. Produto]])*Tabela22[[#This Row],[Aliq.%]]</f>
        <v>0</v>
      </c>
    </row>
    <row r="277" spans="13:19" x14ac:dyDescent="0.25">
      <c r="M277" s="46"/>
      <c r="N277" s="46"/>
      <c r="O277" s="46"/>
      <c r="P277" s="46"/>
      <c r="R277" s="15">
        <v>0.04</v>
      </c>
      <c r="S277" s="18">
        <f>(Tabela22[[#This Row],[FRETE]]+Tabela22[[#This Row],[DESPESAS]]+Tabela22[[#This Row],[IPI]]+Tabela22[[#This Row],[Vl. Produto]])*Tabela22[[#This Row],[Aliq.%]]</f>
        <v>0</v>
      </c>
    </row>
    <row r="278" spans="13:19" x14ac:dyDescent="0.25">
      <c r="M278" s="46"/>
      <c r="N278" s="46"/>
      <c r="O278" s="46"/>
      <c r="P278" s="46"/>
      <c r="R278" s="15">
        <v>0.04</v>
      </c>
      <c r="S278" s="18">
        <f>(Tabela22[[#This Row],[FRETE]]+Tabela22[[#This Row],[DESPESAS]]+Tabela22[[#This Row],[IPI]]+Tabela22[[#This Row],[Vl. Produto]])*Tabela22[[#This Row],[Aliq.%]]</f>
        <v>0</v>
      </c>
    </row>
    <row r="279" spans="13:19" x14ac:dyDescent="0.25">
      <c r="M279" s="46"/>
      <c r="N279" s="46"/>
      <c r="O279" s="46"/>
      <c r="P279" s="46"/>
      <c r="R279" s="15">
        <v>0.04</v>
      </c>
      <c r="S279" s="18">
        <f>(Tabela22[[#This Row],[FRETE]]+Tabela22[[#This Row],[DESPESAS]]+Tabela22[[#This Row],[IPI]]+Tabela22[[#This Row],[Vl. Produto]])*Tabela22[[#This Row],[Aliq.%]]</f>
        <v>0</v>
      </c>
    </row>
    <row r="280" spans="13:19" x14ac:dyDescent="0.25">
      <c r="M280" s="46"/>
      <c r="N280" s="46"/>
      <c r="O280" s="46"/>
      <c r="P280" s="46"/>
      <c r="R280" s="15">
        <v>0.04</v>
      </c>
      <c r="S280" s="18">
        <f>(Tabela22[[#This Row],[FRETE]]+Tabela22[[#This Row],[DESPESAS]]+Tabela22[[#This Row],[IPI]]+Tabela22[[#This Row],[Vl. Produto]])*Tabela22[[#This Row],[Aliq.%]]</f>
        <v>0</v>
      </c>
    </row>
    <row r="281" spans="13:19" x14ac:dyDescent="0.25">
      <c r="M281" s="46"/>
      <c r="N281" s="46"/>
      <c r="O281" s="46"/>
      <c r="P281" s="46"/>
      <c r="R281" s="15">
        <v>0.04</v>
      </c>
      <c r="S281" s="18">
        <f>(Tabela22[[#This Row],[FRETE]]+Tabela22[[#This Row],[DESPESAS]]+Tabela22[[#This Row],[IPI]]+Tabela22[[#This Row],[Vl. Produto]])*Tabela22[[#This Row],[Aliq.%]]</f>
        <v>0</v>
      </c>
    </row>
    <row r="282" spans="13:19" x14ac:dyDescent="0.25">
      <c r="M282" s="46"/>
      <c r="N282" s="46"/>
      <c r="O282" s="46"/>
      <c r="P282" s="46"/>
      <c r="R282" s="15">
        <v>0.04</v>
      </c>
      <c r="S282" s="18">
        <f>(Tabela22[[#This Row],[FRETE]]+Tabela22[[#This Row],[DESPESAS]]+Tabela22[[#This Row],[IPI]]+Tabela22[[#This Row],[Vl. Produto]])*Tabela22[[#This Row],[Aliq.%]]</f>
        <v>0</v>
      </c>
    </row>
    <row r="283" spans="13:19" x14ac:dyDescent="0.25">
      <c r="M283" s="46"/>
      <c r="N283" s="46"/>
      <c r="O283" s="46"/>
      <c r="P283" s="46"/>
      <c r="R283" s="15">
        <v>0.04</v>
      </c>
      <c r="S283" s="18">
        <f>(Tabela22[[#This Row],[FRETE]]+Tabela22[[#This Row],[DESPESAS]]+Tabela22[[#This Row],[IPI]]+Tabela22[[#This Row],[Vl. Produto]])*Tabela22[[#This Row],[Aliq.%]]</f>
        <v>0</v>
      </c>
    </row>
    <row r="284" spans="13:19" x14ac:dyDescent="0.25">
      <c r="M284" s="46"/>
      <c r="N284" s="46"/>
      <c r="O284" s="46"/>
      <c r="P284" s="46"/>
      <c r="R284" s="15">
        <v>0.04</v>
      </c>
      <c r="S284" s="18">
        <f>(Tabela22[[#This Row],[FRETE]]+Tabela22[[#This Row],[DESPESAS]]+Tabela22[[#This Row],[IPI]]+Tabela22[[#This Row],[Vl. Produto]])*Tabela22[[#This Row],[Aliq.%]]</f>
        <v>0</v>
      </c>
    </row>
    <row r="285" spans="13:19" x14ac:dyDescent="0.25">
      <c r="M285" s="46"/>
      <c r="N285" s="46"/>
      <c r="O285" s="46"/>
      <c r="P285" s="46"/>
      <c r="R285" s="15">
        <v>0.04</v>
      </c>
      <c r="S285" s="18">
        <f>(Tabela22[[#This Row],[FRETE]]+Tabela22[[#This Row],[DESPESAS]]+Tabela22[[#This Row],[IPI]]+Tabela22[[#This Row],[Vl. Produto]])*Tabela22[[#This Row],[Aliq.%]]</f>
        <v>0</v>
      </c>
    </row>
    <row r="286" spans="13:19" x14ac:dyDescent="0.25">
      <c r="M286" s="46"/>
      <c r="N286" s="46"/>
      <c r="O286" s="46"/>
      <c r="P286" s="46"/>
      <c r="R286" s="15">
        <v>0.04</v>
      </c>
      <c r="S286" s="18">
        <f>(Tabela22[[#This Row],[FRETE]]+Tabela22[[#This Row],[DESPESAS]]+Tabela22[[#This Row],[IPI]]+Tabela22[[#This Row],[Vl. Produto]])*Tabela22[[#This Row],[Aliq.%]]</f>
        <v>0</v>
      </c>
    </row>
    <row r="287" spans="13:19" x14ac:dyDescent="0.25">
      <c r="M287" s="46"/>
      <c r="N287" s="46"/>
      <c r="O287" s="46"/>
      <c r="P287" s="46"/>
      <c r="R287" s="15">
        <v>0.04</v>
      </c>
      <c r="S287" s="18">
        <f>(Tabela22[[#This Row],[FRETE]]+Tabela22[[#This Row],[DESPESAS]]+Tabela22[[#This Row],[IPI]]+Tabela22[[#This Row],[Vl. Produto]])*Tabela22[[#This Row],[Aliq.%]]</f>
        <v>0</v>
      </c>
    </row>
    <row r="288" spans="13:19" x14ac:dyDescent="0.25">
      <c r="M288" s="46"/>
      <c r="N288" s="46"/>
      <c r="O288" s="46"/>
      <c r="P288" s="46"/>
      <c r="R288" s="15">
        <v>0.04</v>
      </c>
      <c r="S288" s="18">
        <f>(Tabela22[[#This Row],[FRETE]]+Tabela22[[#This Row],[DESPESAS]]+Tabela22[[#This Row],[IPI]]+Tabela22[[#This Row],[Vl. Produto]])*Tabela22[[#This Row],[Aliq.%]]</f>
        <v>0</v>
      </c>
    </row>
    <row r="289" spans="13:19" x14ac:dyDescent="0.25">
      <c r="M289" s="46"/>
      <c r="N289" s="46"/>
      <c r="O289" s="46"/>
      <c r="P289" s="46"/>
      <c r="R289" s="15">
        <v>0.04</v>
      </c>
      <c r="S289" s="18">
        <f>(Tabela22[[#This Row],[FRETE]]+Tabela22[[#This Row],[DESPESAS]]+Tabela22[[#This Row],[IPI]]+Tabela22[[#This Row],[Vl. Produto]])*Tabela22[[#This Row],[Aliq.%]]</f>
        <v>0</v>
      </c>
    </row>
    <row r="290" spans="13:19" x14ac:dyDescent="0.25">
      <c r="M290" s="46"/>
      <c r="N290" s="46"/>
      <c r="O290" s="46"/>
      <c r="P290" s="46"/>
      <c r="R290" s="15">
        <v>0.04</v>
      </c>
      <c r="S290" s="18">
        <f>(Tabela22[[#This Row],[FRETE]]+Tabela22[[#This Row],[DESPESAS]]+Tabela22[[#This Row],[IPI]]+Tabela22[[#This Row],[Vl. Produto]])*Tabela22[[#This Row],[Aliq.%]]</f>
        <v>0</v>
      </c>
    </row>
    <row r="291" spans="13:19" x14ac:dyDescent="0.25">
      <c r="M291" s="46"/>
      <c r="N291" s="46"/>
      <c r="O291" s="46"/>
      <c r="P291" s="46"/>
      <c r="R291" s="15">
        <v>0.04</v>
      </c>
      <c r="S291" s="18">
        <f>(Tabela22[[#This Row],[FRETE]]+Tabela22[[#This Row],[DESPESAS]]+Tabela22[[#This Row],[IPI]]+Tabela22[[#This Row],[Vl. Produto]])*Tabela22[[#This Row],[Aliq.%]]</f>
        <v>0</v>
      </c>
    </row>
    <row r="292" spans="13:19" x14ac:dyDescent="0.25">
      <c r="M292" s="46"/>
      <c r="N292" s="46"/>
      <c r="O292" s="46"/>
      <c r="P292" s="46"/>
      <c r="R292" s="15">
        <v>0.04</v>
      </c>
      <c r="S292" s="18">
        <f>(Tabela22[[#This Row],[FRETE]]+Tabela22[[#This Row],[DESPESAS]]+Tabela22[[#This Row],[IPI]]+Tabela22[[#This Row],[Vl. Produto]])*Tabela22[[#This Row],[Aliq.%]]</f>
        <v>0</v>
      </c>
    </row>
    <row r="293" spans="13:19" x14ac:dyDescent="0.25">
      <c r="M293" s="46"/>
      <c r="N293" s="46"/>
      <c r="O293" s="46"/>
      <c r="P293" s="46"/>
      <c r="R293" s="15">
        <v>0.04</v>
      </c>
      <c r="S293" s="18">
        <f>(Tabela22[[#This Row],[FRETE]]+Tabela22[[#This Row],[DESPESAS]]+Tabela22[[#This Row],[IPI]]+Tabela22[[#This Row],[Vl. Produto]])*Tabela22[[#This Row],[Aliq.%]]</f>
        <v>0</v>
      </c>
    </row>
    <row r="294" spans="13:19" x14ac:dyDescent="0.25">
      <c r="M294" s="46"/>
      <c r="N294" s="46"/>
      <c r="O294" s="46"/>
      <c r="P294" s="46"/>
      <c r="R294" s="15">
        <v>0.04</v>
      </c>
      <c r="S294" s="18">
        <f>(Tabela22[[#This Row],[FRETE]]+Tabela22[[#This Row],[DESPESAS]]+Tabela22[[#This Row],[IPI]]+Tabela22[[#This Row],[Vl. Produto]])*Tabela22[[#This Row],[Aliq.%]]</f>
        <v>0</v>
      </c>
    </row>
    <row r="295" spans="13:19" x14ac:dyDescent="0.25">
      <c r="M295" s="46"/>
      <c r="N295" s="46"/>
      <c r="O295" s="46"/>
      <c r="P295" s="46"/>
      <c r="R295" s="15">
        <v>0.04</v>
      </c>
      <c r="S295" s="18">
        <f>(Tabela22[[#This Row],[FRETE]]+Tabela22[[#This Row],[DESPESAS]]+Tabela22[[#This Row],[IPI]]+Tabela22[[#This Row],[Vl. Produto]])*Tabela22[[#This Row],[Aliq.%]]</f>
        <v>0</v>
      </c>
    </row>
    <row r="296" spans="13:19" x14ac:dyDescent="0.25">
      <c r="M296" s="46"/>
      <c r="N296" s="46"/>
      <c r="O296" s="46"/>
      <c r="P296" s="46"/>
      <c r="R296" s="15">
        <v>0.04</v>
      </c>
      <c r="S296" s="18">
        <f>(Tabela22[[#This Row],[FRETE]]+Tabela22[[#This Row],[DESPESAS]]+Tabela22[[#This Row],[IPI]]+Tabela22[[#This Row],[Vl. Produto]])*Tabela22[[#This Row],[Aliq.%]]</f>
        <v>0</v>
      </c>
    </row>
    <row r="297" spans="13:19" x14ac:dyDescent="0.25">
      <c r="M297" s="46"/>
      <c r="N297" s="46"/>
      <c r="O297" s="46"/>
      <c r="P297" s="46"/>
      <c r="R297" s="15">
        <v>0.04</v>
      </c>
      <c r="S297" s="18">
        <f>(Tabela22[[#This Row],[FRETE]]+Tabela22[[#This Row],[DESPESAS]]+Tabela22[[#This Row],[IPI]]+Tabela22[[#This Row],[Vl. Produto]])*Tabela22[[#This Row],[Aliq.%]]</f>
        <v>0</v>
      </c>
    </row>
    <row r="298" spans="13:19" x14ac:dyDescent="0.25">
      <c r="M298" s="46"/>
      <c r="N298" s="46"/>
      <c r="O298" s="46"/>
      <c r="P298" s="46"/>
      <c r="R298" s="15">
        <v>0.04</v>
      </c>
      <c r="S298" s="18">
        <f>(Tabela22[[#This Row],[FRETE]]+Tabela22[[#This Row],[DESPESAS]]+Tabela22[[#This Row],[IPI]]+Tabela22[[#This Row],[Vl. Produto]])*Tabela22[[#This Row],[Aliq.%]]</f>
        <v>0</v>
      </c>
    </row>
    <row r="299" spans="13:19" x14ac:dyDescent="0.25">
      <c r="M299" s="46"/>
      <c r="N299" s="46"/>
      <c r="O299" s="46"/>
      <c r="P299" s="46"/>
      <c r="R299" s="15">
        <v>0.04</v>
      </c>
      <c r="S299" s="18">
        <f>(Tabela22[[#This Row],[FRETE]]+Tabela22[[#This Row],[DESPESAS]]+Tabela22[[#This Row],[IPI]]+Tabela22[[#This Row],[Vl. Produto]])*Tabela22[[#This Row],[Aliq.%]]</f>
        <v>0</v>
      </c>
    </row>
    <row r="300" spans="13:19" x14ac:dyDescent="0.25">
      <c r="M300" s="46"/>
      <c r="N300" s="46"/>
      <c r="O300" s="46"/>
      <c r="P300" s="46"/>
      <c r="R300" s="15">
        <v>0.04</v>
      </c>
      <c r="S300" s="18">
        <f>(Tabela22[[#This Row],[FRETE]]+Tabela22[[#This Row],[DESPESAS]]+Tabela22[[#This Row],[IPI]]+Tabela22[[#This Row],[Vl. Produto]])*Tabela22[[#This Row],[Aliq.%]]</f>
        <v>0</v>
      </c>
    </row>
    <row r="301" spans="13:19" x14ac:dyDescent="0.25">
      <c r="M301" s="46"/>
      <c r="N301" s="46"/>
      <c r="O301" s="46"/>
      <c r="P301" s="46"/>
      <c r="R301" s="15">
        <v>0.04</v>
      </c>
      <c r="S301" s="18">
        <f>(Tabela22[[#This Row],[FRETE]]+Tabela22[[#This Row],[DESPESAS]]+Tabela22[[#This Row],[IPI]]+Tabela22[[#This Row],[Vl. Produto]])*Tabela22[[#This Row],[Aliq.%]]</f>
        <v>0</v>
      </c>
    </row>
    <row r="302" spans="13:19" x14ac:dyDescent="0.25">
      <c r="M302" s="46"/>
      <c r="N302" s="46"/>
      <c r="O302" s="46"/>
      <c r="P302" s="46"/>
      <c r="R302" s="15">
        <v>0.04</v>
      </c>
      <c r="S302" s="18">
        <f>(Tabela22[[#This Row],[FRETE]]+Tabela22[[#This Row],[DESPESAS]]+Tabela22[[#This Row],[IPI]]+Tabela22[[#This Row],[Vl. Produto]])*Tabela22[[#This Row],[Aliq.%]]</f>
        <v>0</v>
      </c>
    </row>
    <row r="303" spans="13:19" x14ac:dyDescent="0.25">
      <c r="M303" s="46"/>
      <c r="N303" s="46"/>
      <c r="O303" s="46"/>
      <c r="P303" s="46"/>
      <c r="R303" s="15">
        <v>0.04</v>
      </c>
      <c r="S303" s="18">
        <f>(Tabela22[[#This Row],[FRETE]]+Tabela22[[#This Row],[DESPESAS]]+Tabela22[[#This Row],[IPI]]+Tabela22[[#This Row],[Vl. Produto]])*Tabela22[[#This Row],[Aliq.%]]</f>
        <v>0</v>
      </c>
    </row>
    <row r="304" spans="13:19" x14ac:dyDescent="0.25">
      <c r="M304" s="46"/>
      <c r="N304" s="46"/>
      <c r="O304" s="46"/>
      <c r="P304" s="46"/>
      <c r="R304" s="15">
        <v>0.04</v>
      </c>
      <c r="S304" s="18">
        <f>(Tabela22[[#This Row],[FRETE]]+Tabela22[[#This Row],[DESPESAS]]+Tabela22[[#This Row],[IPI]]+Tabela22[[#This Row],[Vl. Produto]])*Tabela22[[#This Row],[Aliq.%]]</f>
        <v>0</v>
      </c>
    </row>
    <row r="305" spans="13:19" x14ac:dyDescent="0.25">
      <c r="M305" s="46"/>
      <c r="N305" s="46"/>
      <c r="O305" s="46"/>
      <c r="P305" s="46"/>
      <c r="R305" s="15">
        <v>0.04</v>
      </c>
      <c r="S305" s="18">
        <f>(Tabela22[[#This Row],[FRETE]]+Tabela22[[#This Row],[DESPESAS]]+Tabela22[[#This Row],[IPI]]+Tabela22[[#This Row],[Vl. Produto]])*Tabela22[[#This Row],[Aliq.%]]</f>
        <v>0</v>
      </c>
    </row>
    <row r="306" spans="13:19" x14ac:dyDescent="0.25">
      <c r="M306" s="46"/>
      <c r="N306" s="46"/>
      <c r="O306" s="46"/>
      <c r="P306" s="46"/>
      <c r="R306" s="15">
        <v>0.04</v>
      </c>
      <c r="S306" s="18">
        <f>(Tabela22[[#This Row],[FRETE]]+Tabela22[[#This Row],[DESPESAS]]+Tabela22[[#This Row],[IPI]]+Tabela22[[#This Row],[Vl. Produto]])*Tabela22[[#This Row],[Aliq.%]]</f>
        <v>0</v>
      </c>
    </row>
    <row r="307" spans="13:19" x14ac:dyDescent="0.25">
      <c r="M307" s="46"/>
      <c r="N307" s="46"/>
      <c r="O307" s="46"/>
      <c r="P307" s="46"/>
      <c r="R307" s="15">
        <v>0.04</v>
      </c>
      <c r="S307" s="18">
        <f>(Tabela22[[#This Row],[FRETE]]+Tabela22[[#This Row],[DESPESAS]]+Tabela22[[#This Row],[IPI]]+Tabela22[[#This Row],[Vl. Produto]])*Tabela22[[#This Row],[Aliq.%]]</f>
        <v>0</v>
      </c>
    </row>
    <row r="308" spans="13:19" x14ac:dyDescent="0.25">
      <c r="M308" s="46"/>
      <c r="N308" s="46"/>
      <c r="O308" s="46"/>
      <c r="P308" s="46"/>
      <c r="R308" s="15">
        <v>0.04</v>
      </c>
      <c r="S308" s="18">
        <f>(Tabela22[[#This Row],[FRETE]]+Tabela22[[#This Row],[DESPESAS]]+Tabela22[[#This Row],[IPI]]+Tabela22[[#This Row],[Vl. Produto]])*Tabela22[[#This Row],[Aliq.%]]</f>
        <v>0</v>
      </c>
    </row>
    <row r="309" spans="13:19" x14ac:dyDescent="0.25">
      <c r="M309" s="46"/>
      <c r="N309" s="46"/>
      <c r="O309" s="46"/>
      <c r="P309" s="46"/>
      <c r="R309" s="15">
        <v>0.04</v>
      </c>
      <c r="S309" s="18">
        <f>(Tabela22[[#This Row],[FRETE]]+Tabela22[[#This Row],[DESPESAS]]+Tabela22[[#This Row],[IPI]]+Tabela22[[#This Row],[Vl. Produto]])*Tabela22[[#This Row],[Aliq.%]]</f>
        <v>0</v>
      </c>
    </row>
    <row r="310" spans="13:19" x14ac:dyDescent="0.25">
      <c r="M310" s="46"/>
      <c r="N310" s="46"/>
      <c r="O310" s="46"/>
      <c r="P310" s="46"/>
      <c r="R310" s="15">
        <v>0.04</v>
      </c>
      <c r="S310" s="18">
        <f>(Tabela22[[#This Row],[FRETE]]+Tabela22[[#This Row],[DESPESAS]]+Tabela22[[#This Row],[IPI]]+Tabela22[[#This Row],[Vl. Produto]])*Tabela22[[#This Row],[Aliq.%]]</f>
        <v>0</v>
      </c>
    </row>
    <row r="311" spans="13:19" x14ac:dyDescent="0.25">
      <c r="M311" s="46"/>
      <c r="N311" s="46"/>
      <c r="O311" s="46"/>
      <c r="P311" s="46"/>
      <c r="R311" s="15">
        <v>0.04</v>
      </c>
      <c r="S311" s="18">
        <f>(Tabela22[[#This Row],[FRETE]]+Tabela22[[#This Row],[DESPESAS]]+Tabela22[[#This Row],[IPI]]+Tabela22[[#This Row],[Vl. Produto]])*Tabela22[[#This Row],[Aliq.%]]</f>
        <v>0</v>
      </c>
    </row>
    <row r="312" spans="13:19" x14ac:dyDescent="0.25">
      <c r="M312" s="46"/>
      <c r="N312" s="46"/>
      <c r="O312" s="46"/>
      <c r="P312" s="46"/>
      <c r="R312" s="15">
        <v>0.04</v>
      </c>
      <c r="S312" s="18">
        <f>(Tabela22[[#This Row],[FRETE]]+Tabela22[[#This Row],[DESPESAS]]+Tabela22[[#This Row],[IPI]]+Tabela22[[#This Row],[Vl. Produto]])*Tabela22[[#This Row],[Aliq.%]]</f>
        <v>0</v>
      </c>
    </row>
    <row r="313" spans="13:19" x14ac:dyDescent="0.25">
      <c r="M313" s="46"/>
      <c r="N313" s="46"/>
      <c r="O313" s="46"/>
      <c r="P313" s="46"/>
      <c r="R313" s="15">
        <v>0.04</v>
      </c>
      <c r="S313" s="18">
        <f>(Tabela22[[#This Row],[FRETE]]+Tabela22[[#This Row],[DESPESAS]]+Tabela22[[#This Row],[IPI]]+Tabela22[[#This Row],[Vl. Produto]])*Tabela22[[#This Row],[Aliq.%]]</f>
        <v>0</v>
      </c>
    </row>
    <row r="314" spans="13:19" x14ac:dyDescent="0.25">
      <c r="M314" s="46"/>
      <c r="N314" s="46"/>
      <c r="O314" s="46"/>
      <c r="P314" s="46"/>
      <c r="R314" s="15">
        <v>0.04</v>
      </c>
      <c r="S314" s="18">
        <f>(Tabela22[[#This Row],[FRETE]]+Tabela22[[#This Row],[DESPESAS]]+Tabela22[[#This Row],[IPI]]+Tabela22[[#This Row],[Vl. Produto]])*Tabela22[[#This Row],[Aliq.%]]</f>
        <v>0</v>
      </c>
    </row>
    <row r="315" spans="13:19" x14ac:dyDescent="0.25">
      <c r="M315" s="46"/>
      <c r="N315" s="46"/>
      <c r="O315" s="46"/>
      <c r="P315" s="46"/>
      <c r="R315" s="15">
        <v>0.04</v>
      </c>
      <c r="S315" s="18">
        <f>(Tabela22[[#This Row],[FRETE]]+Tabela22[[#This Row],[DESPESAS]]+Tabela22[[#This Row],[IPI]]+Tabela22[[#This Row],[Vl. Produto]])*Tabela22[[#This Row],[Aliq.%]]</f>
        <v>0</v>
      </c>
    </row>
    <row r="316" spans="13:19" x14ac:dyDescent="0.25">
      <c r="M316" s="46"/>
      <c r="N316" s="46"/>
      <c r="O316" s="46"/>
      <c r="P316" s="46"/>
      <c r="R316" s="15">
        <v>0.04</v>
      </c>
      <c r="S316" s="18">
        <f>(Tabela22[[#This Row],[FRETE]]+Tabela22[[#This Row],[DESPESAS]]+Tabela22[[#This Row],[IPI]]+Tabela22[[#This Row],[Vl. Produto]])*Tabela22[[#This Row],[Aliq.%]]</f>
        <v>0</v>
      </c>
    </row>
    <row r="317" spans="13:19" x14ac:dyDescent="0.25">
      <c r="M317" s="46"/>
      <c r="N317" s="46"/>
      <c r="O317" s="46"/>
      <c r="P317" s="46"/>
      <c r="R317" s="15">
        <v>0.04</v>
      </c>
      <c r="S317" s="18">
        <f>(Tabela22[[#This Row],[FRETE]]+Tabela22[[#This Row],[DESPESAS]]+Tabela22[[#This Row],[IPI]]+Tabela22[[#This Row],[Vl. Produto]])*Tabela22[[#This Row],[Aliq.%]]</f>
        <v>0</v>
      </c>
    </row>
    <row r="318" spans="13:19" x14ac:dyDescent="0.25">
      <c r="M318" s="46"/>
      <c r="N318" s="46"/>
      <c r="O318" s="46"/>
      <c r="P318" s="46"/>
      <c r="R318" s="15">
        <v>0.04</v>
      </c>
      <c r="S318" s="18">
        <f>(Tabela22[[#This Row],[FRETE]]+Tabela22[[#This Row],[DESPESAS]]+Tabela22[[#This Row],[IPI]]+Tabela22[[#This Row],[Vl. Produto]])*Tabela22[[#This Row],[Aliq.%]]</f>
        <v>0</v>
      </c>
    </row>
    <row r="319" spans="13:19" x14ac:dyDescent="0.25">
      <c r="M319" s="46"/>
      <c r="N319" s="46"/>
      <c r="O319" s="46"/>
      <c r="P319" s="46"/>
      <c r="R319" s="15">
        <v>0.04</v>
      </c>
      <c r="S319" s="18">
        <f>(Tabela22[[#This Row],[FRETE]]+Tabela22[[#This Row],[DESPESAS]]+Tabela22[[#This Row],[IPI]]+Tabela22[[#This Row],[Vl. Produto]])*Tabela22[[#This Row],[Aliq.%]]</f>
        <v>0</v>
      </c>
    </row>
    <row r="320" spans="13:19" x14ac:dyDescent="0.25">
      <c r="M320" s="46"/>
      <c r="N320" s="46"/>
      <c r="O320" s="46"/>
      <c r="P320" s="46"/>
      <c r="R320" s="15">
        <v>0.04</v>
      </c>
      <c r="S320" s="18">
        <f>(Tabela22[[#This Row],[FRETE]]+Tabela22[[#This Row],[DESPESAS]]+Tabela22[[#This Row],[IPI]]+Tabela22[[#This Row],[Vl. Produto]])*Tabela22[[#This Row],[Aliq.%]]</f>
        <v>0</v>
      </c>
    </row>
    <row r="321" spans="13:19" x14ac:dyDescent="0.25">
      <c r="M321" s="46"/>
      <c r="N321" s="46"/>
      <c r="O321" s="46"/>
      <c r="P321" s="46"/>
      <c r="R321" s="15">
        <v>0.04</v>
      </c>
      <c r="S321" s="18">
        <f>(Tabela22[[#This Row],[FRETE]]+Tabela22[[#This Row],[DESPESAS]]+Tabela22[[#This Row],[IPI]]+Tabela22[[#This Row],[Vl. Produto]])*Tabela22[[#This Row],[Aliq.%]]</f>
        <v>0</v>
      </c>
    </row>
    <row r="322" spans="13:19" x14ac:dyDescent="0.25">
      <c r="M322" s="46"/>
      <c r="N322" s="46"/>
      <c r="O322" s="46"/>
      <c r="P322" s="46"/>
      <c r="R322" s="15">
        <v>0.04</v>
      </c>
      <c r="S322" s="18">
        <f>(Tabela22[[#This Row],[FRETE]]+Tabela22[[#This Row],[DESPESAS]]+Tabela22[[#This Row],[IPI]]+Tabela22[[#This Row],[Vl. Produto]])*Tabela22[[#This Row],[Aliq.%]]</f>
        <v>0</v>
      </c>
    </row>
    <row r="323" spans="13:19" x14ac:dyDescent="0.25">
      <c r="M323" s="46"/>
      <c r="N323" s="46"/>
      <c r="O323" s="46"/>
      <c r="P323" s="46"/>
      <c r="R323" s="15">
        <v>0.04</v>
      </c>
      <c r="S323" s="18">
        <f>(Tabela22[[#This Row],[FRETE]]+Tabela22[[#This Row],[DESPESAS]]+Tabela22[[#This Row],[IPI]]+Tabela22[[#This Row],[Vl. Produto]])*Tabela22[[#This Row],[Aliq.%]]</f>
        <v>0</v>
      </c>
    </row>
    <row r="324" spans="13:19" x14ac:dyDescent="0.25">
      <c r="M324" s="46"/>
      <c r="N324" s="46"/>
      <c r="O324" s="46"/>
      <c r="P324" s="46"/>
      <c r="R324" s="15">
        <v>0.04</v>
      </c>
      <c r="S324" s="18">
        <f>(Tabela22[[#This Row],[FRETE]]+Tabela22[[#This Row],[DESPESAS]]+Tabela22[[#This Row],[IPI]]+Tabela22[[#This Row],[Vl. Produto]])*Tabela22[[#This Row],[Aliq.%]]</f>
        <v>0</v>
      </c>
    </row>
    <row r="325" spans="13:19" x14ac:dyDescent="0.25">
      <c r="M325" s="46"/>
      <c r="N325" s="46"/>
      <c r="O325" s="46"/>
      <c r="P325" s="46"/>
      <c r="R325" s="15">
        <v>0.04</v>
      </c>
      <c r="S325" s="18">
        <f>(Tabela22[[#This Row],[FRETE]]+Tabela22[[#This Row],[DESPESAS]]+Tabela22[[#This Row],[IPI]]+Tabela22[[#This Row],[Vl. Produto]])*Tabela22[[#This Row],[Aliq.%]]</f>
        <v>0</v>
      </c>
    </row>
    <row r="326" spans="13:19" x14ac:dyDescent="0.25">
      <c r="M326" s="46"/>
      <c r="N326" s="46"/>
      <c r="O326" s="46"/>
      <c r="P326" s="46"/>
      <c r="R326" s="15">
        <v>0.04</v>
      </c>
      <c r="S326" s="18">
        <f>(Tabela22[[#This Row],[FRETE]]+Tabela22[[#This Row],[DESPESAS]]+Tabela22[[#This Row],[IPI]]+Tabela22[[#This Row],[Vl. Produto]])*Tabela22[[#This Row],[Aliq.%]]</f>
        <v>0</v>
      </c>
    </row>
    <row r="327" spans="13:19" x14ac:dyDescent="0.25">
      <c r="M327" s="46"/>
      <c r="N327" s="46"/>
      <c r="O327" s="46"/>
      <c r="P327" s="46"/>
      <c r="R327" s="15">
        <v>0.04</v>
      </c>
      <c r="S327" s="18">
        <f>(Tabela22[[#This Row],[FRETE]]+Tabela22[[#This Row],[DESPESAS]]+Tabela22[[#This Row],[IPI]]+Tabela22[[#This Row],[Vl. Produto]])*Tabela22[[#This Row],[Aliq.%]]</f>
        <v>0</v>
      </c>
    </row>
    <row r="328" spans="13:19" x14ac:dyDescent="0.25">
      <c r="M328" s="46"/>
      <c r="N328" s="46"/>
      <c r="O328" s="46"/>
      <c r="P328" s="46"/>
      <c r="R328" s="15">
        <v>0.04</v>
      </c>
      <c r="S328" s="18">
        <f>(Tabela22[[#This Row],[FRETE]]+Tabela22[[#This Row],[DESPESAS]]+Tabela22[[#This Row],[IPI]]+Tabela22[[#This Row],[Vl. Produto]])*Tabela22[[#This Row],[Aliq.%]]</f>
        <v>0</v>
      </c>
    </row>
    <row r="329" spans="13:19" x14ac:dyDescent="0.25">
      <c r="M329" s="46"/>
      <c r="N329" s="46"/>
      <c r="O329" s="46"/>
      <c r="P329" s="46"/>
      <c r="R329" s="15">
        <v>0.04</v>
      </c>
      <c r="S329" s="18">
        <f>(Tabela22[[#This Row],[FRETE]]+Tabela22[[#This Row],[DESPESAS]]+Tabela22[[#This Row],[IPI]]+Tabela22[[#This Row],[Vl. Produto]])*Tabela22[[#This Row],[Aliq.%]]</f>
        <v>0</v>
      </c>
    </row>
    <row r="330" spans="13:19" x14ac:dyDescent="0.25">
      <c r="M330" s="46"/>
      <c r="N330" s="46"/>
      <c r="O330" s="46"/>
      <c r="P330" s="46"/>
      <c r="R330" s="15">
        <v>0.04</v>
      </c>
      <c r="S330" s="18">
        <f>(Tabela22[[#This Row],[FRETE]]+Tabela22[[#This Row],[DESPESAS]]+Tabela22[[#This Row],[IPI]]+Tabela22[[#This Row],[Vl. Produto]])*Tabela22[[#This Row],[Aliq.%]]</f>
        <v>0</v>
      </c>
    </row>
    <row r="331" spans="13:19" x14ac:dyDescent="0.25">
      <c r="M331" s="46"/>
      <c r="N331" s="46"/>
      <c r="O331" s="46"/>
      <c r="P331" s="46"/>
      <c r="R331" s="15">
        <v>0.04</v>
      </c>
      <c r="S331" s="18">
        <f>(Tabela22[[#This Row],[FRETE]]+Tabela22[[#This Row],[DESPESAS]]+Tabela22[[#This Row],[IPI]]+Tabela22[[#This Row],[Vl. Produto]])*Tabela22[[#This Row],[Aliq.%]]</f>
        <v>0</v>
      </c>
    </row>
    <row r="332" spans="13:19" x14ac:dyDescent="0.25">
      <c r="M332" s="46"/>
      <c r="N332" s="46"/>
      <c r="O332" s="46"/>
      <c r="P332" s="46"/>
      <c r="R332" s="15">
        <v>0.04</v>
      </c>
      <c r="S332" s="18">
        <f>(Tabela22[[#This Row],[FRETE]]+Tabela22[[#This Row],[DESPESAS]]+Tabela22[[#This Row],[IPI]]+Tabela22[[#This Row],[Vl. Produto]])*Tabela22[[#This Row],[Aliq.%]]</f>
        <v>0</v>
      </c>
    </row>
    <row r="333" spans="13:19" x14ac:dyDescent="0.25">
      <c r="M333" s="46"/>
      <c r="N333" s="46"/>
      <c r="O333" s="46"/>
      <c r="P333" s="46"/>
      <c r="R333" s="15">
        <v>0.04</v>
      </c>
      <c r="S333" s="18">
        <f>(Tabela22[[#This Row],[FRETE]]+Tabela22[[#This Row],[DESPESAS]]+Tabela22[[#This Row],[IPI]]+Tabela22[[#This Row],[Vl. Produto]])*Tabela22[[#This Row],[Aliq.%]]</f>
        <v>0</v>
      </c>
    </row>
    <row r="334" spans="13:19" x14ac:dyDescent="0.25">
      <c r="M334" s="46"/>
      <c r="N334" s="46"/>
      <c r="O334" s="46"/>
      <c r="P334" s="46"/>
      <c r="R334" s="15">
        <v>0.04</v>
      </c>
      <c r="S334" s="18">
        <f>(Tabela22[[#This Row],[FRETE]]+Tabela22[[#This Row],[DESPESAS]]+Tabela22[[#This Row],[IPI]]+Tabela22[[#This Row],[Vl. Produto]])*Tabela22[[#This Row],[Aliq.%]]</f>
        <v>0</v>
      </c>
    </row>
    <row r="335" spans="13:19" x14ac:dyDescent="0.25">
      <c r="M335" s="46"/>
      <c r="N335" s="46"/>
      <c r="O335" s="46"/>
      <c r="P335" s="46"/>
      <c r="R335" s="15">
        <v>0.04</v>
      </c>
      <c r="S335" s="18">
        <f>(Tabela22[[#This Row],[FRETE]]+Tabela22[[#This Row],[DESPESAS]]+Tabela22[[#This Row],[IPI]]+Tabela22[[#This Row],[Vl. Produto]])*Tabela22[[#This Row],[Aliq.%]]</f>
        <v>0</v>
      </c>
    </row>
    <row r="336" spans="13:19" x14ac:dyDescent="0.25">
      <c r="M336" s="46"/>
      <c r="N336" s="46"/>
      <c r="O336" s="46"/>
      <c r="P336" s="46"/>
      <c r="R336" s="15">
        <v>0.04</v>
      </c>
      <c r="S336" s="18">
        <f>(Tabela22[[#This Row],[FRETE]]+Tabela22[[#This Row],[DESPESAS]]+Tabela22[[#This Row],[IPI]]+Tabela22[[#This Row],[Vl. Produto]])*Tabela22[[#This Row],[Aliq.%]]</f>
        <v>0</v>
      </c>
    </row>
    <row r="337" spans="13:19" x14ac:dyDescent="0.25">
      <c r="M337" s="46"/>
      <c r="N337" s="46"/>
      <c r="O337" s="46"/>
      <c r="P337" s="46"/>
      <c r="R337" s="15">
        <v>0.04</v>
      </c>
      <c r="S337" s="18">
        <f>(Tabela22[[#This Row],[FRETE]]+Tabela22[[#This Row],[DESPESAS]]+Tabela22[[#This Row],[IPI]]+Tabela22[[#This Row],[Vl. Produto]])*Tabela22[[#This Row],[Aliq.%]]</f>
        <v>0</v>
      </c>
    </row>
    <row r="338" spans="13:19" x14ac:dyDescent="0.25">
      <c r="M338" s="46"/>
      <c r="N338" s="46"/>
      <c r="O338" s="46"/>
      <c r="P338" s="46"/>
      <c r="R338" s="15">
        <v>0.04</v>
      </c>
      <c r="S338" s="18">
        <f>(Tabela22[[#This Row],[FRETE]]+Tabela22[[#This Row],[DESPESAS]]+Tabela22[[#This Row],[IPI]]+Tabela22[[#This Row],[Vl. Produto]])*Tabela22[[#This Row],[Aliq.%]]</f>
        <v>0</v>
      </c>
    </row>
    <row r="339" spans="13:19" x14ac:dyDescent="0.25">
      <c r="M339" s="46"/>
      <c r="N339" s="46"/>
      <c r="O339" s="46"/>
      <c r="P339" s="46"/>
      <c r="R339" s="15">
        <v>0.04</v>
      </c>
      <c r="S339" s="18">
        <f>(Tabela22[[#This Row],[FRETE]]+Tabela22[[#This Row],[DESPESAS]]+Tabela22[[#This Row],[IPI]]+Tabela22[[#This Row],[Vl. Produto]])*Tabela22[[#This Row],[Aliq.%]]</f>
        <v>0</v>
      </c>
    </row>
    <row r="340" spans="13:19" x14ac:dyDescent="0.25">
      <c r="M340" s="46"/>
      <c r="N340" s="46"/>
      <c r="O340" s="46"/>
      <c r="P340" s="46"/>
      <c r="R340" s="15">
        <v>0.04</v>
      </c>
      <c r="S340" s="18">
        <f>(Tabela22[[#This Row],[FRETE]]+Tabela22[[#This Row],[DESPESAS]]+Tabela22[[#This Row],[IPI]]+Tabela22[[#This Row],[Vl. Produto]])*Tabela22[[#This Row],[Aliq.%]]</f>
        <v>0</v>
      </c>
    </row>
    <row r="341" spans="13:19" x14ac:dyDescent="0.25">
      <c r="M341" s="46"/>
      <c r="N341" s="46"/>
      <c r="O341" s="46"/>
      <c r="P341" s="46"/>
      <c r="R341" s="15">
        <v>0.04</v>
      </c>
      <c r="S341" s="18">
        <f>(Tabela22[[#This Row],[FRETE]]+Tabela22[[#This Row],[DESPESAS]]+Tabela22[[#This Row],[IPI]]+Tabela22[[#This Row],[Vl. Produto]])*Tabela22[[#This Row],[Aliq.%]]</f>
        <v>0</v>
      </c>
    </row>
    <row r="342" spans="13:19" x14ac:dyDescent="0.25">
      <c r="M342" s="46"/>
      <c r="N342" s="46"/>
      <c r="O342" s="46"/>
      <c r="P342" s="46"/>
      <c r="R342" s="15">
        <v>0.04</v>
      </c>
      <c r="S342" s="18">
        <f>(Tabela22[[#This Row],[FRETE]]+Tabela22[[#This Row],[DESPESAS]]+Tabela22[[#This Row],[IPI]]+Tabela22[[#This Row],[Vl. Produto]])*Tabela22[[#This Row],[Aliq.%]]</f>
        <v>0</v>
      </c>
    </row>
    <row r="343" spans="13:19" x14ac:dyDescent="0.25">
      <c r="M343" s="46"/>
      <c r="N343" s="46"/>
      <c r="O343" s="46"/>
      <c r="P343" s="46"/>
      <c r="R343" s="15">
        <v>0.04</v>
      </c>
      <c r="S343" s="18">
        <f>(Tabela22[[#This Row],[FRETE]]+Tabela22[[#This Row],[DESPESAS]]+Tabela22[[#This Row],[IPI]]+Tabela22[[#This Row],[Vl. Produto]])*Tabela22[[#This Row],[Aliq.%]]</f>
        <v>0</v>
      </c>
    </row>
    <row r="344" spans="13:19" x14ac:dyDescent="0.25">
      <c r="M344" s="46"/>
      <c r="N344" s="46"/>
      <c r="O344" s="46"/>
      <c r="P344" s="46"/>
      <c r="R344" s="15">
        <v>0.04</v>
      </c>
      <c r="S344" s="18">
        <f>(Tabela22[[#This Row],[FRETE]]+Tabela22[[#This Row],[DESPESAS]]+Tabela22[[#This Row],[IPI]]+Tabela22[[#This Row],[Vl. Produto]])*Tabela22[[#This Row],[Aliq.%]]</f>
        <v>0</v>
      </c>
    </row>
    <row r="345" spans="13:19" x14ac:dyDescent="0.25">
      <c r="M345" s="46"/>
      <c r="N345" s="46"/>
      <c r="O345" s="46"/>
      <c r="P345" s="46"/>
      <c r="R345" s="15">
        <v>0.04</v>
      </c>
      <c r="S345" s="18">
        <f>(Tabela22[[#This Row],[FRETE]]+Tabela22[[#This Row],[DESPESAS]]+Tabela22[[#This Row],[IPI]]+Tabela22[[#This Row],[Vl. Produto]])*Tabela22[[#This Row],[Aliq.%]]</f>
        <v>0</v>
      </c>
    </row>
    <row r="346" spans="13:19" x14ac:dyDescent="0.25">
      <c r="M346" s="46"/>
      <c r="N346" s="46"/>
      <c r="O346" s="46"/>
      <c r="P346" s="46"/>
      <c r="R346" s="15">
        <v>0.04</v>
      </c>
      <c r="S346" s="18">
        <f>(Tabela22[[#This Row],[FRETE]]+Tabela22[[#This Row],[DESPESAS]]+Tabela22[[#This Row],[IPI]]+Tabela22[[#This Row],[Vl. Produto]])*Tabela22[[#This Row],[Aliq.%]]</f>
        <v>0</v>
      </c>
    </row>
    <row r="347" spans="13:19" x14ac:dyDescent="0.25">
      <c r="M347" s="46"/>
      <c r="N347" s="46"/>
      <c r="O347" s="46"/>
      <c r="P347" s="46"/>
      <c r="R347" s="15">
        <v>0.04</v>
      </c>
      <c r="S347" s="18">
        <f>(Tabela22[[#This Row],[FRETE]]+Tabela22[[#This Row],[DESPESAS]]+Tabela22[[#This Row],[IPI]]+Tabela22[[#This Row],[Vl. Produto]])*Tabela22[[#This Row],[Aliq.%]]</f>
        <v>0</v>
      </c>
    </row>
    <row r="348" spans="13:19" x14ac:dyDescent="0.25">
      <c r="M348" s="46"/>
      <c r="N348" s="46"/>
      <c r="O348" s="46"/>
      <c r="P348" s="46"/>
      <c r="R348" s="15">
        <v>0.04</v>
      </c>
      <c r="S348" s="18">
        <f>(Tabela22[[#This Row],[FRETE]]+Tabela22[[#This Row],[DESPESAS]]+Tabela22[[#This Row],[IPI]]+Tabela22[[#This Row],[Vl. Produto]])*Tabela22[[#This Row],[Aliq.%]]</f>
        <v>0</v>
      </c>
    </row>
    <row r="349" spans="13:19" x14ac:dyDescent="0.25">
      <c r="M349" s="46"/>
      <c r="N349" s="46"/>
      <c r="O349" s="46"/>
      <c r="P349" s="46"/>
      <c r="R349" s="15">
        <v>0.04</v>
      </c>
      <c r="S349" s="18">
        <f>(Tabela22[[#This Row],[FRETE]]+Tabela22[[#This Row],[DESPESAS]]+Tabela22[[#This Row],[IPI]]+Tabela22[[#This Row],[Vl. Produto]])*Tabela22[[#This Row],[Aliq.%]]</f>
        <v>0</v>
      </c>
    </row>
    <row r="350" spans="13:19" x14ac:dyDescent="0.25">
      <c r="M350" s="46"/>
      <c r="N350" s="46"/>
      <c r="O350" s="46"/>
      <c r="P350" s="46"/>
      <c r="R350" s="15">
        <v>0.04</v>
      </c>
      <c r="S350" s="18">
        <f>(Tabela22[[#This Row],[FRETE]]+Tabela22[[#This Row],[DESPESAS]]+Tabela22[[#This Row],[IPI]]+Tabela22[[#This Row],[Vl. Produto]])*Tabela22[[#This Row],[Aliq.%]]</f>
        <v>0</v>
      </c>
    </row>
    <row r="351" spans="13:19" x14ac:dyDescent="0.25">
      <c r="M351" s="46"/>
      <c r="N351" s="46"/>
      <c r="O351" s="46"/>
      <c r="P351" s="46"/>
      <c r="R351" s="15">
        <v>0.04</v>
      </c>
      <c r="S351" s="18">
        <f>(Tabela22[[#This Row],[FRETE]]+Tabela22[[#This Row],[DESPESAS]]+Tabela22[[#This Row],[IPI]]+Tabela22[[#This Row],[Vl. Produto]])*Tabela22[[#This Row],[Aliq.%]]</f>
        <v>0</v>
      </c>
    </row>
    <row r="352" spans="13:19" x14ac:dyDescent="0.25">
      <c r="M352" s="46"/>
      <c r="N352" s="46"/>
      <c r="O352" s="46"/>
      <c r="P352" s="46"/>
      <c r="R352" s="15">
        <v>0.04</v>
      </c>
      <c r="S352" s="18">
        <f>(Tabela22[[#This Row],[FRETE]]+Tabela22[[#This Row],[DESPESAS]]+Tabela22[[#This Row],[IPI]]+Tabela22[[#This Row],[Vl. Produto]])*Tabela22[[#This Row],[Aliq.%]]</f>
        <v>0</v>
      </c>
    </row>
    <row r="353" spans="13:19" x14ac:dyDescent="0.25">
      <c r="M353" s="46"/>
      <c r="N353" s="46"/>
      <c r="O353" s="46"/>
      <c r="P353" s="46"/>
      <c r="R353" s="15">
        <v>0.04</v>
      </c>
      <c r="S353" s="18">
        <f>(Tabela22[[#This Row],[FRETE]]+Tabela22[[#This Row],[DESPESAS]]+Tabela22[[#This Row],[IPI]]+Tabela22[[#This Row],[Vl. Produto]])*Tabela22[[#This Row],[Aliq.%]]</f>
        <v>0</v>
      </c>
    </row>
    <row r="354" spans="13:19" x14ac:dyDescent="0.25">
      <c r="M354" s="46"/>
      <c r="N354" s="46"/>
      <c r="O354" s="46"/>
      <c r="P354" s="46"/>
      <c r="R354" s="15">
        <v>0.04</v>
      </c>
      <c r="S354" s="18">
        <f>(Tabela22[[#This Row],[FRETE]]+Tabela22[[#This Row],[DESPESAS]]+Tabela22[[#This Row],[IPI]]+Tabela22[[#This Row],[Vl. Produto]])*Tabela22[[#This Row],[Aliq.%]]</f>
        <v>0</v>
      </c>
    </row>
    <row r="355" spans="13:19" x14ac:dyDescent="0.25">
      <c r="M355" s="46"/>
      <c r="N355" s="46"/>
      <c r="O355" s="46"/>
      <c r="P355" s="46"/>
      <c r="R355" s="15">
        <v>0.04</v>
      </c>
      <c r="S355" s="18">
        <f>(Tabela22[[#This Row],[FRETE]]+Tabela22[[#This Row],[DESPESAS]]+Tabela22[[#This Row],[IPI]]+Tabela22[[#This Row],[Vl. Produto]])*Tabela22[[#This Row],[Aliq.%]]</f>
        <v>0</v>
      </c>
    </row>
    <row r="356" spans="13:19" x14ac:dyDescent="0.25">
      <c r="M356" s="46"/>
      <c r="N356" s="46"/>
      <c r="O356" s="46"/>
      <c r="P356" s="46"/>
      <c r="R356" s="15">
        <v>0.04</v>
      </c>
      <c r="S356" s="18">
        <f>(Tabela22[[#This Row],[FRETE]]+Tabela22[[#This Row],[DESPESAS]]+Tabela22[[#This Row],[IPI]]+Tabela22[[#This Row],[Vl. Produto]])*Tabela22[[#This Row],[Aliq.%]]</f>
        <v>0</v>
      </c>
    </row>
    <row r="357" spans="13:19" x14ac:dyDescent="0.25">
      <c r="M357" s="46"/>
      <c r="N357" s="46"/>
      <c r="O357" s="46"/>
      <c r="P357" s="46"/>
      <c r="R357" s="15">
        <v>0.04</v>
      </c>
      <c r="S357" s="18">
        <f>(Tabela22[[#This Row],[FRETE]]+Tabela22[[#This Row],[DESPESAS]]+Tabela22[[#This Row],[IPI]]+Tabela22[[#This Row],[Vl. Produto]])*Tabela22[[#This Row],[Aliq.%]]</f>
        <v>0</v>
      </c>
    </row>
    <row r="358" spans="13:19" x14ac:dyDescent="0.25">
      <c r="M358" s="46"/>
      <c r="N358" s="46"/>
      <c r="O358" s="46"/>
      <c r="P358" s="46"/>
      <c r="R358" s="15">
        <v>0.04</v>
      </c>
      <c r="S358" s="18">
        <f>(Tabela22[[#This Row],[FRETE]]+Tabela22[[#This Row],[DESPESAS]]+Tabela22[[#This Row],[IPI]]+Tabela22[[#This Row],[Vl. Produto]])*Tabela22[[#This Row],[Aliq.%]]</f>
        <v>0</v>
      </c>
    </row>
    <row r="359" spans="13:19" x14ac:dyDescent="0.25">
      <c r="M359" s="46"/>
      <c r="N359" s="46"/>
      <c r="O359" s="46"/>
      <c r="P359" s="46"/>
      <c r="R359" s="15">
        <v>0.04</v>
      </c>
      <c r="S359" s="18">
        <f>(Tabela22[[#This Row],[FRETE]]+Tabela22[[#This Row],[DESPESAS]]+Tabela22[[#This Row],[IPI]]+Tabela22[[#This Row],[Vl. Produto]])*Tabela22[[#This Row],[Aliq.%]]</f>
        <v>0</v>
      </c>
    </row>
    <row r="360" spans="13:19" x14ac:dyDescent="0.25">
      <c r="M360" s="46"/>
      <c r="N360" s="46"/>
      <c r="O360" s="46"/>
      <c r="P360" s="46"/>
      <c r="R360" s="15">
        <v>0.04</v>
      </c>
      <c r="S360" s="18">
        <f>(Tabela22[[#This Row],[FRETE]]+Tabela22[[#This Row],[DESPESAS]]+Tabela22[[#This Row],[IPI]]+Tabela22[[#This Row],[Vl. Produto]])*Tabela22[[#This Row],[Aliq.%]]</f>
        <v>0</v>
      </c>
    </row>
    <row r="361" spans="13:19" x14ac:dyDescent="0.25">
      <c r="M361" s="46"/>
      <c r="N361" s="46"/>
      <c r="O361" s="46"/>
      <c r="P361" s="46"/>
      <c r="R361" s="15">
        <v>0.04</v>
      </c>
      <c r="S361" s="18">
        <f>(Tabela22[[#This Row],[FRETE]]+Tabela22[[#This Row],[DESPESAS]]+Tabela22[[#This Row],[IPI]]+Tabela22[[#This Row],[Vl. Produto]])*Tabela22[[#This Row],[Aliq.%]]</f>
        <v>0</v>
      </c>
    </row>
    <row r="362" spans="13:19" x14ac:dyDescent="0.25">
      <c r="M362" s="46"/>
      <c r="N362" s="46"/>
      <c r="O362" s="46"/>
      <c r="P362" s="46"/>
      <c r="R362" s="15">
        <v>0.04</v>
      </c>
      <c r="S362" s="18">
        <f>(Tabela22[[#This Row],[FRETE]]+Tabela22[[#This Row],[DESPESAS]]+Tabela22[[#This Row],[IPI]]+Tabela22[[#This Row],[Vl. Produto]])*Tabela22[[#This Row],[Aliq.%]]</f>
        <v>0</v>
      </c>
    </row>
    <row r="363" spans="13:19" x14ac:dyDescent="0.25">
      <c r="M363" s="46"/>
      <c r="N363" s="46"/>
      <c r="O363" s="46"/>
      <c r="P363" s="46"/>
      <c r="R363" s="15">
        <v>0.04</v>
      </c>
      <c r="S363" s="18">
        <f>(Tabela22[[#This Row],[FRETE]]+Tabela22[[#This Row],[DESPESAS]]+Tabela22[[#This Row],[IPI]]+Tabela22[[#This Row],[Vl. Produto]])*Tabela22[[#This Row],[Aliq.%]]</f>
        <v>0</v>
      </c>
    </row>
    <row r="364" spans="13:19" x14ac:dyDescent="0.25">
      <c r="M364" s="46"/>
      <c r="N364" s="46"/>
      <c r="O364" s="46"/>
      <c r="P364" s="46"/>
      <c r="R364" s="15">
        <v>0.04</v>
      </c>
      <c r="S364" s="18">
        <f>(Tabela22[[#This Row],[FRETE]]+Tabela22[[#This Row],[DESPESAS]]+Tabela22[[#This Row],[IPI]]+Tabela22[[#This Row],[Vl. Produto]])*Tabela22[[#This Row],[Aliq.%]]</f>
        <v>0</v>
      </c>
    </row>
    <row r="365" spans="13:19" x14ac:dyDescent="0.25">
      <c r="M365" s="46"/>
      <c r="N365" s="46"/>
      <c r="O365" s="46"/>
      <c r="P365" s="46"/>
      <c r="R365" s="15">
        <v>0.04</v>
      </c>
      <c r="S365" s="18">
        <f>(Tabela22[[#This Row],[FRETE]]+Tabela22[[#This Row],[DESPESAS]]+Tabela22[[#This Row],[IPI]]+Tabela22[[#This Row],[Vl. Produto]])*Tabela22[[#This Row],[Aliq.%]]</f>
        <v>0</v>
      </c>
    </row>
    <row r="366" spans="13:19" x14ac:dyDescent="0.25">
      <c r="M366" s="46"/>
      <c r="N366" s="46"/>
      <c r="O366" s="46"/>
      <c r="P366" s="46"/>
      <c r="R366" s="15">
        <v>0.04</v>
      </c>
      <c r="S366" s="18">
        <f>(Tabela22[[#This Row],[FRETE]]+Tabela22[[#This Row],[DESPESAS]]+Tabela22[[#This Row],[IPI]]+Tabela22[[#This Row],[Vl. Produto]])*Tabela22[[#This Row],[Aliq.%]]</f>
        <v>0</v>
      </c>
    </row>
    <row r="367" spans="13:19" x14ac:dyDescent="0.25">
      <c r="M367" s="46"/>
      <c r="N367" s="46"/>
      <c r="O367" s="46"/>
      <c r="P367" s="46"/>
      <c r="R367" s="15">
        <v>0.04</v>
      </c>
      <c r="S367" s="18">
        <f>(Tabela22[[#This Row],[FRETE]]+Tabela22[[#This Row],[DESPESAS]]+Tabela22[[#This Row],[IPI]]+Tabela22[[#This Row],[Vl. Produto]])*Tabela22[[#This Row],[Aliq.%]]</f>
        <v>0</v>
      </c>
    </row>
    <row r="368" spans="13:19" x14ac:dyDescent="0.25">
      <c r="M368" s="46"/>
      <c r="N368" s="46"/>
      <c r="O368" s="46"/>
      <c r="P368" s="46"/>
      <c r="R368" s="15">
        <v>0.04</v>
      </c>
      <c r="S368" s="18">
        <f>(Tabela22[[#This Row],[FRETE]]+Tabela22[[#This Row],[DESPESAS]]+Tabela22[[#This Row],[IPI]]+Tabela22[[#This Row],[Vl. Produto]])*Tabela22[[#This Row],[Aliq.%]]</f>
        <v>0</v>
      </c>
    </row>
    <row r="369" spans="13:19" x14ac:dyDescent="0.25">
      <c r="M369" s="46"/>
      <c r="N369" s="46"/>
      <c r="O369" s="46"/>
      <c r="P369" s="46"/>
      <c r="R369" s="15">
        <v>0.04</v>
      </c>
      <c r="S369" s="18">
        <f>(Tabela22[[#This Row],[FRETE]]+Tabela22[[#This Row],[DESPESAS]]+Tabela22[[#This Row],[IPI]]+Tabela22[[#This Row],[Vl. Produto]])*Tabela22[[#This Row],[Aliq.%]]</f>
        <v>0</v>
      </c>
    </row>
    <row r="370" spans="13:19" x14ac:dyDescent="0.25">
      <c r="M370" s="46"/>
      <c r="N370" s="46"/>
      <c r="O370" s="46"/>
      <c r="P370" s="46"/>
      <c r="R370" s="15">
        <v>0.04</v>
      </c>
      <c r="S370" s="18">
        <f>(Tabela22[[#This Row],[FRETE]]+Tabela22[[#This Row],[DESPESAS]]+Tabela22[[#This Row],[IPI]]+Tabela22[[#This Row],[Vl. Produto]])*Tabela22[[#This Row],[Aliq.%]]</f>
        <v>0</v>
      </c>
    </row>
    <row r="371" spans="13:19" x14ac:dyDescent="0.25">
      <c r="M371" s="46"/>
      <c r="N371" s="46"/>
      <c r="O371" s="46"/>
      <c r="P371" s="46"/>
      <c r="R371" s="15">
        <v>0.04</v>
      </c>
      <c r="S371" s="18">
        <f>(Tabela22[[#This Row],[FRETE]]+Tabela22[[#This Row],[DESPESAS]]+Tabela22[[#This Row],[IPI]]+Tabela22[[#This Row],[Vl. Produto]])*Tabela22[[#This Row],[Aliq.%]]</f>
        <v>0</v>
      </c>
    </row>
    <row r="372" spans="13:19" x14ac:dyDescent="0.25">
      <c r="M372" s="46"/>
      <c r="N372" s="46"/>
      <c r="O372" s="46"/>
      <c r="P372" s="46"/>
      <c r="R372" s="15">
        <v>0.04</v>
      </c>
      <c r="S372" s="18">
        <f>(Tabela22[[#This Row],[FRETE]]+Tabela22[[#This Row],[DESPESAS]]+Tabela22[[#This Row],[IPI]]+Tabela22[[#This Row],[Vl. Produto]])*Tabela22[[#This Row],[Aliq.%]]</f>
        <v>0</v>
      </c>
    </row>
    <row r="373" spans="13:19" x14ac:dyDescent="0.25">
      <c r="M373" s="46"/>
      <c r="N373" s="46"/>
      <c r="O373" s="46"/>
      <c r="P373" s="46"/>
      <c r="R373" s="15">
        <v>0.04</v>
      </c>
      <c r="S373" s="18">
        <f>(Tabela22[[#This Row],[FRETE]]+Tabela22[[#This Row],[DESPESAS]]+Tabela22[[#This Row],[IPI]]+Tabela22[[#This Row],[Vl. Produto]])*Tabela22[[#This Row],[Aliq.%]]</f>
        <v>0</v>
      </c>
    </row>
    <row r="374" spans="13:19" x14ac:dyDescent="0.25">
      <c r="M374" s="46"/>
      <c r="N374" s="46"/>
      <c r="O374" s="46"/>
      <c r="P374" s="46"/>
      <c r="R374" s="15">
        <v>0.04</v>
      </c>
      <c r="S374" s="18">
        <f>(Tabela22[[#This Row],[FRETE]]+Tabela22[[#This Row],[DESPESAS]]+Tabela22[[#This Row],[IPI]]+Tabela22[[#This Row],[Vl. Produto]])*Tabela22[[#This Row],[Aliq.%]]</f>
        <v>0</v>
      </c>
    </row>
    <row r="375" spans="13:19" x14ac:dyDescent="0.25">
      <c r="M375" s="46"/>
      <c r="N375" s="46"/>
      <c r="O375" s="46"/>
      <c r="P375" s="46"/>
      <c r="R375" s="15">
        <v>0.04</v>
      </c>
      <c r="S375" s="18">
        <f>(Tabela22[[#This Row],[FRETE]]+Tabela22[[#This Row],[DESPESAS]]+Tabela22[[#This Row],[IPI]]+Tabela22[[#This Row],[Vl. Produto]])*Tabela22[[#This Row],[Aliq.%]]</f>
        <v>0</v>
      </c>
    </row>
    <row r="376" spans="13:19" x14ac:dyDescent="0.25">
      <c r="M376" s="46"/>
      <c r="N376" s="46"/>
      <c r="O376" s="46"/>
      <c r="P376" s="46"/>
      <c r="R376" s="15">
        <v>0.04</v>
      </c>
      <c r="S376" s="18">
        <f>(Tabela22[[#This Row],[FRETE]]+Tabela22[[#This Row],[DESPESAS]]+Tabela22[[#This Row],[IPI]]+Tabela22[[#This Row],[Vl. Produto]])*Tabela22[[#This Row],[Aliq.%]]</f>
        <v>0</v>
      </c>
    </row>
    <row r="377" spans="13:19" x14ac:dyDescent="0.25">
      <c r="M377" s="46"/>
      <c r="N377" s="46"/>
      <c r="O377" s="46"/>
      <c r="P377" s="46"/>
      <c r="R377" s="15">
        <v>0.04</v>
      </c>
      <c r="S377" s="18">
        <f>(Tabela22[[#This Row],[FRETE]]+Tabela22[[#This Row],[DESPESAS]]+Tabela22[[#This Row],[IPI]]+Tabela22[[#This Row],[Vl. Produto]])*Tabela22[[#This Row],[Aliq.%]]</f>
        <v>0</v>
      </c>
    </row>
    <row r="378" spans="13:19" x14ac:dyDescent="0.25">
      <c r="M378" s="46"/>
      <c r="N378" s="46"/>
      <c r="O378" s="46"/>
      <c r="P378" s="46"/>
      <c r="R378" s="15">
        <v>0.04</v>
      </c>
      <c r="S378" s="18">
        <f>(Tabela22[[#This Row],[FRETE]]+Tabela22[[#This Row],[DESPESAS]]+Tabela22[[#This Row],[IPI]]+Tabela22[[#This Row],[Vl. Produto]])*Tabela22[[#This Row],[Aliq.%]]</f>
        <v>0</v>
      </c>
    </row>
    <row r="379" spans="13:19" x14ac:dyDescent="0.25">
      <c r="M379" s="46"/>
      <c r="N379" s="46"/>
      <c r="O379" s="46"/>
      <c r="P379" s="46"/>
      <c r="R379" s="15">
        <v>0.04</v>
      </c>
      <c r="S379" s="18">
        <f>(Tabela22[[#This Row],[FRETE]]+Tabela22[[#This Row],[DESPESAS]]+Tabela22[[#This Row],[IPI]]+Tabela22[[#This Row],[Vl. Produto]])*Tabela22[[#This Row],[Aliq.%]]</f>
        <v>0</v>
      </c>
    </row>
    <row r="380" spans="13:19" x14ac:dyDescent="0.25">
      <c r="M380" s="46"/>
      <c r="N380" s="46"/>
      <c r="O380" s="46"/>
      <c r="P380" s="46"/>
      <c r="R380" s="15">
        <v>0.04</v>
      </c>
      <c r="S380" s="18">
        <f>(Tabela22[[#This Row],[FRETE]]+Tabela22[[#This Row],[DESPESAS]]+Tabela22[[#This Row],[IPI]]+Tabela22[[#This Row],[Vl. Produto]])*Tabela22[[#This Row],[Aliq.%]]</f>
        <v>0</v>
      </c>
    </row>
    <row r="381" spans="13:19" x14ac:dyDescent="0.25">
      <c r="M381" s="46"/>
      <c r="N381" s="46"/>
      <c r="O381" s="46"/>
      <c r="P381" s="46"/>
      <c r="R381" s="15">
        <v>0.04</v>
      </c>
      <c r="S381" s="18">
        <f>(Tabela22[[#This Row],[FRETE]]+Tabela22[[#This Row],[DESPESAS]]+Tabela22[[#This Row],[IPI]]+Tabela22[[#This Row],[Vl. Produto]])*Tabela22[[#This Row],[Aliq.%]]</f>
        <v>0</v>
      </c>
    </row>
    <row r="382" spans="13:19" x14ac:dyDescent="0.25">
      <c r="M382" s="46"/>
      <c r="N382" s="46"/>
      <c r="O382" s="46"/>
      <c r="P382" s="46"/>
      <c r="R382" s="15">
        <v>0.04</v>
      </c>
      <c r="S382" s="18">
        <f>(Tabela22[[#This Row],[FRETE]]+Tabela22[[#This Row],[DESPESAS]]+Tabela22[[#This Row],[IPI]]+Tabela22[[#This Row],[Vl. Produto]])*Tabela22[[#This Row],[Aliq.%]]</f>
        <v>0</v>
      </c>
    </row>
    <row r="383" spans="13:19" x14ac:dyDescent="0.25">
      <c r="M383" s="46"/>
      <c r="N383" s="46"/>
      <c r="O383" s="46"/>
      <c r="P383" s="46"/>
      <c r="R383" s="15">
        <v>0.04</v>
      </c>
      <c r="S383" s="18">
        <f>(Tabela22[[#This Row],[FRETE]]+Tabela22[[#This Row],[DESPESAS]]+Tabela22[[#This Row],[IPI]]+Tabela22[[#This Row],[Vl. Produto]])*Tabela22[[#This Row],[Aliq.%]]</f>
        <v>0</v>
      </c>
    </row>
    <row r="384" spans="13:19" x14ac:dyDescent="0.25">
      <c r="M384" s="46"/>
      <c r="N384" s="46"/>
      <c r="O384" s="46"/>
      <c r="P384" s="46"/>
      <c r="R384" s="15">
        <v>0.04</v>
      </c>
      <c r="S384" s="18">
        <f>(Tabela22[[#This Row],[FRETE]]+Tabela22[[#This Row],[DESPESAS]]+Tabela22[[#This Row],[IPI]]+Tabela22[[#This Row],[Vl. Produto]])*Tabela22[[#This Row],[Aliq.%]]</f>
        <v>0</v>
      </c>
    </row>
    <row r="385" spans="13:19" x14ac:dyDescent="0.25">
      <c r="M385" s="46"/>
      <c r="N385" s="46"/>
      <c r="O385" s="46"/>
      <c r="P385" s="46"/>
      <c r="R385" s="15">
        <v>0.04</v>
      </c>
      <c r="S385" s="18">
        <f>(Tabela22[[#This Row],[FRETE]]+Tabela22[[#This Row],[DESPESAS]]+Tabela22[[#This Row],[IPI]]+Tabela22[[#This Row],[Vl. Produto]])*Tabela22[[#This Row],[Aliq.%]]</f>
        <v>0</v>
      </c>
    </row>
    <row r="386" spans="13:19" x14ac:dyDescent="0.25">
      <c r="M386" s="46"/>
      <c r="N386" s="46"/>
      <c r="O386" s="46"/>
      <c r="P386" s="46"/>
      <c r="R386" s="15">
        <v>0.04</v>
      </c>
      <c r="S386" s="18">
        <f>(Tabela22[[#This Row],[FRETE]]+Tabela22[[#This Row],[DESPESAS]]+Tabela22[[#This Row],[IPI]]+Tabela22[[#This Row],[Vl. Produto]])*Tabela22[[#This Row],[Aliq.%]]</f>
        <v>0</v>
      </c>
    </row>
    <row r="387" spans="13:19" x14ac:dyDescent="0.25">
      <c r="M387" s="46"/>
      <c r="N387" s="46"/>
      <c r="O387" s="46"/>
      <c r="P387" s="46"/>
      <c r="R387" s="15">
        <v>0.04</v>
      </c>
      <c r="S387" s="18">
        <f>(Tabela22[[#This Row],[FRETE]]+Tabela22[[#This Row],[DESPESAS]]+Tabela22[[#This Row],[IPI]]+Tabela22[[#This Row],[Vl. Produto]])*Tabela22[[#This Row],[Aliq.%]]</f>
        <v>0</v>
      </c>
    </row>
    <row r="388" spans="13:19" x14ac:dyDescent="0.25">
      <c r="M388" s="46"/>
      <c r="N388" s="46"/>
      <c r="O388" s="46"/>
      <c r="P388" s="46"/>
      <c r="R388" s="15">
        <v>0.04</v>
      </c>
      <c r="S388" s="18">
        <f>(Tabela22[[#This Row],[FRETE]]+Tabela22[[#This Row],[DESPESAS]]+Tabela22[[#This Row],[IPI]]+Tabela22[[#This Row],[Vl. Produto]])*Tabela22[[#This Row],[Aliq.%]]</f>
        <v>0</v>
      </c>
    </row>
    <row r="389" spans="13:19" x14ac:dyDescent="0.25">
      <c r="M389" s="46"/>
      <c r="N389" s="46"/>
      <c r="O389" s="46"/>
      <c r="P389" s="46"/>
      <c r="R389" s="15">
        <v>0.04</v>
      </c>
      <c r="S389" s="18">
        <f>(Tabela22[[#This Row],[FRETE]]+Tabela22[[#This Row],[DESPESAS]]+Tabela22[[#This Row],[IPI]]+Tabela22[[#This Row],[Vl. Produto]])*Tabela22[[#This Row],[Aliq.%]]</f>
        <v>0</v>
      </c>
    </row>
    <row r="390" spans="13:19" x14ac:dyDescent="0.25">
      <c r="M390" s="46"/>
      <c r="N390" s="46"/>
      <c r="O390" s="46"/>
      <c r="P390" s="46"/>
      <c r="R390" s="15">
        <v>0.04</v>
      </c>
      <c r="S390" s="18">
        <f>(Tabela22[[#This Row],[FRETE]]+Tabela22[[#This Row],[DESPESAS]]+Tabela22[[#This Row],[IPI]]+Tabela22[[#This Row],[Vl. Produto]])*Tabela22[[#This Row],[Aliq.%]]</f>
        <v>0</v>
      </c>
    </row>
    <row r="391" spans="13:19" x14ac:dyDescent="0.25">
      <c r="M391" s="46"/>
      <c r="N391" s="46"/>
      <c r="O391" s="46"/>
      <c r="P391" s="46"/>
      <c r="R391" s="15">
        <v>0.04</v>
      </c>
      <c r="S391" s="18">
        <f>(Tabela22[[#This Row],[FRETE]]+Tabela22[[#This Row],[DESPESAS]]+Tabela22[[#This Row],[IPI]]+Tabela22[[#This Row],[Vl. Produto]])*Tabela22[[#This Row],[Aliq.%]]</f>
        <v>0</v>
      </c>
    </row>
    <row r="392" spans="13:19" x14ac:dyDescent="0.25">
      <c r="M392" s="46"/>
      <c r="N392" s="46"/>
      <c r="O392" s="46"/>
      <c r="P392" s="46"/>
      <c r="R392" s="15">
        <v>0.04</v>
      </c>
      <c r="S392" s="18">
        <f>(Tabela22[[#This Row],[FRETE]]+Tabela22[[#This Row],[DESPESAS]]+Tabela22[[#This Row],[IPI]]+Tabela22[[#This Row],[Vl. Produto]])*Tabela22[[#This Row],[Aliq.%]]</f>
        <v>0</v>
      </c>
    </row>
    <row r="393" spans="13:19" x14ac:dyDescent="0.25">
      <c r="M393" s="46"/>
      <c r="N393" s="46"/>
      <c r="O393" s="46"/>
      <c r="P393" s="46"/>
      <c r="R393" s="15">
        <v>0.04</v>
      </c>
      <c r="S393" s="18">
        <f>(Tabela22[[#This Row],[FRETE]]+Tabela22[[#This Row],[DESPESAS]]+Tabela22[[#This Row],[IPI]]+Tabela22[[#This Row],[Vl. Produto]])*Tabela22[[#This Row],[Aliq.%]]</f>
        <v>0</v>
      </c>
    </row>
    <row r="394" spans="13:19" x14ac:dyDescent="0.25">
      <c r="M394" s="46"/>
      <c r="N394" s="46"/>
      <c r="O394" s="46"/>
      <c r="P394" s="46"/>
      <c r="R394" s="15">
        <v>0.04</v>
      </c>
      <c r="S394" s="18">
        <f>(Tabela22[[#This Row],[FRETE]]+Tabela22[[#This Row],[DESPESAS]]+Tabela22[[#This Row],[IPI]]+Tabela22[[#This Row],[Vl. Produto]])*Tabela22[[#This Row],[Aliq.%]]</f>
        <v>0</v>
      </c>
    </row>
    <row r="395" spans="13:19" x14ac:dyDescent="0.25">
      <c r="M395" s="46"/>
      <c r="N395" s="46"/>
      <c r="O395" s="46"/>
      <c r="P395" s="46"/>
      <c r="R395" s="15">
        <v>0.04</v>
      </c>
      <c r="S395" s="18">
        <f>(Tabela22[[#This Row],[FRETE]]+Tabela22[[#This Row],[DESPESAS]]+Tabela22[[#This Row],[IPI]]+Tabela22[[#This Row],[Vl. Produto]])*Tabela22[[#This Row],[Aliq.%]]</f>
        <v>0</v>
      </c>
    </row>
    <row r="396" spans="13:19" x14ac:dyDescent="0.25">
      <c r="M396" s="46"/>
      <c r="N396" s="46"/>
      <c r="O396" s="46"/>
      <c r="P396" s="46"/>
      <c r="R396" s="15">
        <v>0.04</v>
      </c>
      <c r="S396" s="18">
        <f>(Tabela22[[#This Row],[FRETE]]+Tabela22[[#This Row],[DESPESAS]]+Tabela22[[#This Row],[IPI]]+Tabela22[[#This Row],[Vl. Produto]])*Tabela22[[#This Row],[Aliq.%]]</f>
        <v>0</v>
      </c>
    </row>
    <row r="397" spans="13:19" x14ac:dyDescent="0.25">
      <c r="M397" s="46"/>
      <c r="N397" s="46"/>
      <c r="O397" s="46"/>
      <c r="P397" s="46"/>
      <c r="R397" s="15">
        <v>0.04</v>
      </c>
      <c r="S397" s="18">
        <f>(Tabela22[[#This Row],[FRETE]]+Tabela22[[#This Row],[DESPESAS]]+Tabela22[[#This Row],[IPI]]+Tabela22[[#This Row],[Vl. Produto]])*Tabela22[[#This Row],[Aliq.%]]</f>
        <v>0</v>
      </c>
    </row>
    <row r="398" spans="13:19" x14ac:dyDescent="0.25">
      <c r="M398" s="46"/>
      <c r="N398" s="46"/>
      <c r="O398" s="46"/>
      <c r="P398" s="46"/>
      <c r="R398" s="15">
        <v>0.04</v>
      </c>
      <c r="S398" s="18">
        <f>(Tabela22[[#This Row],[FRETE]]+Tabela22[[#This Row],[DESPESAS]]+Tabela22[[#This Row],[IPI]]+Tabela22[[#This Row],[Vl. Produto]])*Tabela22[[#This Row],[Aliq.%]]</f>
        <v>0</v>
      </c>
    </row>
    <row r="399" spans="13:19" x14ac:dyDescent="0.25">
      <c r="M399" s="46"/>
      <c r="N399" s="46"/>
      <c r="O399" s="46"/>
      <c r="P399" s="46"/>
      <c r="R399" s="15">
        <v>0.04</v>
      </c>
      <c r="S399" s="18">
        <f>(Tabela22[[#This Row],[FRETE]]+Tabela22[[#This Row],[DESPESAS]]+Tabela22[[#This Row],[IPI]]+Tabela22[[#This Row],[Vl. Produto]])*Tabela22[[#This Row],[Aliq.%]]</f>
        <v>0</v>
      </c>
    </row>
    <row r="400" spans="13:19" x14ac:dyDescent="0.25">
      <c r="M400" s="46"/>
      <c r="N400" s="46"/>
      <c r="O400" s="46"/>
      <c r="P400" s="46"/>
      <c r="R400" s="15">
        <v>0.04</v>
      </c>
      <c r="S400" s="18">
        <f>(Tabela22[[#This Row],[FRETE]]+Tabela22[[#This Row],[DESPESAS]]+Tabela22[[#This Row],[IPI]]+Tabela22[[#This Row],[Vl. Produto]])*Tabela22[[#This Row],[Aliq.%]]</f>
        <v>0</v>
      </c>
    </row>
    <row r="401" spans="13:19" x14ac:dyDescent="0.25">
      <c r="M401" s="46"/>
      <c r="N401" s="46"/>
      <c r="O401" s="46"/>
      <c r="P401" s="46"/>
      <c r="R401" s="15">
        <v>0.04</v>
      </c>
      <c r="S401" s="18">
        <f>(Tabela22[[#This Row],[FRETE]]+Tabela22[[#This Row],[DESPESAS]]+Tabela22[[#This Row],[IPI]]+Tabela22[[#This Row],[Vl. Produto]])*Tabela22[[#This Row],[Aliq.%]]</f>
        <v>0</v>
      </c>
    </row>
    <row r="402" spans="13:19" x14ac:dyDescent="0.25">
      <c r="M402" s="46"/>
      <c r="N402" s="46"/>
      <c r="O402" s="46"/>
      <c r="P402" s="46"/>
      <c r="R402" s="15">
        <v>0.04</v>
      </c>
      <c r="S402" s="18">
        <f>(Tabela22[[#This Row],[FRETE]]+Tabela22[[#This Row],[DESPESAS]]+Tabela22[[#This Row],[IPI]]+Tabela22[[#This Row],[Vl. Produto]])*Tabela22[[#This Row],[Aliq.%]]</f>
        <v>0</v>
      </c>
    </row>
    <row r="403" spans="13:19" x14ac:dyDescent="0.25">
      <c r="M403" s="46"/>
      <c r="N403" s="46"/>
      <c r="O403" s="46"/>
      <c r="P403" s="46"/>
      <c r="R403" s="15">
        <v>0.04</v>
      </c>
      <c r="S403" s="18">
        <f>(Tabela22[[#This Row],[FRETE]]+Tabela22[[#This Row],[DESPESAS]]+Tabela22[[#This Row],[IPI]]+Tabela22[[#This Row],[Vl. Produto]])*Tabela22[[#This Row],[Aliq.%]]</f>
        <v>0</v>
      </c>
    </row>
    <row r="404" spans="13:19" x14ac:dyDescent="0.25">
      <c r="M404" s="46"/>
      <c r="N404" s="46"/>
      <c r="O404" s="46"/>
      <c r="P404" s="46"/>
      <c r="R404" s="15">
        <v>0.04</v>
      </c>
      <c r="S404" s="18">
        <f>(Tabela22[[#This Row],[FRETE]]+Tabela22[[#This Row],[DESPESAS]]+Tabela22[[#This Row],[IPI]]+Tabela22[[#This Row],[Vl. Produto]])*Tabela22[[#This Row],[Aliq.%]]</f>
        <v>0</v>
      </c>
    </row>
    <row r="405" spans="13:19" x14ac:dyDescent="0.25">
      <c r="M405" s="46"/>
      <c r="N405" s="46"/>
      <c r="O405" s="46"/>
      <c r="P405" s="46"/>
      <c r="R405" s="15">
        <v>0.04</v>
      </c>
      <c r="S405" s="18">
        <f>(Tabela22[[#This Row],[FRETE]]+Tabela22[[#This Row],[DESPESAS]]+Tabela22[[#This Row],[IPI]]+Tabela22[[#This Row],[Vl. Produto]])*Tabela22[[#This Row],[Aliq.%]]</f>
        <v>0</v>
      </c>
    </row>
    <row r="406" spans="13:19" x14ac:dyDescent="0.25">
      <c r="M406" s="46"/>
      <c r="N406" s="46"/>
      <c r="O406" s="46"/>
      <c r="P406" s="46"/>
      <c r="R406" s="15">
        <v>0.04</v>
      </c>
      <c r="S406" s="18">
        <f>(Tabela22[[#This Row],[FRETE]]+Tabela22[[#This Row],[DESPESAS]]+Tabela22[[#This Row],[IPI]]+Tabela22[[#This Row],[Vl. Produto]])*Tabela22[[#This Row],[Aliq.%]]</f>
        <v>0</v>
      </c>
    </row>
    <row r="407" spans="13:19" x14ac:dyDescent="0.25">
      <c r="M407" s="46"/>
      <c r="N407" s="46"/>
      <c r="O407" s="46"/>
      <c r="P407" s="46"/>
      <c r="R407" s="15">
        <v>0.04</v>
      </c>
      <c r="S407" s="18">
        <f>(Tabela22[[#This Row],[FRETE]]+Tabela22[[#This Row],[DESPESAS]]+Tabela22[[#This Row],[IPI]]+Tabela22[[#This Row],[Vl. Produto]])*Tabela22[[#This Row],[Aliq.%]]</f>
        <v>0</v>
      </c>
    </row>
    <row r="408" spans="13:19" x14ac:dyDescent="0.25">
      <c r="M408" s="46"/>
      <c r="N408" s="46"/>
      <c r="O408" s="46"/>
      <c r="P408" s="46"/>
      <c r="R408" s="15">
        <v>0.04</v>
      </c>
      <c r="S408" s="18">
        <f>(Tabela22[[#This Row],[FRETE]]+Tabela22[[#This Row],[DESPESAS]]+Tabela22[[#This Row],[IPI]]+Tabela22[[#This Row],[Vl. Produto]])*Tabela22[[#This Row],[Aliq.%]]</f>
        <v>0</v>
      </c>
    </row>
    <row r="409" spans="13:19" x14ac:dyDescent="0.25">
      <c r="M409" s="46"/>
      <c r="N409" s="46"/>
      <c r="O409" s="46"/>
      <c r="P409" s="46"/>
      <c r="R409" s="15">
        <v>0.04</v>
      </c>
      <c r="S409" s="18">
        <f>(Tabela22[[#This Row],[FRETE]]+Tabela22[[#This Row],[DESPESAS]]+Tabela22[[#This Row],[IPI]]+Tabela22[[#This Row],[Vl. Produto]])*Tabela22[[#This Row],[Aliq.%]]</f>
        <v>0</v>
      </c>
    </row>
    <row r="410" spans="13:19" x14ac:dyDescent="0.25">
      <c r="M410" s="46"/>
      <c r="N410" s="46"/>
      <c r="O410" s="46"/>
      <c r="P410" s="46"/>
      <c r="R410" s="15">
        <v>0.04</v>
      </c>
      <c r="S410" s="18">
        <f>(Tabela22[[#This Row],[FRETE]]+Tabela22[[#This Row],[DESPESAS]]+Tabela22[[#This Row],[IPI]]+Tabela22[[#This Row],[Vl. Produto]])*Tabela22[[#This Row],[Aliq.%]]</f>
        <v>0</v>
      </c>
    </row>
    <row r="411" spans="13:19" x14ac:dyDescent="0.25">
      <c r="M411" s="46"/>
      <c r="N411" s="46"/>
      <c r="O411" s="46"/>
      <c r="P411" s="46"/>
      <c r="R411" s="15">
        <v>0.04</v>
      </c>
      <c r="S411" s="18">
        <f>(Tabela22[[#This Row],[FRETE]]+Tabela22[[#This Row],[DESPESAS]]+Tabela22[[#This Row],[IPI]]+Tabela22[[#This Row],[Vl. Produto]])*Tabela22[[#This Row],[Aliq.%]]</f>
        <v>0</v>
      </c>
    </row>
    <row r="412" spans="13:19" x14ac:dyDescent="0.25">
      <c r="M412" s="46"/>
      <c r="N412" s="46"/>
      <c r="O412" s="46"/>
      <c r="P412" s="46"/>
      <c r="R412" s="15">
        <v>0.04</v>
      </c>
      <c r="S412" s="18">
        <f>(Tabela22[[#This Row],[FRETE]]+Tabela22[[#This Row],[DESPESAS]]+Tabela22[[#This Row],[IPI]]+Tabela22[[#This Row],[Vl. Produto]])*Tabela22[[#This Row],[Aliq.%]]</f>
        <v>0</v>
      </c>
    </row>
    <row r="413" spans="13:19" x14ac:dyDescent="0.25">
      <c r="M413" s="46"/>
      <c r="N413" s="46"/>
      <c r="O413" s="46"/>
      <c r="P413" s="46"/>
      <c r="R413" s="15">
        <v>0.04</v>
      </c>
      <c r="S413" s="18">
        <f>(Tabela22[[#This Row],[FRETE]]+Tabela22[[#This Row],[DESPESAS]]+Tabela22[[#This Row],[IPI]]+Tabela22[[#This Row],[Vl. Produto]])*Tabela22[[#This Row],[Aliq.%]]</f>
        <v>0</v>
      </c>
    </row>
    <row r="414" spans="13:19" x14ac:dyDescent="0.25">
      <c r="M414" s="46"/>
      <c r="N414" s="46"/>
      <c r="O414" s="46"/>
      <c r="P414" s="46"/>
      <c r="R414" s="15">
        <v>0.04</v>
      </c>
      <c r="S414" s="18">
        <f>(Tabela22[[#This Row],[FRETE]]+Tabela22[[#This Row],[DESPESAS]]+Tabela22[[#This Row],[IPI]]+Tabela22[[#This Row],[Vl. Produto]])*Tabela22[[#This Row],[Aliq.%]]</f>
        <v>0</v>
      </c>
    </row>
    <row r="415" spans="13:19" x14ac:dyDescent="0.25">
      <c r="M415" s="46"/>
      <c r="N415" s="46"/>
      <c r="O415" s="46"/>
      <c r="P415" s="46"/>
      <c r="R415" s="15">
        <v>0.04</v>
      </c>
      <c r="S415" s="18">
        <f>(Tabela22[[#This Row],[FRETE]]+Tabela22[[#This Row],[DESPESAS]]+Tabela22[[#This Row],[IPI]]+Tabela22[[#This Row],[Vl. Produto]])*Tabela22[[#This Row],[Aliq.%]]</f>
        <v>0</v>
      </c>
    </row>
    <row r="416" spans="13:19" x14ac:dyDescent="0.25">
      <c r="M416" s="46"/>
      <c r="N416" s="46"/>
      <c r="O416" s="46"/>
      <c r="P416" s="46"/>
      <c r="R416" s="15">
        <v>0.04</v>
      </c>
      <c r="S416" s="18">
        <f>(Tabela22[[#This Row],[FRETE]]+Tabela22[[#This Row],[DESPESAS]]+Tabela22[[#This Row],[IPI]]+Tabela22[[#This Row],[Vl. Produto]])*Tabela22[[#This Row],[Aliq.%]]</f>
        <v>0</v>
      </c>
    </row>
    <row r="417" spans="13:19" x14ac:dyDescent="0.25">
      <c r="M417" s="46"/>
      <c r="N417" s="46"/>
      <c r="O417" s="46"/>
      <c r="P417" s="46"/>
      <c r="R417" s="15">
        <v>0.04</v>
      </c>
      <c r="S417" s="18">
        <f>(Tabela22[[#This Row],[FRETE]]+Tabela22[[#This Row],[DESPESAS]]+Tabela22[[#This Row],[IPI]]+Tabela22[[#This Row],[Vl. Produto]])*Tabela22[[#This Row],[Aliq.%]]</f>
        <v>0</v>
      </c>
    </row>
    <row r="418" spans="13:19" x14ac:dyDescent="0.25">
      <c r="M418" s="46"/>
      <c r="N418" s="46"/>
      <c r="O418" s="46"/>
      <c r="P418" s="46"/>
      <c r="R418" s="15">
        <v>0.04</v>
      </c>
      <c r="S418" s="18">
        <f>(Tabela22[[#This Row],[FRETE]]+Tabela22[[#This Row],[DESPESAS]]+Tabela22[[#This Row],[IPI]]+Tabela22[[#This Row],[Vl. Produto]])*Tabela22[[#This Row],[Aliq.%]]</f>
        <v>0</v>
      </c>
    </row>
    <row r="419" spans="13:19" x14ac:dyDescent="0.25">
      <c r="M419" s="46"/>
      <c r="N419" s="46"/>
      <c r="O419" s="46"/>
      <c r="P419" s="46"/>
      <c r="R419" s="15">
        <v>0.04</v>
      </c>
      <c r="S419" s="18">
        <f>(Tabela22[[#This Row],[FRETE]]+Tabela22[[#This Row],[DESPESAS]]+Tabela22[[#This Row],[IPI]]+Tabela22[[#This Row],[Vl. Produto]])*Tabela22[[#This Row],[Aliq.%]]</f>
        <v>0</v>
      </c>
    </row>
    <row r="420" spans="13:19" x14ac:dyDescent="0.25">
      <c r="M420" s="46"/>
      <c r="N420" s="46"/>
      <c r="O420" s="46"/>
      <c r="P420" s="46"/>
      <c r="R420" s="15">
        <v>0.04</v>
      </c>
      <c r="S420" s="18">
        <f>(Tabela22[[#This Row],[FRETE]]+Tabela22[[#This Row],[DESPESAS]]+Tabela22[[#This Row],[IPI]]+Tabela22[[#This Row],[Vl. Produto]])*Tabela22[[#This Row],[Aliq.%]]</f>
        <v>0</v>
      </c>
    </row>
    <row r="421" spans="13:19" x14ac:dyDescent="0.25">
      <c r="M421" s="46"/>
      <c r="N421" s="46"/>
      <c r="O421" s="46"/>
      <c r="P421" s="46"/>
      <c r="R421" s="15">
        <v>0.04</v>
      </c>
      <c r="S421" s="18">
        <f>(Tabela22[[#This Row],[FRETE]]+Tabela22[[#This Row],[DESPESAS]]+Tabela22[[#This Row],[IPI]]+Tabela22[[#This Row],[Vl. Produto]])*Tabela22[[#This Row],[Aliq.%]]</f>
        <v>0</v>
      </c>
    </row>
    <row r="422" spans="13:19" x14ac:dyDescent="0.25">
      <c r="M422" s="46"/>
      <c r="N422" s="46"/>
      <c r="O422" s="46"/>
      <c r="P422" s="46"/>
      <c r="R422" s="15">
        <v>0.04</v>
      </c>
      <c r="S422" s="18">
        <f>(Tabela22[[#This Row],[FRETE]]+Tabela22[[#This Row],[DESPESAS]]+Tabela22[[#This Row],[IPI]]+Tabela22[[#This Row],[Vl. Produto]])*Tabela22[[#This Row],[Aliq.%]]</f>
        <v>0</v>
      </c>
    </row>
    <row r="423" spans="13:19" x14ac:dyDescent="0.25">
      <c r="M423" s="46"/>
      <c r="N423" s="46"/>
      <c r="O423" s="46"/>
      <c r="P423" s="46"/>
      <c r="R423" s="15">
        <v>0.04</v>
      </c>
      <c r="S423" s="18">
        <f>(Tabela22[[#This Row],[FRETE]]+Tabela22[[#This Row],[DESPESAS]]+Tabela22[[#This Row],[IPI]]+Tabela22[[#This Row],[Vl. Produto]])*Tabela22[[#This Row],[Aliq.%]]</f>
        <v>0</v>
      </c>
    </row>
    <row r="424" spans="13:19" x14ac:dyDescent="0.25">
      <c r="M424" s="46"/>
      <c r="N424" s="46"/>
      <c r="O424" s="46"/>
      <c r="P424" s="46"/>
      <c r="R424" s="15">
        <v>0.04</v>
      </c>
      <c r="S424" s="18">
        <f>(Tabela22[[#This Row],[FRETE]]+Tabela22[[#This Row],[DESPESAS]]+Tabela22[[#This Row],[IPI]]+Tabela22[[#This Row],[Vl. Produto]])*Tabela22[[#This Row],[Aliq.%]]</f>
        <v>0</v>
      </c>
    </row>
    <row r="425" spans="13:19" x14ac:dyDescent="0.25">
      <c r="M425" s="46"/>
      <c r="N425" s="46"/>
      <c r="O425" s="46"/>
      <c r="P425" s="46"/>
      <c r="R425" s="15">
        <v>0.04</v>
      </c>
      <c r="S425" s="18">
        <f>(Tabela22[[#This Row],[FRETE]]+Tabela22[[#This Row],[DESPESAS]]+Tabela22[[#This Row],[IPI]]+Tabela22[[#This Row],[Vl. Produto]])*Tabela22[[#This Row],[Aliq.%]]</f>
        <v>0</v>
      </c>
    </row>
    <row r="426" spans="13:19" x14ac:dyDescent="0.25">
      <c r="M426" s="46"/>
      <c r="N426" s="46"/>
      <c r="O426" s="46"/>
      <c r="P426" s="46"/>
      <c r="R426" s="15">
        <v>0.04</v>
      </c>
      <c r="S426" s="18">
        <f>(Tabela22[[#This Row],[FRETE]]+Tabela22[[#This Row],[DESPESAS]]+Tabela22[[#This Row],[IPI]]+Tabela22[[#This Row],[Vl. Produto]])*Tabela22[[#This Row],[Aliq.%]]</f>
        <v>0</v>
      </c>
    </row>
    <row r="427" spans="13:19" x14ac:dyDescent="0.25">
      <c r="M427" s="46"/>
      <c r="N427" s="46"/>
      <c r="O427" s="46"/>
      <c r="P427" s="46"/>
      <c r="R427" s="15">
        <v>0.04</v>
      </c>
      <c r="S427" s="18">
        <f>(Tabela22[[#This Row],[FRETE]]+Tabela22[[#This Row],[DESPESAS]]+Tabela22[[#This Row],[IPI]]+Tabela22[[#This Row],[Vl. Produto]])*Tabela22[[#This Row],[Aliq.%]]</f>
        <v>0</v>
      </c>
    </row>
    <row r="428" spans="13:19" x14ac:dyDescent="0.25">
      <c r="M428" s="46"/>
      <c r="N428" s="46"/>
      <c r="O428" s="46"/>
      <c r="P428" s="46"/>
      <c r="R428" s="15">
        <v>0.04</v>
      </c>
      <c r="S428" s="18">
        <f>(Tabela22[[#This Row],[FRETE]]+Tabela22[[#This Row],[DESPESAS]]+Tabela22[[#This Row],[IPI]]+Tabela22[[#This Row],[Vl. Produto]])*Tabela22[[#This Row],[Aliq.%]]</f>
        <v>0</v>
      </c>
    </row>
    <row r="429" spans="13:19" x14ac:dyDescent="0.25">
      <c r="M429" s="46"/>
      <c r="N429" s="46"/>
      <c r="O429" s="46"/>
      <c r="P429" s="46"/>
      <c r="R429" s="15">
        <v>0.04</v>
      </c>
      <c r="S429" s="18">
        <f>(Tabela22[[#This Row],[FRETE]]+Tabela22[[#This Row],[DESPESAS]]+Tabela22[[#This Row],[IPI]]+Tabela22[[#This Row],[Vl. Produto]])*Tabela22[[#This Row],[Aliq.%]]</f>
        <v>0</v>
      </c>
    </row>
    <row r="430" spans="13:19" x14ac:dyDescent="0.25">
      <c r="M430" s="46"/>
      <c r="N430" s="46"/>
      <c r="O430" s="46"/>
      <c r="P430" s="46"/>
      <c r="R430" s="15">
        <v>0.04</v>
      </c>
      <c r="S430" s="18">
        <f>(Tabela22[[#This Row],[FRETE]]+Tabela22[[#This Row],[DESPESAS]]+Tabela22[[#This Row],[IPI]]+Tabela22[[#This Row],[Vl. Produto]])*Tabela22[[#This Row],[Aliq.%]]</f>
        <v>0</v>
      </c>
    </row>
    <row r="431" spans="13:19" x14ac:dyDescent="0.25">
      <c r="M431" s="46"/>
      <c r="N431" s="46"/>
      <c r="O431" s="46"/>
      <c r="P431" s="46"/>
      <c r="R431" s="15">
        <v>0.04</v>
      </c>
      <c r="S431" s="18">
        <f>(Tabela22[[#This Row],[FRETE]]+Tabela22[[#This Row],[DESPESAS]]+Tabela22[[#This Row],[IPI]]+Tabela22[[#This Row],[Vl. Produto]])*Tabela22[[#This Row],[Aliq.%]]</f>
        <v>0</v>
      </c>
    </row>
    <row r="432" spans="13:19" x14ac:dyDescent="0.25">
      <c r="M432" s="46"/>
      <c r="N432" s="46"/>
      <c r="O432" s="46"/>
      <c r="P432" s="46"/>
      <c r="R432" s="15">
        <v>0.04</v>
      </c>
      <c r="S432" s="18">
        <f>(Tabela22[[#This Row],[FRETE]]+Tabela22[[#This Row],[DESPESAS]]+Tabela22[[#This Row],[IPI]]+Tabela22[[#This Row],[Vl. Produto]])*Tabela22[[#This Row],[Aliq.%]]</f>
        <v>0</v>
      </c>
    </row>
    <row r="433" spans="13:19" x14ac:dyDescent="0.25">
      <c r="M433" s="46"/>
      <c r="N433" s="46"/>
      <c r="O433" s="46"/>
      <c r="P433" s="46"/>
      <c r="R433" s="15">
        <v>0.04</v>
      </c>
      <c r="S433" s="18">
        <f>(Tabela22[[#This Row],[FRETE]]+Tabela22[[#This Row],[DESPESAS]]+Tabela22[[#This Row],[IPI]]+Tabela22[[#This Row],[Vl. Produto]])*Tabela22[[#This Row],[Aliq.%]]</f>
        <v>0</v>
      </c>
    </row>
    <row r="434" spans="13:19" x14ac:dyDescent="0.25">
      <c r="M434" s="46"/>
      <c r="N434" s="46"/>
      <c r="O434" s="46"/>
      <c r="P434" s="46"/>
      <c r="R434" s="15">
        <v>0.04</v>
      </c>
      <c r="S434" s="18">
        <f>(Tabela22[[#This Row],[FRETE]]+Tabela22[[#This Row],[DESPESAS]]+Tabela22[[#This Row],[IPI]]+Tabela22[[#This Row],[Vl. Produto]])*Tabela22[[#This Row],[Aliq.%]]</f>
        <v>0</v>
      </c>
    </row>
    <row r="435" spans="13:19" x14ac:dyDescent="0.25">
      <c r="M435" s="46"/>
      <c r="N435" s="46"/>
      <c r="O435" s="46"/>
      <c r="P435" s="46"/>
      <c r="R435" s="15">
        <v>0.04</v>
      </c>
      <c r="S435" s="18">
        <f>(Tabela22[[#This Row],[FRETE]]+Tabela22[[#This Row],[DESPESAS]]+Tabela22[[#This Row],[IPI]]+Tabela22[[#This Row],[Vl. Produto]])*Tabela22[[#This Row],[Aliq.%]]</f>
        <v>0</v>
      </c>
    </row>
    <row r="436" spans="13:19" x14ac:dyDescent="0.25">
      <c r="M436" s="46"/>
      <c r="N436" s="46"/>
      <c r="O436" s="46"/>
      <c r="P436" s="46"/>
      <c r="R436" s="15">
        <v>0.04</v>
      </c>
      <c r="S436" s="18">
        <f>(Tabela22[[#This Row],[FRETE]]+Tabela22[[#This Row],[DESPESAS]]+Tabela22[[#This Row],[IPI]]+Tabela22[[#This Row],[Vl. Produto]])*Tabela22[[#This Row],[Aliq.%]]</f>
        <v>0</v>
      </c>
    </row>
    <row r="437" spans="13:19" x14ac:dyDescent="0.25">
      <c r="M437" s="46"/>
      <c r="N437" s="46"/>
      <c r="O437" s="46"/>
      <c r="P437" s="46"/>
      <c r="R437" s="15">
        <v>0.04</v>
      </c>
      <c r="S437" s="18">
        <f>(Tabela22[[#This Row],[FRETE]]+Tabela22[[#This Row],[DESPESAS]]+Tabela22[[#This Row],[IPI]]+Tabela22[[#This Row],[Vl. Produto]])*Tabela22[[#This Row],[Aliq.%]]</f>
        <v>0</v>
      </c>
    </row>
    <row r="438" spans="13:19" x14ac:dyDescent="0.25">
      <c r="M438" s="46"/>
      <c r="N438" s="46"/>
      <c r="O438" s="46"/>
      <c r="P438" s="46"/>
      <c r="R438" s="15">
        <v>0.04</v>
      </c>
      <c r="S438" s="18">
        <f>(Tabela22[[#This Row],[FRETE]]+Tabela22[[#This Row],[DESPESAS]]+Tabela22[[#This Row],[IPI]]+Tabela22[[#This Row],[Vl. Produto]])*Tabela22[[#This Row],[Aliq.%]]</f>
        <v>0</v>
      </c>
    </row>
    <row r="439" spans="13:19" x14ac:dyDescent="0.25">
      <c r="M439" s="46"/>
      <c r="N439" s="46"/>
      <c r="O439" s="46"/>
      <c r="P439" s="46"/>
      <c r="R439" s="15">
        <v>0.04</v>
      </c>
      <c r="S439" s="18">
        <f>(Tabela22[[#This Row],[FRETE]]+Tabela22[[#This Row],[DESPESAS]]+Tabela22[[#This Row],[IPI]]+Tabela22[[#This Row],[Vl. Produto]])*Tabela22[[#This Row],[Aliq.%]]</f>
        <v>0</v>
      </c>
    </row>
    <row r="440" spans="13:19" x14ac:dyDescent="0.25">
      <c r="M440" s="46"/>
      <c r="N440" s="46"/>
      <c r="O440" s="46"/>
      <c r="P440" s="46"/>
      <c r="R440" s="15">
        <v>0.04</v>
      </c>
      <c r="S440" s="18">
        <f>(Tabela22[[#This Row],[FRETE]]+Tabela22[[#This Row],[DESPESAS]]+Tabela22[[#This Row],[IPI]]+Tabela22[[#This Row],[Vl. Produto]])*Tabela22[[#This Row],[Aliq.%]]</f>
        <v>0</v>
      </c>
    </row>
    <row r="441" spans="13:19" x14ac:dyDescent="0.25">
      <c r="M441" s="46"/>
      <c r="N441" s="46"/>
      <c r="O441" s="46"/>
      <c r="P441" s="46"/>
      <c r="R441" s="15">
        <v>0.04</v>
      </c>
      <c r="S441" s="18">
        <f>(Tabela22[[#This Row],[FRETE]]+Tabela22[[#This Row],[DESPESAS]]+Tabela22[[#This Row],[IPI]]+Tabela22[[#This Row],[Vl. Produto]])*Tabela22[[#This Row],[Aliq.%]]</f>
        <v>0</v>
      </c>
    </row>
    <row r="442" spans="13:19" x14ac:dyDescent="0.25">
      <c r="M442" s="46"/>
      <c r="N442" s="46"/>
      <c r="O442" s="46"/>
      <c r="P442" s="46"/>
      <c r="R442" s="15">
        <v>0.04</v>
      </c>
      <c r="S442" s="18">
        <f>(Tabela22[[#This Row],[FRETE]]+Tabela22[[#This Row],[DESPESAS]]+Tabela22[[#This Row],[IPI]]+Tabela22[[#This Row],[Vl. Produto]])*Tabela22[[#This Row],[Aliq.%]]</f>
        <v>0</v>
      </c>
    </row>
    <row r="443" spans="13:19" x14ac:dyDescent="0.25">
      <c r="M443" s="46"/>
      <c r="N443" s="46"/>
      <c r="O443" s="46"/>
      <c r="P443" s="46"/>
      <c r="R443" s="15">
        <v>0.04</v>
      </c>
      <c r="S443" s="18">
        <f>(Tabela22[[#This Row],[FRETE]]+Tabela22[[#This Row],[DESPESAS]]+Tabela22[[#This Row],[IPI]]+Tabela22[[#This Row],[Vl. Produto]])*Tabela22[[#This Row],[Aliq.%]]</f>
        <v>0</v>
      </c>
    </row>
    <row r="444" spans="13:19" x14ac:dyDescent="0.25">
      <c r="M444" s="46"/>
      <c r="N444" s="46"/>
      <c r="O444" s="46"/>
      <c r="P444" s="46"/>
      <c r="R444" s="15">
        <v>0.04</v>
      </c>
      <c r="S444" s="18">
        <f>(Tabela22[[#This Row],[FRETE]]+Tabela22[[#This Row],[DESPESAS]]+Tabela22[[#This Row],[IPI]]+Tabela22[[#This Row],[Vl. Produto]])*Tabela22[[#This Row],[Aliq.%]]</f>
        <v>0</v>
      </c>
    </row>
    <row r="445" spans="13:19" x14ac:dyDescent="0.25">
      <c r="M445" s="46"/>
      <c r="N445" s="46"/>
      <c r="O445" s="46"/>
      <c r="P445" s="46"/>
      <c r="R445" s="15">
        <v>0.04</v>
      </c>
      <c r="S445" s="18">
        <f>(Tabela22[[#This Row],[FRETE]]+Tabela22[[#This Row],[DESPESAS]]+Tabela22[[#This Row],[IPI]]+Tabela22[[#This Row],[Vl. Produto]])*Tabela22[[#This Row],[Aliq.%]]</f>
        <v>0</v>
      </c>
    </row>
    <row r="446" spans="13:19" x14ac:dyDescent="0.25">
      <c r="M446" s="46"/>
      <c r="N446" s="46"/>
      <c r="O446" s="46"/>
      <c r="P446" s="46"/>
      <c r="R446" s="15">
        <v>0.04</v>
      </c>
      <c r="S446" s="18">
        <f>(Tabela22[[#This Row],[FRETE]]+Tabela22[[#This Row],[DESPESAS]]+Tabela22[[#This Row],[IPI]]+Tabela22[[#This Row],[Vl. Produto]])*Tabela22[[#This Row],[Aliq.%]]</f>
        <v>0</v>
      </c>
    </row>
    <row r="447" spans="13:19" x14ac:dyDescent="0.25">
      <c r="M447" s="46"/>
      <c r="N447" s="46"/>
      <c r="O447" s="46"/>
      <c r="P447" s="46"/>
      <c r="R447" s="15">
        <v>0.04</v>
      </c>
      <c r="S447" s="18">
        <f>(Tabela22[[#This Row],[FRETE]]+Tabela22[[#This Row],[DESPESAS]]+Tabela22[[#This Row],[IPI]]+Tabela22[[#This Row],[Vl. Produto]])*Tabela22[[#This Row],[Aliq.%]]</f>
        <v>0</v>
      </c>
    </row>
    <row r="448" spans="13:19" x14ac:dyDescent="0.25">
      <c r="M448" s="46"/>
      <c r="N448" s="46"/>
      <c r="O448" s="46"/>
      <c r="P448" s="46"/>
      <c r="R448" s="15">
        <v>0.04</v>
      </c>
      <c r="S448" s="18">
        <f>(Tabela22[[#This Row],[FRETE]]+Tabela22[[#This Row],[DESPESAS]]+Tabela22[[#This Row],[IPI]]+Tabela22[[#This Row],[Vl. Produto]])*Tabela22[[#This Row],[Aliq.%]]</f>
        <v>0</v>
      </c>
    </row>
    <row r="449" spans="13:19" x14ac:dyDescent="0.25">
      <c r="M449" s="46"/>
      <c r="N449" s="46"/>
      <c r="O449" s="46"/>
      <c r="P449" s="46"/>
      <c r="R449" s="15">
        <v>0.04</v>
      </c>
      <c r="S449" s="18">
        <f>(Tabela22[[#This Row],[FRETE]]+Tabela22[[#This Row],[DESPESAS]]+Tabela22[[#This Row],[IPI]]+Tabela22[[#This Row],[Vl. Produto]])*Tabela22[[#This Row],[Aliq.%]]</f>
        <v>0</v>
      </c>
    </row>
    <row r="450" spans="13:19" x14ac:dyDescent="0.25">
      <c r="M450" s="46"/>
      <c r="N450" s="46"/>
      <c r="O450" s="46"/>
      <c r="P450" s="46"/>
      <c r="R450" s="15">
        <v>0.04</v>
      </c>
      <c r="S450" s="18">
        <f>(Tabela22[[#This Row],[FRETE]]+Tabela22[[#This Row],[DESPESAS]]+Tabela22[[#This Row],[IPI]]+Tabela22[[#This Row],[Vl. Produto]])*Tabela22[[#This Row],[Aliq.%]]</f>
        <v>0</v>
      </c>
    </row>
    <row r="451" spans="13:19" x14ac:dyDescent="0.25">
      <c r="M451" s="46"/>
      <c r="N451" s="46"/>
      <c r="O451" s="46"/>
      <c r="P451" s="46"/>
      <c r="R451" s="15">
        <v>0.04</v>
      </c>
      <c r="S451" s="18">
        <f>(Tabela22[[#This Row],[FRETE]]+Tabela22[[#This Row],[DESPESAS]]+Tabela22[[#This Row],[IPI]]+Tabela22[[#This Row],[Vl. Produto]])*Tabela22[[#This Row],[Aliq.%]]</f>
        <v>0</v>
      </c>
    </row>
    <row r="452" spans="13:19" x14ac:dyDescent="0.25">
      <c r="M452" s="46"/>
      <c r="N452" s="46"/>
      <c r="O452" s="46"/>
      <c r="P452" s="46"/>
      <c r="R452" s="15">
        <v>0.04</v>
      </c>
      <c r="S452" s="18">
        <f>(Tabela22[[#This Row],[FRETE]]+Tabela22[[#This Row],[DESPESAS]]+Tabela22[[#This Row],[IPI]]+Tabela22[[#This Row],[Vl. Produto]])*Tabela22[[#This Row],[Aliq.%]]</f>
        <v>0</v>
      </c>
    </row>
    <row r="453" spans="13:19" x14ac:dyDescent="0.25">
      <c r="M453" s="46"/>
      <c r="N453" s="46"/>
      <c r="O453" s="46"/>
      <c r="P453" s="46"/>
      <c r="R453" s="15">
        <v>0.04</v>
      </c>
      <c r="S453" s="18">
        <f>(Tabela22[[#This Row],[FRETE]]+Tabela22[[#This Row],[DESPESAS]]+Tabela22[[#This Row],[IPI]]+Tabela22[[#This Row],[Vl. Produto]])*Tabela22[[#This Row],[Aliq.%]]</f>
        <v>0</v>
      </c>
    </row>
    <row r="454" spans="13:19" x14ac:dyDescent="0.25">
      <c r="M454" s="46"/>
      <c r="N454" s="46"/>
      <c r="O454" s="46"/>
      <c r="P454" s="46"/>
      <c r="R454" s="15">
        <v>0.04</v>
      </c>
      <c r="S454" s="18">
        <f>(Tabela22[[#This Row],[FRETE]]+Tabela22[[#This Row],[DESPESAS]]+Tabela22[[#This Row],[IPI]]+Tabela22[[#This Row],[Vl. Produto]])*Tabela22[[#This Row],[Aliq.%]]</f>
        <v>0</v>
      </c>
    </row>
    <row r="455" spans="13:19" x14ac:dyDescent="0.25">
      <c r="M455" s="46"/>
      <c r="N455" s="46"/>
      <c r="O455" s="46"/>
      <c r="P455" s="46"/>
      <c r="R455" s="15">
        <v>0.04</v>
      </c>
      <c r="S455" s="18">
        <f>(Tabela22[[#This Row],[FRETE]]+Tabela22[[#This Row],[DESPESAS]]+Tabela22[[#This Row],[IPI]]+Tabela22[[#This Row],[Vl. Produto]])*Tabela22[[#This Row],[Aliq.%]]</f>
        <v>0</v>
      </c>
    </row>
    <row r="456" spans="13:19" x14ac:dyDescent="0.25">
      <c r="M456" s="46"/>
      <c r="N456" s="46"/>
      <c r="O456" s="46"/>
      <c r="P456" s="46"/>
      <c r="R456" s="15">
        <v>0.04</v>
      </c>
      <c r="S456" s="18">
        <f>(Tabela22[[#This Row],[FRETE]]+Tabela22[[#This Row],[DESPESAS]]+Tabela22[[#This Row],[IPI]]+Tabela22[[#This Row],[Vl. Produto]])*Tabela22[[#This Row],[Aliq.%]]</f>
        <v>0</v>
      </c>
    </row>
    <row r="457" spans="13:19" x14ac:dyDescent="0.25">
      <c r="M457" s="46"/>
      <c r="N457" s="46"/>
      <c r="O457" s="46"/>
      <c r="P457" s="46"/>
      <c r="R457" s="15">
        <v>0.04</v>
      </c>
      <c r="S457" s="18">
        <f>(Tabela22[[#This Row],[FRETE]]+Tabela22[[#This Row],[DESPESAS]]+Tabela22[[#This Row],[IPI]]+Tabela22[[#This Row],[Vl. Produto]])*Tabela22[[#This Row],[Aliq.%]]</f>
        <v>0</v>
      </c>
    </row>
    <row r="458" spans="13:19" x14ac:dyDescent="0.25">
      <c r="M458" s="46"/>
      <c r="N458" s="46"/>
      <c r="O458" s="46"/>
      <c r="P458" s="46"/>
      <c r="R458" s="15">
        <v>0.04</v>
      </c>
      <c r="S458" s="18">
        <f>(Tabela22[[#This Row],[FRETE]]+Tabela22[[#This Row],[DESPESAS]]+Tabela22[[#This Row],[IPI]]+Tabela22[[#This Row],[Vl. Produto]])*Tabela22[[#This Row],[Aliq.%]]</f>
        <v>0</v>
      </c>
    </row>
    <row r="459" spans="13:19" x14ac:dyDescent="0.25">
      <c r="M459" s="46"/>
      <c r="N459" s="46"/>
      <c r="O459" s="46"/>
      <c r="P459" s="46"/>
      <c r="R459" s="15">
        <v>0.04</v>
      </c>
      <c r="S459" s="18">
        <f>(Tabela22[[#This Row],[FRETE]]+Tabela22[[#This Row],[DESPESAS]]+Tabela22[[#This Row],[IPI]]+Tabela22[[#This Row],[Vl. Produto]])*Tabela22[[#This Row],[Aliq.%]]</f>
        <v>0</v>
      </c>
    </row>
    <row r="460" spans="13:19" x14ac:dyDescent="0.25">
      <c r="M460" s="46"/>
      <c r="N460" s="46"/>
      <c r="O460" s="46"/>
      <c r="P460" s="46"/>
      <c r="R460" s="15">
        <v>0.04</v>
      </c>
      <c r="S460" s="18">
        <f>(Tabela22[[#This Row],[FRETE]]+Tabela22[[#This Row],[DESPESAS]]+Tabela22[[#This Row],[IPI]]+Tabela22[[#This Row],[Vl. Produto]])*Tabela22[[#This Row],[Aliq.%]]</f>
        <v>0</v>
      </c>
    </row>
    <row r="461" spans="13:19" x14ac:dyDescent="0.25">
      <c r="M461" s="46"/>
      <c r="N461" s="46"/>
      <c r="O461" s="46"/>
      <c r="P461" s="46"/>
      <c r="R461" s="15">
        <v>0.04</v>
      </c>
      <c r="S461" s="18">
        <f>(Tabela22[[#This Row],[FRETE]]+Tabela22[[#This Row],[DESPESAS]]+Tabela22[[#This Row],[IPI]]+Tabela22[[#This Row],[Vl. Produto]])*Tabela22[[#This Row],[Aliq.%]]</f>
        <v>0</v>
      </c>
    </row>
    <row r="462" spans="13:19" x14ac:dyDescent="0.25">
      <c r="M462" s="46"/>
      <c r="N462" s="46"/>
      <c r="O462" s="46"/>
      <c r="P462" s="46"/>
      <c r="R462" s="15">
        <v>0.04</v>
      </c>
      <c r="S462" s="18">
        <f>(Tabela22[[#This Row],[FRETE]]+Tabela22[[#This Row],[DESPESAS]]+Tabela22[[#This Row],[IPI]]+Tabela22[[#This Row],[Vl. Produto]])*Tabela22[[#This Row],[Aliq.%]]</f>
        <v>0</v>
      </c>
    </row>
    <row r="463" spans="13:19" x14ac:dyDescent="0.25">
      <c r="M463" s="46"/>
      <c r="N463" s="46"/>
      <c r="O463" s="46"/>
      <c r="P463" s="46"/>
      <c r="R463" s="15">
        <v>0.04</v>
      </c>
      <c r="S463" s="18">
        <f>(Tabela22[[#This Row],[FRETE]]+Tabela22[[#This Row],[DESPESAS]]+Tabela22[[#This Row],[IPI]]+Tabela22[[#This Row],[Vl. Produto]])*Tabela22[[#This Row],[Aliq.%]]</f>
        <v>0</v>
      </c>
    </row>
    <row r="464" spans="13:19" x14ac:dyDescent="0.25">
      <c r="M464" s="46"/>
      <c r="N464" s="46"/>
      <c r="O464" s="46"/>
      <c r="P464" s="46"/>
      <c r="R464" s="15">
        <v>0.04</v>
      </c>
      <c r="S464" s="18">
        <f>(Tabela22[[#This Row],[FRETE]]+Tabela22[[#This Row],[DESPESAS]]+Tabela22[[#This Row],[IPI]]+Tabela22[[#This Row],[Vl. Produto]])*Tabela22[[#This Row],[Aliq.%]]</f>
        <v>0</v>
      </c>
    </row>
    <row r="465" spans="13:19" x14ac:dyDescent="0.25">
      <c r="M465" s="46"/>
      <c r="N465" s="46"/>
      <c r="O465" s="46"/>
      <c r="P465" s="46"/>
      <c r="R465" s="15">
        <v>0.04</v>
      </c>
      <c r="S465" s="18">
        <f>(Tabela22[[#This Row],[FRETE]]+Tabela22[[#This Row],[DESPESAS]]+Tabela22[[#This Row],[IPI]]+Tabela22[[#This Row],[Vl. Produto]])*Tabela22[[#This Row],[Aliq.%]]</f>
        <v>0</v>
      </c>
    </row>
    <row r="466" spans="13:19" x14ac:dyDescent="0.25">
      <c r="M466" s="46"/>
      <c r="N466" s="46"/>
      <c r="O466" s="46"/>
      <c r="P466" s="46"/>
      <c r="R466" s="15">
        <v>0.04</v>
      </c>
      <c r="S466" s="18">
        <f>(Tabela22[[#This Row],[FRETE]]+Tabela22[[#This Row],[DESPESAS]]+Tabela22[[#This Row],[IPI]]+Tabela22[[#This Row],[Vl. Produto]])*Tabela22[[#This Row],[Aliq.%]]</f>
        <v>0</v>
      </c>
    </row>
    <row r="467" spans="13:19" x14ac:dyDescent="0.25">
      <c r="M467" s="46"/>
      <c r="N467" s="46"/>
      <c r="O467" s="46"/>
      <c r="P467" s="46"/>
      <c r="R467" s="15">
        <v>0.04</v>
      </c>
      <c r="S467" s="18">
        <f>(Tabela22[[#This Row],[FRETE]]+Tabela22[[#This Row],[DESPESAS]]+Tabela22[[#This Row],[IPI]]+Tabela22[[#This Row],[Vl. Produto]])*Tabela22[[#This Row],[Aliq.%]]</f>
        <v>0</v>
      </c>
    </row>
    <row r="468" spans="13:19" x14ac:dyDescent="0.25">
      <c r="M468" s="46"/>
      <c r="N468" s="46"/>
      <c r="O468" s="46"/>
      <c r="P468" s="46"/>
      <c r="R468" s="15">
        <v>0.04</v>
      </c>
      <c r="S468" s="18">
        <f>(Tabela22[[#This Row],[FRETE]]+Tabela22[[#This Row],[DESPESAS]]+Tabela22[[#This Row],[IPI]]+Tabela22[[#This Row],[Vl. Produto]])*Tabela22[[#This Row],[Aliq.%]]</f>
        <v>0</v>
      </c>
    </row>
    <row r="469" spans="13:19" x14ac:dyDescent="0.25">
      <c r="M469" s="46"/>
      <c r="N469" s="46"/>
      <c r="O469" s="46"/>
      <c r="P469" s="46"/>
      <c r="R469" s="15">
        <v>0.04</v>
      </c>
      <c r="S469" s="18">
        <f>(Tabela22[[#This Row],[FRETE]]+Tabela22[[#This Row],[DESPESAS]]+Tabela22[[#This Row],[IPI]]+Tabela22[[#This Row],[Vl. Produto]])*Tabela22[[#This Row],[Aliq.%]]</f>
        <v>0</v>
      </c>
    </row>
    <row r="470" spans="13:19" x14ac:dyDescent="0.25">
      <c r="M470" s="46"/>
      <c r="N470" s="46"/>
      <c r="O470" s="46"/>
      <c r="P470" s="46"/>
      <c r="R470" s="15">
        <v>0.04</v>
      </c>
      <c r="S470" s="18">
        <f>(Tabela22[[#This Row],[FRETE]]+Tabela22[[#This Row],[DESPESAS]]+Tabela22[[#This Row],[IPI]]+Tabela22[[#This Row],[Vl. Produto]])*Tabela22[[#This Row],[Aliq.%]]</f>
        <v>0</v>
      </c>
    </row>
    <row r="471" spans="13:19" x14ac:dyDescent="0.25">
      <c r="M471" s="46"/>
      <c r="N471" s="46"/>
      <c r="O471" s="46"/>
      <c r="P471" s="46"/>
      <c r="R471" s="15">
        <v>0.04</v>
      </c>
      <c r="S471" s="18">
        <f>(Tabela22[[#This Row],[FRETE]]+Tabela22[[#This Row],[DESPESAS]]+Tabela22[[#This Row],[IPI]]+Tabela22[[#This Row],[Vl. Produto]])*Tabela22[[#This Row],[Aliq.%]]</f>
        <v>0</v>
      </c>
    </row>
    <row r="472" spans="13:19" x14ac:dyDescent="0.25">
      <c r="M472" s="46"/>
      <c r="N472" s="46"/>
      <c r="O472" s="46"/>
      <c r="P472" s="46"/>
      <c r="R472" s="15">
        <v>0.04</v>
      </c>
      <c r="S472" s="18">
        <f>(Tabela22[[#This Row],[FRETE]]+Tabela22[[#This Row],[DESPESAS]]+Tabela22[[#This Row],[IPI]]+Tabela22[[#This Row],[Vl. Produto]])*Tabela22[[#This Row],[Aliq.%]]</f>
        <v>0</v>
      </c>
    </row>
    <row r="473" spans="13:19" x14ac:dyDescent="0.25">
      <c r="M473" s="46"/>
      <c r="N473" s="46"/>
      <c r="O473" s="46"/>
      <c r="P473" s="46"/>
      <c r="R473" s="15">
        <v>0.04</v>
      </c>
      <c r="S473" s="18">
        <f>(Tabela22[[#This Row],[FRETE]]+Tabela22[[#This Row],[DESPESAS]]+Tabela22[[#This Row],[IPI]]+Tabela22[[#This Row],[Vl. Produto]])*Tabela22[[#This Row],[Aliq.%]]</f>
        <v>0</v>
      </c>
    </row>
    <row r="474" spans="13:19" x14ac:dyDescent="0.25">
      <c r="M474" s="46"/>
      <c r="N474" s="46"/>
      <c r="O474" s="46"/>
      <c r="P474" s="46"/>
      <c r="R474" s="15">
        <v>0.04</v>
      </c>
      <c r="S474" s="18">
        <f>(Tabela22[[#This Row],[FRETE]]+Tabela22[[#This Row],[DESPESAS]]+Tabela22[[#This Row],[IPI]]+Tabela22[[#This Row],[Vl. Produto]])*Tabela22[[#This Row],[Aliq.%]]</f>
        <v>0</v>
      </c>
    </row>
    <row r="475" spans="13:19" x14ac:dyDescent="0.25">
      <c r="M475" s="46"/>
      <c r="N475" s="46"/>
      <c r="O475" s="46"/>
      <c r="P475" s="46"/>
      <c r="R475" s="15">
        <v>0.04</v>
      </c>
      <c r="S475" s="18">
        <f>(Tabela22[[#This Row],[FRETE]]+Tabela22[[#This Row],[DESPESAS]]+Tabela22[[#This Row],[IPI]]+Tabela22[[#This Row],[Vl. Produto]])*Tabela22[[#This Row],[Aliq.%]]</f>
        <v>0</v>
      </c>
    </row>
    <row r="476" spans="13:19" x14ac:dyDescent="0.25">
      <c r="M476" s="46"/>
      <c r="N476" s="46"/>
      <c r="O476" s="46"/>
      <c r="P476" s="46"/>
      <c r="R476" s="15">
        <v>0.04</v>
      </c>
      <c r="S476" s="18">
        <f>(Tabela22[[#This Row],[FRETE]]+Tabela22[[#This Row],[DESPESAS]]+Tabela22[[#This Row],[IPI]]+Tabela22[[#This Row],[Vl. Produto]])*Tabela22[[#This Row],[Aliq.%]]</f>
        <v>0</v>
      </c>
    </row>
    <row r="477" spans="13:19" x14ac:dyDescent="0.25">
      <c r="M477" s="46"/>
      <c r="N477" s="46"/>
      <c r="O477" s="46"/>
      <c r="P477" s="46"/>
      <c r="R477" s="15">
        <v>0.04</v>
      </c>
      <c r="S477" s="18">
        <f>(Tabela22[[#This Row],[FRETE]]+Tabela22[[#This Row],[DESPESAS]]+Tabela22[[#This Row],[IPI]]+Tabela22[[#This Row],[Vl. Produto]])*Tabela22[[#This Row],[Aliq.%]]</f>
        <v>0</v>
      </c>
    </row>
    <row r="478" spans="13:19" x14ac:dyDescent="0.25">
      <c r="M478" s="46"/>
      <c r="N478" s="46"/>
      <c r="O478" s="46"/>
      <c r="P478" s="46"/>
      <c r="R478" s="15">
        <v>0.04</v>
      </c>
      <c r="S478" s="18">
        <f>(Tabela22[[#This Row],[FRETE]]+Tabela22[[#This Row],[DESPESAS]]+Tabela22[[#This Row],[IPI]]+Tabela22[[#This Row],[Vl. Produto]])*Tabela22[[#This Row],[Aliq.%]]</f>
        <v>0</v>
      </c>
    </row>
    <row r="479" spans="13:19" x14ac:dyDescent="0.25">
      <c r="M479" s="46"/>
      <c r="N479" s="46"/>
      <c r="O479" s="46"/>
      <c r="P479" s="46"/>
      <c r="R479" s="15">
        <v>0.04</v>
      </c>
      <c r="S479" s="18">
        <f>(Tabela22[[#This Row],[FRETE]]+Tabela22[[#This Row],[DESPESAS]]+Tabela22[[#This Row],[IPI]]+Tabela22[[#This Row],[Vl. Produto]])*Tabela22[[#This Row],[Aliq.%]]</f>
        <v>0</v>
      </c>
    </row>
    <row r="480" spans="13:19" x14ac:dyDescent="0.25">
      <c r="M480" s="46"/>
      <c r="N480" s="46"/>
      <c r="O480" s="46"/>
      <c r="P480" s="46"/>
      <c r="R480" s="15">
        <v>0.04</v>
      </c>
      <c r="S480" s="18">
        <f>(Tabela22[[#This Row],[FRETE]]+Tabela22[[#This Row],[DESPESAS]]+Tabela22[[#This Row],[IPI]]+Tabela22[[#This Row],[Vl. Produto]])*Tabela22[[#This Row],[Aliq.%]]</f>
        <v>0</v>
      </c>
    </row>
    <row r="481" spans="13:19" x14ac:dyDescent="0.25">
      <c r="M481" s="46"/>
      <c r="N481" s="46"/>
      <c r="O481" s="46"/>
      <c r="P481" s="46"/>
      <c r="R481" s="15">
        <v>0.04</v>
      </c>
      <c r="S481" s="18">
        <f>(Tabela22[[#This Row],[FRETE]]+Tabela22[[#This Row],[DESPESAS]]+Tabela22[[#This Row],[IPI]]+Tabela22[[#This Row],[Vl. Produto]])*Tabela22[[#This Row],[Aliq.%]]</f>
        <v>0</v>
      </c>
    </row>
    <row r="482" spans="13:19" x14ac:dyDescent="0.25">
      <c r="M482" s="46"/>
      <c r="N482" s="46"/>
      <c r="O482" s="46"/>
      <c r="P482" s="46"/>
      <c r="R482" s="15">
        <v>0.04</v>
      </c>
      <c r="S482" s="18">
        <f>(Tabela22[[#This Row],[FRETE]]+Tabela22[[#This Row],[DESPESAS]]+Tabela22[[#This Row],[IPI]]+Tabela22[[#This Row],[Vl. Produto]])*Tabela22[[#This Row],[Aliq.%]]</f>
        <v>0</v>
      </c>
    </row>
    <row r="483" spans="13:19" x14ac:dyDescent="0.25">
      <c r="M483" s="46"/>
      <c r="N483" s="46"/>
      <c r="O483" s="46"/>
      <c r="P483" s="46"/>
      <c r="R483" s="15">
        <v>0.04</v>
      </c>
      <c r="S483" s="18">
        <f>(Tabela22[[#This Row],[FRETE]]+Tabela22[[#This Row],[DESPESAS]]+Tabela22[[#This Row],[IPI]]+Tabela22[[#This Row],[Vl. Produto]])*Tabela22[[#This Row],[Aliq.%]]</f>
        <v>0</v>
      </c>
    </row>
    <row r="484" spans="13:19" x14ac:dyDescent="0.25">
      <c r="M484" s="46"/>
      <c r="N484" s="46"/>
      <c r="O484" s="46"/>
      <c r="P484" s="46"/>
      <c r="R484" s="15">
        <v>0.04</v>
      </c>
      <c r="S484" s="18">
        <f>(Tabela22[[#This Row],[FRETE]]+Tabela22[[#This Row],[DESPESAS]]+Tabela22[[#This Row],[IPI]]+Tabela22[[#This Row],[Vl. Produto]])*Tabela22[[#This Row],[Aliq.%]]</f>
        <v>0</v>
      </c>
    </row>
    <row r="485" spans="13:19" x14ac:dyDescent="0.25">
      <c r="M485" s="46"/>
      <c r="N485" s="46"/>
      <c r="O485" s="46"/>
      <c r="P485" s="46"/>
      <c r="R485" s="15">
        <v>0.04</v>
      </c>
      <c r="S485" s="18">
        <f>(Tabela22[[#This Row],[FRETE]]+Tabela22[[#This Row],[DESPESAS]]+Tabela22[[#This Row],[IPI]]+Tabela22[[#This Row],[Vl. Produto]])*Tabela22[[#This Row],[Aliq.%]]</f>
        <v>0</v>
      </c>
    </row>
    <row r="486" spans="13:19" x14ac:dyDescent="0.25">
      <c r="M486" s="46"/>
      <c r="N486" s="46"/>
      <c r="O486" s="46"/>
      <c r="P486" s="46"/>
      <c r="R486" s="15">
        <v>0.04</v>
      </c>
      <c r="S486" s="18">
        <f>(Tabela22[[#This Row],[FRETE]]+Tabela22[[#This Row],[DESPESAS]]+Tabela22[[#This Row],[IPI]]+Tabela22[[#This Row],[Vl. Produto]])*Tabela22[[#This Row],[Aliq.%]]</f>
        <v>0</v>
      </c>
    </row>
    <row r="487" spans="13:19" x14ac:dyDescent="0.25">
      <c r="M487" s="46"/>
      <c r="N487" s="46"/>
      <c r="O487" s="46"/>
      <c r="P487" s="46"/>
      <c r="R487" s="15">
        <v>0.04</v>
      </c>
      <c r="S487" s="18">
        <f>(Tabela22[[#This Row],[FRETE]]+Tabela22[[#This Row],[DESPESAS]]+Tabela22[[#This Row],[IPI]]+Tabela22[[#This Row],[Vl. Produto]])*Tabela22[[#This Row],[Aliq.%]]</f>
        <v>0</v>
      </c>
    </row>
    <row r="488" spans="13:19" x14ac:dyDescent="0.25">
      <c r="M488" s="46"/>
      <c r="N488" s="46"/>
      <c r="O488" s="46"/>
      <c r="P488" s="46"/>
      <c r="R488" s="15">
        <v>0.04</v>
      </c>
      <c r="S488" s="18">
        <f>(Tabela22[[#This Row],[FRETE]]+Tabela22[[#This Row],[DESPESAS]]+Tabela22[[#This Row],[IPI]]+Tabela22[[#This Row],[Vl. Produto]])*Tabela22[[#This Row],[Aliq.%]]</f>
        <v>0</v>
      </c>
    </row>
    <row r="489" spans="13:19" x14ac:dyDescent="0.25">
      <c r="M489" s="46"/>
      <c r="N489" s="46"/>
      <c r="O489" s="46"/>
      <c r="P489" s="46"/>
      <c r="R489" s="15">
        <v>0.04</v>
      </c>
      <c r="S489" s="18">
        <f>(Tabela22[[#This Row],[FRETE]]+Tabela22[[#This Row],[DESPESAS]]+Tabela22[[#This Row],[IPI]]+Tabela22[[#This Row],[Vl. Produto]])*Tabela22[[#This Row],[Aliq.%]]</f>
        <v>0</v>
      </c>
    </row>
    <row r="490" spans="13:19" x14ac:dyDescent="0.25">
      <c r="M490" s="46"/>
      <c r="N490" s="46"/>
      <c r="O490" s="46"/>
      <c r="P490" s="46"/>
      <c r="R490" s="15">
        <v>0.04</v>
      </c>
      <c r="S490" s="18">
        <f>(Tabela22[[#This Row],[FRETE]]+Tabela22[[#This Row],[DESPESAS]]+Tabela22[[#This Row],[IPI]]+Tabela22[[#This Row],[Vl. Produto]])*Tabela22[[#This Row],[Aliq.%]]</f>
        <v>0</v>
      </c>
    </row>
    <row r="491" spans="13:19" x14ac:dyDescent="0.25">
      <c r="M491" s="46"/>
      <c r="N491" s="46"/>
      <c r="O491" s="46"/>
      <c r="P491" s="46"/>
      <c r="R491" s="15">
        <v>0.04</v>
      </c>
      <c r="S491" s="18">
        <f>(Tabela22[[#This Row],[FRETE]]+Tabela22[[#This Row],[DESPESAS]]+Tabela22[[#This Row],[IPI]]+Tabela22[[#This Row],[Vl. Produto]])*Tabela22[[#This Row],[Aliq.%]]</f>
        <v>0</v>
      </c>
    </row>
    <row r="492" spans="13:19" x14ac:dyDescent="0.25">
      <c r="M492" s="46"/>
      <c r="N492" s="46"/>
      <c r="O492" s="46"/>
      <c r="P492" s="46"/>
      <c r="R492" s="15">
        <v>0.04</v>
      </c>
      <c r="S492" s="18">
        <f>(Tabela22[[#This Row],[FRETE]]+Tabela22[[#This Row],[DESPESAS]]+Tabela22[[#This Row],[IPI]]+Tabela22[[#This Row],[Vl. Produto]])*Tabela22[[#This Row],[Aliq.%]]</f>
        <v>0</v>
      </c>
    </row>
    <row r="493" spans="13:19" x14ac:dyDescent="0.25">
      <c r="M493" s="46"/>
      <c r="N493" s="46"/>
      <c r="O493" s="46"/>
      <c r="P493" s="46"/>
      <c r="R493" s="15">
        <v>0.04</v>
      </c>
      <c r="S493" s="18">
        <f>(Tabela22[[#This Row],[FRETE]]+Tabela22[[#This Row],[DESPESAS]]+Tabela22[[#This Row],[IPI]]+Tabela22[[#This Row],[Vl. Produto]])*Tabela22[[#This Row],[Aliq.%]]</f>
        <v>0</v>
      </c>
    </row>
    <row r="494" spans="13:19" x14ac:dyDescent="0.25">
      <c r="M494" s="46"/>
      <c r="N494" s="46"/>
      <c r="O494" s="46"/>
      <c r="P494" s="46"/>
      <c r="R494" s="15">
        <v>0.04</v>
      </c>
      <c r="S494" s="18">
        <f>(Tabela22[[#This Row],[FRETE]]+Tabela22[[#This Row],[DESPESAS]]+Tabela22[[#This Row],[IPI]]+Tabela22[[#This Row],[Vl. Produto]])*Tabela22[[#This Row],[Aliq.%]]</f>
        <v>0</v>
      </c>
    </row>
    <row r="495" spans="13:19" x14ac:dyDescent="0.25">
      <c r="M495" s="46"/>
      <c r="N495" s="46"/>
      <c r="O495" s="46"/>
      <c r="P495" s="46"/>
      <c r="R495" s="15">
        <v>0.04</v>
      </c>
      <c r="S495" s="18">
        <f>(Tabela22[[#This Row],[FRETE]]+Tabela22[[#This Row],[DESPESAS]]+Tabela22[[#This Row],[IPI]]+Tabela22[[#This Row],[Vl. Produto]])*Tabela22[[#This Row],[Aliq.%]]</f>
        <v>0</v>
      </c>
    </row>
    <row r="496" spans="13:19" x14ac:dyDescent="0.25">
      <c r="M496" s="46"/>
      <c r="N496" s="46"/>
      <c r="O496" s="46"/>
      <c r="P496" s="46"/>
      <c r="R496" s="15">
        <v>0.04</v>
      </c>
      <c r="S496" s="18">
        <f>(Tabela22[[#This Row],[FRETE]]+Tabela22[[#This Row],[DESPESAS]]+Tabela22[[#This Row],[IPI]]+Tabela22[[#This Row],[Vl. Produto]])*Tabela22[[#This Row],[Aliq.%]]</f>
        <v>0</v>
      </c>
    </row>
    <row r="497" spans="13:19" x14ac:dyDescent="0.25">
      <c r="M497" s="46"/>
      <c r="N497" s="46"/>
      <c r="O497" s="46"/>
      <c r="P497" s="46"/>
      <c r="R497" s="15">
        <v>0.04</v>
      </c>
      <c r="S497" s="18">
        <f>(Tabela22[[#This Row],[FRETE]]+Tabela22[[#This Row],[DESPESAS]]+Tabela22[[#This Row],[IPI]]+Tabela22[[#This Row],[Vl. Produto]])*Tabela22[[#This Row],[Aliq.%]]</f>
        <v>0</v>
      </c>
    </row>
    <row r="498" spans="13:19" x14ac:dyDescent="0.25">
      <c r="M498" s="46"/>
      <c r="N498" s="46"/>
      <c r="O498" s="46"/>
      <c r="P498" s="46"/>
      <c r="R498" s="15">
        <v>0.04</v>
      </c>
      <c r="S498" s="18">
        <f>(Tabela22[[#This Row],[FRETE]]+Tabela22[[#This Row],[DESPESAS]]+Tabela22[[#This Row],[IPI]]+Tabela22[[#This Row],[Vl. Produto]])*Tabela22[[#This Row],[Aliq.%]]</f>
        <v>0</v>
      </c>
    </row>
    <row r="499" spans="13:19" x14ac:dyDescent="0.25">
      <c r="M499" s="46"/>
      <c r="N499" s="46"/>
      <c r="O499" s="46"/>
      <c r="P499" s="46"/>
      <c r="R499" s="15">
        <v>0.04</v>
      </c>
      <c r="S499" s="18">
        <f>(Tabela22[[#This Row],[FRETE]]+Tabela22[[#This Row],[DESPESAS]]+Tabela22[[#This Row],[IPI]]+Tabela22[[#This Row],[Vl. Produto]])*Tabela22[[#This Row],[Aliq.%]]</f>
        <v>0</v>
      </c>
    </row>
    <row r="500" spans="13:19" x14ac:dyDescent="0.25">
      <c r="M500" s="46"/>
      <c r="N500" s="46"/>
      <c r="O500" s="46"/>
      <c r="P500" s="46"/>
      <c r="R500" s="15">
        <v>0.04</v>
      </c>
      <c r="S500" s="18">
        <f>(Tabela22[[#This Row],[FRETE]]+Tabela22[[#This Row],[DESPESAS]]+Tabela22[[#This Row],[IPI]]+Tabela22[[#This Row],[Vl. Produto]])*Tabela22[[#This Row],[Aliq.%]]</f>
        <v>0</v>
      </c>
    </row>
    <row r="501" spans="13:19" x14ac:dyDescent="0.25">
      <c r="M501" s="46"/>
      <c r="N501" s="46"/>
      <c r="O501" s="46"/>
      <c r="P501" s="46"/>
      <c r="R501" s="15">
        <v>0.04</v>
      </c>
      <c r="S501" s="18">
        <f>(Tabela22[[#This Row],[FRETE]]+Tabela22[[#This Row],[DESPESAS]]+Tabela22[[#This Row],[IPI]]+Tabela22[[#This Row],[Vl. Produto]])*Tabela22[[#This Row],[Aliq.%]]</f>
        <v>0</v>
      </c>
    </row>
    <row r="502" spans="13:19" x14ac:dyDescent="0.25">
      <c r="M502" s="46"/>
      <c r="N502" s="46"/>
      <c r="O502" s="46"/>
      <c r="P502" s="46"/>
      <c r="R502" s="15">
        <v>0.04</v>
      </c>
      <c r="S502" s="18">
        <f>(Tabela22[[#This Row],[FRETE]]+Tabela22[[#This Row],[DESPESAS]]+Tabela22[[#This Row],[IPI]]+Tabela22[[#This Row],[Vl. Produto]])*Tabela22[[#This Row],[Aliq.%]]</f>
        <v>0</v>
      </c>
    </row>
    <row r="503" spans="13:19" x14ac:dyDescent="0.25">
      <c r="M503" s="46"/>
      <c r="N503" s="46"/>
      <c r="O503" s="46"/>
      <c r="P503" s="46"/>
      <c r="R503" s="15">
        <v>0.04</v>
      </c>
      <c r="S503" s="18">
        <f>(Tabela22[[#This Row],[FRETE]]+Tabela22[[#This Row],[DESPESAS]]+Tabela22[[#This Row],[IPI]]+Tabela22[[#This Row],[Vl. Produto]])*Tabela22[[#This Row],[Aliq.%]]</f>
        <v>0</v>
      </c>
    </row>
    <row r="504" spans="13:19" x14ac:dyDescent="0.25">
      <c r="M504" s="46"/>
      <c r="N504" s="46"/>
      <c r="O504" s="46"/>
      <c r="P504" s="46"/>
      <c r="R504" s="15">
        <v>0.04</v>
      </c>
      <c r="S504" s="18">
        <f>(Tabela22[[#This Row],[FRETE]]+Tabela22[[#This Row],[DESPESAS]]+Tabela22[[#This Row],[IPI]]+Tabela22[[#This Row],[Vl. Produto]])*Tabela22[[#This Row],[Aliq.%]]</f>
        <v>0</v>
      </c>
    </row>
    <row r="505" spans="13:19" x14ac:dyDescent="0.25">
      <c r="M505" s="46"/>
      <c r="N505" s="46"/>
      <c r="O505" s="46"/>
      <c r="P505" s="46"/>
      <c r="R505" s="15">
        <v>0.04</v>
      </c>
      <c r="S505" s="18">
        <f>(Tabela22[[#This Row],[FRETE]]+Tabela22[[#This Row],[DESPESAS]]+Tabela22[[#This Row],[IPI]]+Tabela22[[#This Row],[Vl. Produto]])*Tabela22[[#This Row],[Aliq.%]]</f>
        <v>0</v>
      </c>
    </row>
    <row r="506" spans="13:19" x14ac:dyDescent="0.25">
      <c r="M506" s="46"/>
      <c r="N506" s="46"/>
      <c r="O506" s="46"/>
      <c r="P506" s="46"/>
      <c r="R506" s="15">
        <v>0.04</v>
      </c>
      <c r="S506" s="18">
        <f>(Tabela22[[#This Row],[FRETE]]+Tabela22[[#This Row],[DESPESAS]]+Tabela22[[#This Row],[IPI]]+Tabela22[[#This Row],[Vl. Produto]])*Tabela22[[#This Row],[Aliq.%]]</f>
        <v>0</v>
      </c>
    </row>
    <row r="507" spans="13:19" x14ac:dyDescent="0.25">
      <c r="M507" s="46"/>
      <c r="N507" s="46"/>
      <c r="O507" s="46"/>
      <c r="P507" s="46"/>
      <c r="R507" s="15">
        <v>0.04</v>
      </c>
      <c r="S507" s="18">
        <f>(Tabela22[[#This Row],[FRETE]]+Tabela22[[#This Row],[DESPESAS]]+Tabela22[[#This Row],[IPI]]+Tabela22[[#This Row],[Vl. Produto]])*Tabela22[[#This Row],[Aliq.%]]</f>
        <v>0</v>
      </c>
    </row>
    <row r="508" spans="13:19" x14ac:dyDescent="0.25">
      <c r="M508" s="46"/>
      <c r="N508" s="46"/>
      <c r="O508" s="46"/>
      <c r="P508" s="46"/>
      <c r="R508" s="15">
        <v>0.04</v>
      </c>
      <c r="S508" s="18">
        <f>(Tabela22[[#This Row],[FRETE]]+Tabela22[[#This Row],[DESPESAS]]+Tabela22[[#This Row],[IPI]]+Tabela22[[#This Row],[Vl. Produto]])*Tabela22[[#This Row],[Aliq.%]]</f>
        <v>0</v>
      </c>
    </row>
    <row r="509" spans="13:19" x14ac:dyDescent="0.25">
      <c r="M509" s="46"/>
      <c r="N509" s="46"/>
      <c r="O509" s="46"/>
      <c r="P509" s="46"/>
      <c r="R509" s="15">
        <v>0.04</v>
      </c>
      <c r="S509" s="18">
        <f>(Tabela22[[#This Row],[FRETE]]+Tabela22[[#This Row],[DESPESAS]]+Tabela22[[#This Row],[IPI]]+Tabela22[[#This Row],[Vl. Produto]])*Tabela22[[#This Row],[Aliq.%]]</f>
        <v>0</v>
      </c>
    </row>
    <row r="510" spans="13:19" x14ac:dyDescent="0.25">
      <c r="M510" s="46"/>
      <c r="N510" s="46"/>
      <c r="O510" s="46"/>
      <c r="P510" s="46"/>
      <c r="R510" s="15">
        <v>0.04</v>
      </c>
      <c r="S510" s="18">
        <f>(Tabela22[[#This Row],[FRETE]]+Tabela22[[#This Row],[DESPESAS]]+Tabela22[[#This Row],[IPI]]+Tabela22[[#This Row],[Vl. Produto]])*Tabela22[[#This Row],[Aliq.%]]</f>
        <v>0</v>
      </c>
    </row>
    <row r="511" spans="13:19" x14ac:dyDescent="0.25">
      <c r="M511" s="46"/>
      <c r="N511" s="46"/>
      <c r="O511" s="46"/>
      <c r="P511" s="46"/>
      <c r="R511" s="15">
        <v>0.04</v>
      </c>
      <c r="S511" s="18">
        <f>(Tabela22[[#This Row],[FRETE]]+Tabela22[[#This Row],[DESPESAS]]+Tabela22[[#This Row],[IPI]]+Tabela22[[#This Row],[Vl. Produto]])*Tabela22[[#This Row],[Aliq.%]]</f>
        <v>0</v>
      </c>
    </row>
    <row r="512" spans="13:19" x14ac:dyDescent="0.25">
      <c r="M512" s="46"/>
      <c r="N512" s="46"/>
      <c r="O512" s="46"/>
      <c r="P512" s="46"/>
      <c r="R512" s="15">
        <v>0.04</v>
      </c>
      <c r="S512" s="18">
        <f>(Tabela22[[#This Row],[FRETE]]+Tabela22[[#This Row],[DESPESAS]]+Tabela22[[#This Row],[IPI]]+Tabela22[[#This Row],[Vl. Produto]])*Tabela22[[#This Row],[Aliq.%]]</f>
        <v>0</v>
      </c>
    </row>
    <row r="513" spans="13:19" x14ac:dyDescent="0.25">
      <c r="M513" s="46"/>
      <c r="N513" s="46"/>
      <c r="O513" s="46"/>
      <c r="P513" s="46"/>
      <c r="R513" s="15">
        <v>0.04</v>
      </c>
      <c r="S513" s="18">
        <f>(Tabela22[[#This Row],[FRETE]]+Tabela22[[#This Row],[DESPESAS]]+Tabela22[[#This Row],[IPI]]+Tabela22[[#This Row],[Vl. Produto]])*Tabela22[[#This Row],[Aliq.%]]</f>
        <v>0</v>
      </c>
    </row>
    <row r="514" spans="13:19" x14ac:dyDescent="0.25">
      <c r="M514" s="46"/>
      <c r="N514" s="46"/>
      <c r="O514" s="46"/>
      <c r="P514" s="46"/>
      <c r="R514" s="15">
        <v>0.04</v>
      </c>
      <c r="S514" s="18">
        <f>(Tabela22[[#This Row],[FRETE]]+Tabela22[[#This Row],[DESPESAS]]+Tabela22[[#This Row],[IPI]]+Tabela22[[#This Row],[Vl. Produto]])*Tabela22[[#This Row],[Aliq.%]]</f>
        <v>0</v>
      </c>
    </row>
    <row r="515" spans="13:19" x14ac:dyDescent="0.25">
      <c r="M515" s="46"/>
      <c r="N515" s="46"/>
      <c r="O515" s="46"/>
      <c r="P515" s="46"/>
      <c r="R515" s="15">
        <v>0.04</v>
      </c>
      <c r="S515" s="18">
        <f>(Tabela22[[#This Row],[FRETE]]+Tabela22[[#This Row],[DESPESAS]]+Tabela22[[#This Row],[IPI]]+Tabela22[[#This Row],[Vl. Produto]])*Tabela22[[#This Row],[Aliq.%]]</f>
        <v>0</v>
      </c>
    </row>
    <row r="516" spans="13:19" x14ac:dyDescent="0.25">
      <c r="M516" s="46"/>
      <c r="N516" s="46"/>
      <c r="O516" s="46"/>
      <c r="P516" s="46"/>
      <c r="R516" s="15">
        <v>0.04</v>
      </c>
      <c r="S516" s="18">
        <f>(Tabela22[[#This Row],[FRETE]]+Tabela22[[#This Row],[DESPESAS]]+Tabela22[[#This Row],[IPI]]+Tabela22[[#This Row],[Vl. Produto]])*Tabela22[[#This Row],[Aliq.%]]</f>
        <v>0</v>
      </c>
    </row>
    <row r="517" spans="13:19" x14ac:dyDescent="0.25">
      <c r="M517" s="46"/>
      <c r="N517" s="46"/>
      <c r="O517" s="46"/>
      <c r="P517" s="46"/>
      <c r="R517" s="15">
        <v>0.04</v>
      </c>
      <c r="S517" s="18">
        <f>(Tabela22[[#This Row],[FRETE]]+Tabela22[[#This Row],[DESPESAS]]+Tabela22[[#This Row],[IPI]]+Tabela22[[#This Row],[Vl. Produto]])*Tabela22[[#This Row],[Aliq.%]]</f>
        <v>0</v>
      </c>
    </row>
    <row r="518" spans="13:19" x14ac:dyDescent="0.25">
      <c r="M518" s="46"/>
      <c r="N518" s="46"/>
      <c r="O518" s="46"/>
      <c r="P518" s="46"/>
      <c r="R518" s="15">
        <v>0.04</v>
      </c>
      <c r="S518" s="18">
        <f>(Tabela22[[#This Row],[FRETE]]+Tabela22[[#This Row],[DESPESAS]]+Tabela22[[#This Row],[IPI]]+Tabela22[[#This Row],[Vl. Produto]])*Tabela22[[#This Row],[Aliq.%]]</f>
        <v>0</v>
      </c>
    </row>
    <row r="519" spans="13:19" x14ac:dyDescent="0.25">
      <c r="M519" s="46"/>
      <c r="N519" s="46"/>
      <c r="O519" s="46"/>
      <c r="P519" s="46"/>
      <c r="R519" s="15">
        <v>0.04</v>
      </c>
      <c r="S519" s="18">
        <f>(Tabela22[[#This Row],[FRETE]]+Tabela22[[#This Row],[DESPESAS]]+Tabela22[[#This Row],[IPI]]+Tabela22[[#This Row],[Vl. Produto]])*Tabela22[[#This Row],[Aliq.%]]</f>
        <v>0</v>
      </c>
    </row>
    <row r="520" spans="13:19" x14ac:dyDescent="0.25">
      <c r="M520" s="46"/>
      <c r="N520" s="46"/>
      <c r="O520" s="46"/>
      <c r="P520" s="46"/>
      <c r="R520" s="15">
        <v>0.04</v>
      </c>
      <c r="S520" s="18">
        <f>(Tabela22[[#This Row],[FRETE]]+Tabela22[[#This Row],[DESPESAS]]+Tabela22[[#This Row],[IPI]]+Tabela22[[#This Row],[Vl. Produto]])*Tabela22[[#This Row],[Aliq.%]]</f>
        <v>0</v>
      </c>
    </row>
    <row r="521" spans="13:19" x14ac:dyDescent="0.25">
      <c r="M521" s="46"/>
      <c r="N521" s="46"/>
      <c r="O521" s="46"/>
      <c r="P521" s="46"/>
      <c r="R521" s="15">
        <v>0.04</v>
      </c>
      <c r="S521" s="18">
        <f>(Tabela22[[#This Row],[FRETE]]+Tabela22[[#This Row],[DESPESAS]]+Tabela22[[#This Row],[IPI]]+Tabela22[[#This Row],[Vl. Produto]])*Tabela22[[#This Row],[Aliq.%]]</f>
        <v>0</v>
      </c>
    </row>
    <row r="522" spans="13:19" x14ac:dyDescent="0.25">
      <c r="M522" s="46"/>
      <c r="N522" s="46"/>
      <c r="O522" s="46"/>
      <c r="P522" s="46"/>
      <c r="R522" s="15">
        <v>0.04</v>
      </c>
      <c r="S522" s="18">
        <f>(Tabela22[[#This Row],[FRETE]]+Tabela22[[#This Row],[DESPESAS]]+Tabela22[[#This Row],[IPI]]+Tabela22[[#This Row],[Vl. Produto]])*Tabela22[[#This Row],[Aliq.%]]</f>
        <v>0</v>
      </c>
    </row>
    <row r="523" spans="13:19" x14ac:dyDescent="0.25">
      <c r="M523" s="46"/>
      <c r="N523" s="46"/>
      <c r="O523" s="46"/>
      <c r="P523" s="46"/>
      <c r="R523" s="15">
        <v>0.04</v>
      </c>
      <c r="S523" s="18">
        <f>(Tabela22[[#This Row],[FRETE]]+Tabela22[[#This Row],[DESPESAS]]+Tabela22[[#This Row],[IPI]]+Tabela22[[#This Row],[Vl. Produto]])*Tabela22[[#This Row],[Aliq.%]]</f>
        <v>0</v>
      </c>
    </row>
    <row r="524" spans="13:19" x14ac:dyDescent="0.25">
      <c r="M524" s="46"/>
      <c r="N524" s="46"/>
      <c r="O524" s="46"/>
      <c r="P524" s="46"/>
      <c r="R524" s="15">
        <v>0.04</v>
      </c>
      <c r="S524" s="18">
        <f>(Tabela22[[#This Row],[FRETE]]+Tabela22[[#This Row],[DESPESAS]]+Tabela22[[#This Row],[IPI]]+Tabela22[[#This Row],[Vl. Produto]])*Tabela22[[#This Row],[Aliq.%]]</f>
        <v>0</v>
      </c>
    </row>
    <row r="525" spans="13:19" x14ac:dyDescent="0.25">
      <c r="M525" s="46"/>
      <c r="N525" s="46"/>
      <c r="O525" s="46"/>
      <c r="P525" s="46"/>
      <c r="R525" s="15">
        <v>0.04</v>
      </c>
      <c r="S525" s="18">
        <f>(Tabela22[[#This Row],[FRETE]]+Tabela22[[#This Row],[DESPESAS]]+Tabela22[[#This Row],[IPI]]+Tabela22[[#This Row],[Vl. Produto]])*Tabela22[[#This Row],[Aliq.%]]</f>
        <v>0</v>
      </c>
    </row>
    <row r="526" spans="13:19" x14ac:dyDescent="0.25">
      <c r="M526" s="46"/>
      <c r="N526" s="46"/>
      <c r="O526" s="46"/>
      <c r="P526" s="46"/>
      <c r="R526" s="15">
        <v>0.04</v>
      </c>
      <c r="S526" s="18">
        <f>(Tabela22[[#This Row],[FRETE]]+Tabela22[[#This Row],[DESPESAS]]+Tabela22[[#This Row],[IPI]]+Tabela22[[#This Row],[Vl. Produto]])*Tabela22[[#This Row],[Aliq.%]]</f>
        <v>0</v>
      </c>
    </row>
    <row r="527" spans="13:19" x14ac:dyDescent="0.25">
      <c r="M527" s="46"/>
      <c r="N527" s="46"/>
      <c r="O527" s="46"/>
      <c r="P527" s="46"/>
      <c r="R527" s="15">
        <v>0.04</v>
      </c>
      <c r="S527" s="18">
        <f>(Tabela22[[#This Row],[FRETE]]+Tabela22[[#This Row],[DESPESAS]]+Tabela22[[#This Row],[IPI]]+Tabela22[[#This Row],[Vl. Produto]])*Tabela22[[#This Row],[Aliq.%]]</f>
        <v>0</v>
      </c>
    </row>
    <row r="528" spans="13:19" x14ac:dyDescent="0.25">
      <c r="M528" s="46"/>
      <c r="N528" s="46"/>
      <c r="O528" s="46"/>
      <c r="P528" s="46"/>
      <c r="R528" s="15">
        <v>0.04</v>
      </c>
      <c r="S528" s="18">
        <f>(Tabela22[[#This Row],[FRETE]]+Tabela22[[#This Row],[DESPESAS]]+Tabela22[[#This Row],[IPI]]+Tabela22[[#This Row],[Vl. Produto]])*Tabela22[[#This Row],[Aliq.%]]</f>
        <v>0</v>
      </c>
    </row>
    <row r="529" spans="13:19" x14ac:dyDescent="0.25">
      <c r="M529" s="46"/>
      <c r="N529" s="46"/>
      <c r="O529" s="46"/>
      <c r="P529" s="46"/>
      <c r="R529" s="15">
        <v>0.04</v>
      </c>
      <c r="S529" s="18">
        <f>(Tabela22[[#This Row],[FRETE]]+Tabela22[[#This Row],[DESPESAS]]+Tabela22[[#This Row],[IPI]]+Tabela22[[#This Row],[Vl. Produto]])*Tabela22[[#This Row],[Aliq.%]]</f>
        <v>0</v>
      </c>
    </row>
    <row r="530" spans="13:19" x14ac:dyDescent="0.25">
      <c r="M530" s="46"/>
      <c r="N530" s="46"/>
      <c r="O530" s="46"/>
      <c r="P530" s="46"/>
      <c r="R530" s="15">
        <v>0.04</v>
      </c>
      <c r="S530" s="18">
        <f>(Tabela22[[#This Row],[FRETE]]+Tabela22[[#This Row],[DESPESAS]]+Tabela22[[#This Row],[IPI]]+Tabela22[[#This Row],[Vl. Produto]])*Tabela22[[#This Row],[Aliq.%]]</f>
        <v>0</v>
      </c>
    </row>
    <row r="531" spans="13:19" x14ac:dyDescent="0.25">
      <c r="M531" s="46"/>
      <c r="N531" s="46"/>
      <c r="O531" s="46"/>
      <c r="P531" s="46"/>
      <c r="R531" s="15">
        <v>0.04</v>
      </c>
      <c r="S531" s="18">
        <f>(Tabela22[[#This Row],[FRETE]]+Tabela22[[#This Row],[DESPESAS]]+Tabela22[[#This Row],[IPI]]+Tabela22[[#This Row],[Vl. Produto]])*Tabela22[[#This Row],[Aliq.%]]</f>
        <v>0</v>
      </c>
    </row>
    <row r="532" spans="13:19" x14ac:dyDescent="0.25">
      <c r="M532" s="46"/>
      <c r="N532" s="46"/>
      <c r="O532" s="46"/>
      <c r="P532" s="46"/>
      <c r="R532" s="15">
        <v>0.04</v>
      </c>
      <c r="S532" s="18">
        <f>(Tabela22[[#This Row],[FRETE]]+Tabela22[[#This Row],[DESPESAS]]+Tabela22[[#This Row],[IPI]]+Tabela22[[#This Row],[Vl. Produto]])*Tabela22[[#This Row],[Aliq.%]]</f>
        <v>0</v>
      </c>
    </row>
    <row r="533" spans="13:19" x14ac:dyDescent="0.25">
      <c r="M533" s="46"/>
      <c r="N533" s="46"/>
      <c r="O533" s="46"/>
      <c r="P533" s="46"/>
      <c r="R533" s="15">
        <v>0.04</v>
      </c>
      <c r="S533" s="18">
        <f>(Tabela22[[#This Row],[FRETE]]+Tabela22[[#This Row],[DESPESAS]]+Tabela22[[#This Row],[IPI]]+Tabela22[[#This Row],[Vl. Produto]])*Tabela22[[#This Row],[Aliq.%]]</f>
        <v>0</v>
      </c>
    </row>
    <row r="534" spans="13:19" x14ac:dyDescent="0.25">
      <c r="M534" s="46"/>
      <c r="N534" s="46"/>
      <c r="O534" s="46"/>
      <c r="P534" s="46"/>
      <c r="R534" s="15">
        <v>0.04</v>
      </c>
      <c r="S534" s="18">
        <f>(Tabela22[[#This Row],[FRETE]]+Tabela22[[#This Row],[DESPESAS]]+Tabela22[[#This Row],[IPI]]+Tabela22[[#This Row],[Vl. Produto]])*Tabela22[[#This Row],[Aliq.%]]</f>
        <v>0</v>
      </c>
    </row>
    <row r="535" spans="13:19" x14ac:dyDescent="0.25">
      <c r="M535" s="46"/>
      <c r="N535" s="46"/>
      <c r="O535" s="46"/>
      <c r="P535" s="46"/>
      <c r="R535" s="15">
        <v>0.04</v>
      </c>
      <c r="S535" s="18">
        <f>(Tabela22[[#This Row],[FRETE]]+Tabela22[[#This Row],[DESPESAS]]+Tabela22[[#This Row],[IPI]]+Tabela22[[#This Row],[Vl. Produto]])*Tabela22[[#This Row],[Aliq.%]]</f>
        <v>0</v>
      </c>
    </row>
    <row r="536" spans="13:19" x14ac:dyDescent="0.25">
      <c r="M536" s="46"/>
      <c r="N536" s="46"/>
      <c r="O536" s="46"/>
      <c r="P536" s="46"/>
      <c r="R536" s="15">
        <v>0.04</v>
      </c>
      <c r="S536" s="18">
        <f>(Tabela22[[#This Row],[FRETE]]+Tabela22[[#This Row],[DESPESAS]]+Tabela22[[#This Row],[IPI]]+Tabela22[[#This Row],[Vl. Produto]])*Tabela22[[#This Row],[Aliq.%]]</f>
        <v>0</v>
      </c>
    </row>
    <row r="537" spans="13:19" x14ac:dyDescent="0.25">
      <c r="M537" s="46"/>
      <c r="N537" s="46"/>
      <c r="O537" s="46"/>
      <c r="P537" s="46"/>
      <c r="R537" s="15">
        <v>0.04</v>
      </c>
      <c r="S537" s="18">
        <f>(Tabela22[[#This Row],[FRETE]]+Tabela22[[#This Row],[DESPESAS]]+Tabela22[[#This Row],[IPI]]+Tabela22[[#This Row],[Vl. Produto]])*Tabela22[[#This Row],[Aliq.%]]</f>
        <v>0</v>
      </c>
    </row>
    <row r="538" spans="13:19" x14ac:dyDescent="0.25">
      <c r="M538" s="46"/>
      <c r="N538" s="46"/>
      <c r="O538" s="46"/>
      <c r="P538" s="46"/>
      <c r="R538" s="15">
        <v>0.04</v>
      </c>
      <c r="S538" s="18">
        <f>(Tabela22[[#This Row],[FRETE]]+Tabela22[[#This Row],[DESPESAS]]+Tabela22[[#This Row],[IPI]]+Tabela22[[#This Row],[Vl. Produto]])*Tabela22[[#This Row],[Aliq.%]]</f>
        <v>0</v>
      </c>
    </row>
    <row r="539" spans="13:19" x14ac:dyDescent="0.25">
      <c r="M539" s="46"/>
      <c r="N539" s="46"/>
      <c r="O539" s="46"/>
      <c r="P539" s="46"/>
      <c r="R539" s="15">
        <v>0.04</v>
      </c>
      <c r="S539" s="18">
        <f>(Tabela22[[#This Row],[FRETE]]+Tabela22[[#This Row],[DESPESAS]]+Tabela22[[#This Row],[IPI]]+Tabela22[[#This Row],[Vl. Produto]])*Tabela22[[#This Row],[Aliq.%]]</f>
        <v>0</v>
      </c>
    </row>
    <row r="540" spans="13:19" x14ac:dyDescent="0.25">
      <c r="M540" s="46"/>
      <c r="N540" s="46"/>
      <c r="O540" s="46"/>
      <c r="P540" s="46"/>
      <c r="R540" s="15">
        <v>0.04</v>
      </c>
      <c r="S540" s="18">
        <f>(Tabela22[[#This Row],[FRETE]]+Tabela22[[#This Row],[DESPESAS]]+Tabela22[[#This Row],[IPI]]+Tabela22[[#This Row],[Vl. Produto]])*Tabela22[[#This Row],[Aliq.%]]</f>
        <v>0</v>
      </c>
    </row>
    <row r="541" spans="13:19" x14ac:dyDescent="0.25">
      <c r="M541" s="46"/>
      <c r="N541" s="46"/>
      <c r="O541" s="46"/>
      <c r="P541" s="46"/>
      <c r="R541" s="15">
        <v>0.04</v>
      </c>
      <c r="S541" s="18">
        <f>(Tabela22[[#This Row],[FRETE]]+Tabela22[[#This Row],[DESPESAS]]+Tabela22[[#This Row],[IPI]]+Tabela22[[#This Row],[Vl. Produto]])*Tabela22[[#This Row],[Aliq.%]]</f>
        <v>0</v>
      </c>
    </row>
    <row r="542" spans="13:19" x14ac:dyDescent="0.25">
      <c r="M542" s="46"/>
      <c r="N542" s="46"/>
      <c r="O542" s="46"/>
      <c r="P542" s="46"/>
      <c r="R542" s="15">
        <v>0.04</v>
      </c>
      <c r="S542" s="18">
        <f>(Tabela22[[#This Row],[FRETE]]+Tabela22[[#This Row],[DESPESAS]]+Tabela22[[#This Row],[IPI]]+Tabela22[[#This Row],[Vl. Produto]])*Tabela22[[#This Row],[Aliq.%]]</f>
        <v>0</v>
      </c>
    </row>
    <row r="543" spans="13:19" x14ac:dyDescent="0.25">
      <c r="M543" s="46"/>
      <c r="N543" s="46"/>
      <c r="O543" s="46"/>
      <c r="P543" s="46"/>
      <c r="R543" s="15">
        <v>0.04</v>
      </c>
      <c r="S543" s="18">
        <f>(Tabela22[[#This Row],[FRETE]]+Tabela22[[#This Row],[DESPESAS]]+Tabela22[[#This Row],[IPI]]+Tabela22[[#This Row],[Vl. Produto]])*Tabela22[[#This Row],[Aliq.%]]</f>
        <v>0</v>
      </c>
    </row>
    <row r="544" spans="13:19" x14ac:dyDescent="0.25">
      <c r="M544" s="46"/>
      <c r="N544" s="46"/>
      <c r="O544" s="46"/>
      <c r="P544" s="46"/>
      <c r="R544" s="15">
        <v>0.04</v>
      </c>
      <c r="S544" s="18">
        <f>(Tabela22[[#This Row],[FRETE]]+Tabela22[[#This Row],[DESPESAS]]+Tabela22[[#This Row],[IPI]]+Tabela22[[#This Row],[Vl. Produto]])*Tabela22[[#This Row],[Aliq.%]]</f>
        <v>0</v>
      </c>
    </row>
    <row r="545" spans="13:19" x14ac:dyDescent="0.25">
      <c r="M545" s="46"/>
      <c r="N545" s="46"/>
      <c r="O545" s="46"/>
      <c r="P545" s="46"/>
      <c r="R545" s="15">
        <v>0.04</v>
      </c>
      <c r="S545" s="18">
        <f>(Tabela22[[#This Row],[FRETE]]+Tabela22[[#This Row],[DESPESAS]]+Tabela22[[#This Row],[IPI]]+Tabela22[[#This Row],[Vl. Produto]])*Tabela22[[#This Row],[Aliq.%]]</f>
        <v>0</v>
      </c>
    </row>
    <row r="546" spans="13:19" x14ac:dyDescent="0.25">
      <c r="M546" s="46"/>
      <c r="N546" s="46"/>
      <c r="O546" s="46"/>
      <c r="P546" s="46"/>
      <c r="R546" s="15">
        <v>0.04</v>
      </c>
      <c r="S546" s="18">
        <f>(Tabela22[[#This Row],[FRETE]]+Tabela22[[#This Row],[DESPESAS]]+Tabela22[[#This Row],[IPI]]+Tabela22[[#This Row],[Vl. Produto]])*Tabela22[[#This Row],[Aliq.%]]</f>
        <v>0</v>
      </c>
    </row>
    <row r="547" spans="13:19" x14ac:dyDescent="0.25">
      <c r="M547" s="46"/>
      <c r="N547" s="46"/>
      <c r="O547" s="46"/>
      <c r="P547" s="46"/>
      <c r="R547" s="15">
        <v>0.04</v>
      </c>
      <c r="S547" s="18">
        <f>(Tabela22[[#This Row],[FRETE]]+Tabela22[[#This Row],[DESPESAS]]+Tabela22[[#This Row],[IPI]]+Tabela22[[#This Row],[Vl. Produto]])*Tabela22[[#This Row],[Aliq.%]]</f>
        <v>0</v>
      </c>
    </row>
    <row r="548" spans="13:19" x14ac:dyDescent="0.25">
      <c r="M548" s="46"/>
      <c r="N548" s="46"/>
      <c r="O548" s="46"/>
      <c r="P548" s="46"/>
      <c r="R548" s="15">
        <v>0.04</v>
      </c>
      <c r="S548" s="18">
        <f>(Tabela22[[#This Row],[FRETE]]+Tabela22[[#This Row],[DESPESAS]]+Tabela22[[#This Row],[IPI]]+Tabela22[[#This Row],[Vl. Produto]])*Tabela22[[#This Row],[Aliq.%]]</f>
        <v>0</v>
      </c>
    </row>
    <row r="549" spans="13:19" x14ac:dyDescent="0.25">
      <c r="M549" s="46"/>
      <c r="N549" s="46"/>
      <c r="O549" s="46"/>
      <c r="P549" s="46"/>
      <c r="R549" s="15">
        <v>0.04</v>
      </c>
      <c r="S549" s="18">
        <f>(Tabela22[[#This Row],[FRETE]]+Tabela22[[#This Row],[DESPESAS]]+Tabela22[[#This Row],[IPI]]+Tabela22[[#This Row],[Vl. Produto]])*Tabela22[[#This Row],[Aliq.%]]</f>
        <v>0</v>
      </c>
    </row>
    <row r="550" spans="13:19" x14ac:dyDescent="0.25">
      <c r="M550" s="46"/>
      <c r="N550" s="46"/>
      <c r="O550" s="46"/>
      <c r="P550" s="46"/>
      <c r="R550" s="15">
        <v>0.04</v>
      </c>
      <c r="S550" s="18">
        <f>(Tabela22[[#This Row],[FRETE]]+Tabela22[[#This Row],[DESPESAS]]+Tabela22[[#This Row],[IPI]]+Tabela22[[#This Row],[Vl. Produto]])*Tabela22[[#This Row],[Aliq.%]]</f>
        <v>0</v>
      </c>
    </row>
    <row r="551" spans="13:19" x14ac:dyDescent="0.25">
      <c r="M551" s="46"/>
      <c r="N551" s="46"/>
      <c r="O551" s="46"/>
      <c r="P551" s="46"/>
      <c r="R551" s="15">
        <v>0.04</v>
      </c>
      <c r="S551" s="18">
        <f>(Tabela22[[#This Row],[FRETE]]+Tabela22[[#This Row],[DESPESAS]]+Tabela22[[#This Row],[IPI]]+Tabela22[[#This Row],[Vl. Produto]])*Tabela22[[#This Row],[Aliq.%]]</f>
        <v>0</v>
      </c>
    </row>
    <row r="552" spans="13:19" x14ac:dyDescent="0.25">
      <c r="M552" s="46"/>
      <c r="N552" s="46"/>
      <c r="O552" s="46"/>
      <c r="P552" s="46"/>
      <c r="R552" s="15">
        <v>0.04</v>
      </c>
      <c r="S552" s="18">
        <f>(Tabela22[[#This Row],[FRETE]]+Tabela22[[#This Row],[DESPESAS]]+Tabela22[[#This Row],[IPI]]+Tabela22[[#This Row],[Vl. Produto]])*Tabela22[[#This Row],[Aliq.%]]</f>
        <v>0</v>
      </c>
    </row>
    <row r="553" spans="13:19" x14ac:dyDescent="0.25">
      <c r="M553" s="46"/>
      <c r="N553" s="46"/>
      <c r="O553" s="46"/>
      <c r="P553" s="46"/>
      <c r="R553" s="15">
        <v>0.04</v>
      </c>
      <c r="S553" s="18">
        <f>(Tabela22[[#This Row],[FRETE]]+Tabela22[[#This Row],[DESPESAS]]+Tabela22[[#This Row],[IPI]]+Tabela22[[#This Row],[Vl. Produto]])*Tabela22[[#This Row],[Aliq.%]]</f>
        <v>0</v>
      </c>
    </row>
    <row r="554" spans="13:19" x14ac:dyDescent="0.25">
      <c r="M554" s="46"/>
      <c r="N554" s="46"/>
      <c r="O554" s="46"/>
      <c r="P554" s="46"/>
      <c r="R554" s="15">
        <v>0.04</v>
      </c>
      <c r="S554" s="18">
        <f>(Tabela22[[#This Row],[FRETE]]+Tabela22[[#This Row],[DESPESAS]]+Tabela22[[#This Row],[IPI]]+Tabela22[[#This Row],[Vl. Produto]])*Tabela22[[#This Row],[Aliq.%]]</f>
        <v>0</v>
      </c>
    </row>
    <row r="555" spans="13:19" x14ac:dyDescent="0.25">
      <c r="M555" s="46"/>
      <c r="N555" s="46"/>
      <c r="O555" s="46"/>
      <c r="P555" s="46"/>
      <c r="R555" s="15">
        <v>0.04</v>
      </c>
      <c r="S555" s="18">
        <f>(Tabela22[[#This Row],[FRETE]]+Tabela22[[#This Row],[DESPESAS]]+Tabela22[[#This Row],[IPI]]+Tabela22[[#This Row],[Vl. Produto]])*Tabela22[[#This Row],[Aliq.%]]</f>
        <v>0</v>
      </c>
    </row>
    <row r="556" spans="13:19" x14ac:dyDescent="0.25">
      <c r="M556" s="46"/>
      <c r="N556" s="46"/>
      <c r="O556" s="46"/>
      <c r="P556" s="46"/>
      <c r="R556" s="15">
        <v>0.04</v>
      </c>
      <c r="S556" s="18">
        <f>(Tabela22[[#This Row],[FRETE]]+Tabela22[[#This Row],[DESPESAS]]+Tabela22[[#This Row],[IPI]]+Tabela22[[#This Row],[Vl. Produto]])*Tabela22[[#This Row],[Aliq.%]]</f>
        <v>0</v>
      </c>
    </row>
    <row r="557" spans="13:19" x14ac:dyDescent="0.25">
      <c r="M557" s="46"/>
      <c r="N557" s="46"/>
      <c r="O557" s="46"/>
      <c r="P557" s="46"/>
      <c r="R557" s="15">
        <v>0.04</v>
      </c>
      <c r="S557" s="18">
        <f>(Tabela22[[#This Row],[FRETE]]+Tabela22[[#This Row],[DESPESAS]]+Tabela22[[#This Row],[IPI]]+Tabela22[[#This Row],[Vl. Produto]])*Tabela22[[#This Row],[Aliq.%]]</f>
        <v>0</v>
      </c>
    </row>
    <row r="558" spans="13:19" x14ac:dyDescent="0.25">
      <c r="M558" s="46"/>
      <c r="N558" s="46"/>
      <c r="O558" s="46"/>
      <c r="P558" s="46"/>
      <c r="R558" s="15">
        <v>0.04</v>
      </c>
      <c r="S558" s="18">
        <f>(Tabela22[[#This Row],[FRETE]]+Tabela22[[#This Row],[DESPESAS]]+Tabela22[[#This Row],[IPI]]+Tabela22[[#This Row],[Vl. Produto]])*Tabela22[[#This Row],[Aliq.%]]</f>
        <v>0</v>
      </c>
    </row>
    <row r="559" spans="13:19" x14ac:dyDescent="0.25">
      <c r="M559" s="46"/>
      <c r="N559" s="46"/>
      <c r="O559" s="46"/>
      <c r="P559" s="46"/>
      <c r="R559" s="15">
        <v>0.04</v>
      </c>
      <c r="S559" s="18">
        <f>(Tabela22[[#This Row],[FRETE]]+Tabela22[[#This Row],[DESPESAS]]+Tabela22[[#This Row],[IPI]]+Tabela22[[#This Row],[Vl. Produto]])*Tabela22[[#This Row],[Aliq.%]]</f>
        <v>0</v>
      </c>
    </row>
    <row r="560" spans="13:19" x14ac:dyDescent="0.25">
      <c r="M560" s="46"/>
      <c r="N560" s="46"/>
      <c r="O560" s="46"/>
      <c r="P560" s="46"/>
      <c r="R560" s="15">
        <v>0.04</v>
      </c>
      <c r="S560" s="18">
        <f>(Tabela22[[#This Row],[FRETE]]+Tabela22[[#This Row],[DESPESAS]]+Tabela22[[#This Row],[IPI]]+Tabela22[[#This Row],[Vl. Produto]])*Tabela22[[#This Row],[Aliq.%]]</f>
        <v>0</v>
      </c>
    </row>
    <row r="561" spans="13:19" x14ac:dyDescent="0.25">
      <c r="M561" s="46"/>
      <c r="N561" s="46"/>
      <c r="O561" s="46"/>
      <c r="P561" s="46"/>
      <c r="R561" s="15">
        <v>0.04</v>
      </c>
      <c r="S561" s="18">
        <f>(Tabela22[[#This Row],[FRETE]]+Tabela22[[#This Row],[DESPESAS]]+Tabela22[[#This Row],[IPI]]+Tabela22[[#This Row],[Vl. Produto]])*Tabela22[[#This Row],[Aliq.%]]</f>
        <v>0</v>
      </c>
    </row>
    <row r="562" spans="13:19" x14ac:dyDescent="0.25">
      <c r="M562" s="46"/>
      <c r="N562" s="46"/>
      <c r="O562" s="46"/>
      <c r="P562" s="46"/>
      <c r="R562" s="15">
        <v>0.04</v>
      </c>
      <c r="S562" s="18">
        <f>(Tabela22[[#This Row],[FRETE]]+Tabela22[[#This Row],[DESPESAS]]+Tabela22[[#This Row],[IPI]]+Tabela22[[#This Row],[Vl. Produto]])*Tabela22[[#This Row],[Aliq.%]]</f>
        <v>0</v>
      </c>
    </row>
    <row r="563" spans="13:19" x14ac:dyDescent="0.25">
      <c r="M563" s="46"/>
      <c r="N563" s="46"/>
      <c r="O563" s="46"/>
      <c r="P563" s="46"/>
      <c r="R563" s="15">
        <v>0.04</v>
      </c>
      <c r="S563" s="18">
        <f>(Tabela22[[#This Row],[FRETE]]+Tabela22[[#This Row],[DESPESAS]]+Tabela22[[#This Row],[IPI]]+Tabela22[[#This Row],[Vl. Produto]])*Tabela22[[#This Row],[Aliq.%]]</f>
        <v>0</v>
      </c>
    </row>
    <row r="564" spans="13:19" x14ac:dyDescent="0.25">
      <c r="M564" s="46"/>
      <c r="N564" s="46"/>
      <c r="O564" s="46"/>
      <c r="P564" s="46"/>
      <c r="R564" s="15">
        <v>0.04</v>
      </c>
      <c r="S564" s="18">
        <f>(Tabela22[[#This Row],[FRETE]]+Tabela22[[#This Row],[DESPESAS]]+Tabela22[[#This Row],[IPI]]+Tabela22[[#This Row],[Vl. Produto]])*Tabela22[[#This Row],[Aliq.%]]</f>
        <v>0</v>
      </c>
    </row>
    <row r="565" spans="13:19" x14ac:dyDescent="0.25">
      <c r="M565" s="46"/>
      <c r="N565" s="46"/>
      <c r="O565" s="46"/>
      <c r="P565" s="46"/>
      <c r="R565" s="15">
        <v>0.04</v>
      </c>
      <c r="S565" s="18">
        <f>(Tabela22[[#This Row],[FRETE]]+Tabela22[[#This Row],[DESPESAS]]+Tabela22[[#This Row],[IPI]]+Tabela22[[#This Row],[Vl. Produto]])*Tabela22[[#This Row],[Aliq.%]]</f>
        <v>0</v>
      </c>
    </row>
    <row r="566" spans="13:19" x14ac:dyDescent="0.25">
      <c r="M566" s="46"/>
      <c r="N566" s="46"/>
      <c r="O566" s="46"/>
      <c r="P566" s="46"/>
      <c r="R566" s="15">
        <v>0.04</v>
      </c>
      <c r="S566" s="18">
        <f>(Tabela22[[#This Row],[FRETE]]+Tabela22[[#This Row],[DESPESAS]]+Tabela22[[#This Row],[IPI]]+Tabela22[[#This Row],[Vl. Produto]])*Tabela22[[#This Row],[Aliq.%]]</f>
        <v>0</v>
      </c>
    </row>
    <row r="567" spans="13:19" x14ac:dyDescent="0.25">
      <c r="M567" s="46"/>
      <c r="N567" s="46"/>
      <c r="O567" s="46"/>
      <c r="P567" s="46"/>
      <c r="R567" s="15">
        <v>0.04</v>
      </c>
      <c r="S567" s="18">
        <f>(Tabela22[[#This Row],[FRETE]]+Tabela22[[#This Row],[DESPESAS]]+Tabela22[[#This Row],[IPI]]+Tabela22[[#This Row],[Vl. Produto]])*Tabela22[[#This Row],[Aliq.%]]</f>
        <v>0</v>
      </c>
    </row>
    <row r="568" spans="13:19" x14ac:dyDescent="0.25">
      <c r="M568" s="46"/>
      <c r="N568" s="46"/>
      <c r="O568" s="46"/>
      <c r="P568" s="46"/>
      <c r="R568" s="15">
        <v>0.04</v>
      </c>
      <c r="S568" s="18">
        <f>(Tabela22[[#This Row],[FRETE]]+Tabela22[[#This Row],[DESPESAS]]+Tabela22[[#This Row],[IPI]]+Tabela22[[#This Row],[Vl. Produto]])*Tabela22[[#This Row],[Aliq.%]]</f>
        <v>0</v>
      </c>
    </row>
    <row r="569" spans="13:19" x14ac:dyDescent="0.25">
      <c r="M569" s="46"/>
      <c r="N569" s="46"/>
      <c r="O569" s="46"/>
      <c r="P569" s="46"/>
      <c r="R569" s="15">
        <v>0.04</v>
      </c>
      <c r="S569" s="18">
        <f>(Tabela22[[#This Row],[FRETE]]+Tabela22[[#This Row],[DESPESAS]]+Tabela22[[#This Row],[IPI]]+Tabela22[[#This Row],[Vl. Produto]])*Tabela22[[#This Row],[Aliq.%]]</f>
        <v>0</v>
      </c>
    </row>
    <row r="570" spans="13:19" x14ac:dyDescent="0.25">
      <c r="M570" s="46"/>
      <c r="N570" s="46"/>
      <c r="O570" s="46"/>
      <c r="P570" s="46"/>
      <c r="R570" s="15">
        <v>0.04</v>
      </c>
      <c r="S570" s="18">
        <f>(Tabela22[[#This Row],[FRETE]]+Tabela22[[#This Row],[DESPESAS]]+Tabela22[[#This Row],[IPI]]+Tabela22[[#This Row],[Vl. Produto]])*Tabela22[[#This Row],[Aliq.%]]</f>
        <v>0</v>
      </c>
    </row>
    <row r="571" spans="13:19" x14ac:dyDescent="0.25">
      <c r="M571" s="46"/>
      <c r="N571" s="46"/>
      <c r="O571" s="46"/>
      <c r="P571" s="46"/>
      <c r="R571" s="15">
        <v>0.04</v>
      </c>
      <c r="S571" s="18">
        <f>(Tabela22[[#This Row],[FRETE]]+Tabela22[[#This Row],[DESPESAS]]+Tabela22[[#This Row],[IPI]]+Tabela22[[#This Row],[Vl. Produto]])*Tabela22[[#This Row],[Aliq.%]]</f>
        <v>0</v>
      </c>
    </row>
    <row r="572" spans="13:19" x14ac:dyDescent="0.25">
      <c r="M572" s="46"/>
      <c r="N572" s="46"/>
      <c r="O572" s="46"/>
      <c r="P572" s="46"/>
      <c r="R572" s="15">
        <v>0.04</v>
      </c>
      <c r="S572" s="18">
        <f>(Tabela22[[#This Row],[FRETE]]+Tabela22[[#This Row],[DESPESAS]]+Tabela22[[#This Row],[IPI]]+Tabela22[[#This Row],[Vl. Produto]])*Tabela22[[#This Row],[Aliq.%]]</f>
        <v>0</v>
      </c>
    </row>
    <row r="573" spans="13:19" x14ac:dyDescent="0.25">
      <c r="M573" s="46"/>
      <c r="N573" s="46"/>
      <c r="O573" s="46"/>
      <c r="P573" s="46"/>
      <c r="R573" s="15">
        <v>0.04</v>
      </c>
      <c r="S573" s="18">
        <f>(Tabela22[[#This Row],[FRETE]]+Tabela22[[#This Row],[DESPESAS]]+Tabela22[[#This Row],[IPI]]+Tabela22[[#This Row],[Vl. Produto]])*Tabela22[[#This Row],[Aliq.%]]</f>
        <v>0</v>
      </c>
    </row>
    <row r="574" spans="13:19" x14ac:dyDescent="0.25">
      <c r="M574" s="46"/>
      <c r="N574" s="46"/>
      <c r="O574" s="46"/>
      <c r="P574" s="46"/>
      <c r="R574" s="15">
        <v>0.04</v>
      </c>
      <c r="S574" s="18">
        <f>(Tabela22[[#This Row],[FRETE]]+Tabela22[[#This Row],[DESPESAS]]+Tabela22[[#This Row],[IPI]]+Tabela22[[#This Row],[Vl. Produto]])*Tabela22[[#This Row],[Aliq.%]]</f>
        <v>0</v>
      </c>
    </row>
    <row r="575" spans="13:19" x14ac:dyDescent="0.25">
      <c r="M575" s="46"/>
      <c r="N575" s="46"/>
      <c r="O575" s="46"/>
      <c r="P575" s="46"/>
      <c r="R575" s="15">
        <v>0.04</v>
      </c>
      <c r="S575" s="18">
        <f>(Tabela22[[#This Row],[FRETE]]+Tabela22[[#This Row],[DESPESAS]]+Tabela22[[#This Row],[IPI]]+Tabela22[[#This Row],[Vl. Produto]])*Tabela22[[#This Row],[Aliq.%]]</f>
        <v>0</v>
      </c>
    </row>
    <row r="576" spans="13:19" x14ac:dyDescent="0.25">
      <c r="M576" s="46"/>
      <c r="N576" s="46"/>
      <c r="O576" s="46"/>
      <c r="P576" s="46"/>
      <c r="R576" s="15">
        <v>0.04</v>
      </c>
      <c r="S576" s="18">
        <f>(Tabela22[[#This Row],[FRETE]]+Tabela22[[#This Row],[DESPESAS]]+Tabela22[[#This Row],[IPI]]+Tabela22[[#This Row],[Vl. Produto]])*Tabela22[[#This Row],[Aliq.%]]</f>
        <v>0</v>
      </c>
    </row>
    <row r="577" spans="13:19" x14ac:dyDescent="0.25">
      <c r="M577" s="46"/>
      <c r="N577" s="46"/>
      <c r="O577" s="46"/>
      <c r="P577" s="46"/>
      <c r="R577" s="15">
        <v>0.04</v>
      </c>
      <c r="S577" s="18">
        <f>(Tabela22[[#This Row],[FRETE]]+Tabela22[[#This Row],[DESPESAS]]+Tabela22[[#This Row],[IPI]]+Tabela22[[#This Row],[Vl. Produto]])*Tabela22[[#This Row],[Aliq.%]]</f>
        <v>0</v>
      </c>
    </row>
    <row r="578" spans="13:19" x14ac:dyDescent="0.25">
      <c r="M578" s="46"/>
      <c r="N578" s="46"/>
      <c r="O578" s="46"/>
      <c r="P578" s="46"/>
      <c r="R578" s="15">
        <v>0.04</v>
      </c>
      <c r="S578" s="18">
        <f>(Tabela22[[#This Row],[FRETE]]+Tabela22[[#This Row],[DESPESAS]]+Tabela22[[#This Row],[IPI]]+Tabela22[[#This Row],[Vl. Produto]])*Tabela22[[#This Row],[Aliq.%]]</f>
        <v>0</v>
      </c>
    </row>
    <row r="579" spans="13:19" x14ac:dyDescent="0.25">
      <c r="M579" s="46"/>
      <c r="N579" s="46"/>
      <c r="O579" s="46"/>
      <c r="P579" s="46"/>
      <c r="R579" s="15">
        <v>0.04</v>
      </c>
      <c r="S579" s="18">
        <f>(Tabela22[[#This Row],[FRETE]]+Tabela22[[#This Row],[DESPESAS]]+Tabela22[[#This Row],[IPI]]+Tabela22[[#This Row],[Vl. Produto]])*Tabela22[[#This Row],[Aliq.%]]</f>
        <v>0</v>
      </c>
    </row>
    <row r="580" spans="13:19" x14ac:dyDescent="0.25">
      <c r="M580" s="46"/>
      <c r="N580" s="46"/>
      <c r="O580" s="46"/>
      <c r="P580" s="46"/>
      <c r="R580" s="15">
        <v>0.04</v>
      </c>
      <c r="S580" s="18">
        <f>(Tabela22[[#This Row],[FRETE]]+Tabela22[[#This Row],[DESPESAS]]+Tabela22[[#This Row],[IPI]]+Tabela22[[#This Row],[Vl. Produto]])*Tabela22[[#This Row],[Aliq.%]]</f>
        <v>0</v>
      </c>
    </row>
    <row r="581" spans="13:19" x14ac:dyDescent="0.25">
      <c r="M581" s="46"/>
      <c r="N581" s="46"/>
      <c r="O581" s="46"/>
      <c r="P581" s="46"/>
      <c r="R581" s="15">
        <v>0.04</v>
      </c>
      <c r="S581" s="18">
        <f>(Tabela22[[#This Row],[FRETE]]+Tabela22[[#This Row],[DESPESAS]]+Tabela22[[#This Row],[IPI]]+Tabela22[[#This Row],[Vl. Produto]])*Tabela22[[#This Row],[Aliq.%]]</f>
        <v>0</v>
      </c>
    </row>
    <row r="582" spans="13:19" x14ac:dyDescent="0.25">
      <c r="M582" s="46"/>
      <c r="N582" s="46"/>
      <c r="O582" s="46"/>
      <c r="P582" s="46"/>
      <c r="R582" s="15">
        <v>0.04</v>
      </c>
      <c r="S582" s="18">
        <f>(Tabela22[[#This Row],[FRETE]]+Tabela22[[#This Row],[DESPESAS]]+Tabela22[[#This Row],[IPI]]+Tabela22[[#This Row],[Vl. Produto]])*Tabela22[[#This Row],[Aliq.%]]</f>
        <v>0</v>
      </c>
    </row>
    <row r="583" spans="13:19" x14ac:dyDescent="0.25">
      <c r="M583" s="46"/>
      <c r="N583" s="46"/>
      <c r="O583" s="46"/>
      <c r="P583" s="46"/>
      <c r="R583" s="15">
        <v>0.04</v>
      </c>
      <c r="S583" s="18">
        <f>(Tabela22[[#This Row],[FRETE]]+Tabela22[[#This Row],[DESPESAS]]+Tabela22[[#This Row],[IPI]]+Tabela22[[#This Row],[Vl. Produto]])*Tabela22[[#This Row],[Aliq.%]]</f>
        <v>0</v>
      </c>
    </row>
    <row r="584" spans="13:19" x14ac:dyDescent="0.25">
      <c r="M584" s="46"/>
      <c r="N584" s="46"/>
      <c r="O584" s="46"/>
      <c r="P584" s="46"/>
      <c r="R584" s="15">
        <v>0.04</v>
      </c>
      <c r="S584" s="18">
        <f>(Tabela22[[#This Row],[FRETE]]+Tabela22[[#This Row],[DESPESAS]]+Tabela22[[#This Row],[IPI]]+Tabela22[[#This Row],[Vl. Produto]])*Tabela22[[#This Row],[Aliq.%]]</f>
        <v>0</v>
      </c>
    </row>
    <row r="585" spans="13:19" x14ac:dyDescent="0.25">
      <c r="M585" s="46"/>
      <c r="N585" s="46"/>
      <c r="O585" s="46"/>
      <c r="P585" s="46"/>
      <c r="R585" s="15">
        <v>0.04</v>
      </c>
      <c r="S585" s="18">
        <f>(Tabela22[[#This Row],[FRETE]]+Tabela22[[#This Row],[DESPESAS]]+Tabela22[[#This Row],[IPI]]+Tabela22[[#This Row],[Vl. Produto]])*Tabela22[[#This Row],[Aliq.%]]</f>
        <v>0</v>
      </c>
    </row>
    <row r="586" spans="13:19" x14ac:dyDescent="0.25">
      <c r="M586" s="46"/>
      <c r="N586" s="46"/>
      <c r="O586" s="46"/>
      <c r="P586" s="46"/>
      <c r="R586" s="15">
        <v>0.04</v>
      </c>
      <c r="S586" s="18">
        <f>(Tabela22[[#This Row],[FRETE]]+Tabela22[[#This Row],[DESPESAS]]+Tabela22[[#This Row],[IPI]]+Tabela22[[#This Row],[Vl. Produto]])*Tabela22[[#This Row],[Aliq.%]]</f>
        <v>0</v>
      </c>
    </row>
    <row r="587" spans="13:19" x14ac:dyDescent="0.25">
      <c r="M587" s="46"/>
      <c r="N587" s="46"/>
      <c r="O587" s="46"/>
      <c r="P587" s="46"/>
      <c r="R587" s="15">
        <v>0.04</v>
      </c>
      <c r="S587" s="18">
        <f>(Tabela22[[#This Row],[FRETE]]+Tabela22[[#This Row],[DESPESAS]]+Tabela22[[#This Row],[IPI]]+Tabela22[[#This Row],[Vl. Produto]])*Tabela22[[#This Row],[Aliq.%]]</f>
        <v>0</v>
      </c>
    </row>
    <row r="588" spans="13:19" x14ac:dyDescent="0.25">
      <c r="M588" s="46"/>
      <c r="N588" s="46"/>
      <c r="O588" s="46"/>
      <c r="P588" s="46"/>
      <c r="R588" s="15">
        <v>0.04</v>
      </c>
      <c r="S588" s="18">
        <f>(Tabela22[[#This Row],[FRETE]]+Tabela22[[#This Row],[DESPESAS]]+Tabela22[[#This Row],[IPI]]+Tabela22[[#This Row],[Vl. Produto]])*Tabela22[[#This Row],[Aliq.%]]</f>
        <v>0</v>
      </c>
    </row>
    <row r="589" spans="13:19" x14ac:dyDescent="0.25">
      <c r="M589" s="46"/>
      <c r="N589" s="46"/>
      <c r="O589" s="46"/>
      <c r="P589" s="46"/>
      <c r="R589" s="15">
        <v>0.04</v>
      </c>
      <c r="S589" s="18">
        <f>(Tabela22[[#This Row],[FRETE]]+Tabela22[[#This Row],[DESPESAS]]+Tabela22[[#This Row],[IPI]]+Tabela22[[#This Row],[Vl. Produto]])*Tabela22[[#This Row],[Aliq.%]]</f>
        <v>0</v>
      </c>
    </row>
    <row r="590" spans="13:19" x14ac:dyDescent="0.25">
      <c r="M590" s="46"/>
      <c r="N590" s="46"/>
      <c r="O590" s="46"/>
      <c r="P590" s="46"/>
      <c r="R590" s="15">
        <v>0.04</v>
      </c>
      <c r="S590" s="18">
        <f>(Tabela22[[#This Row],[FRETE]]+Tabela22[[#This Row],[DESPESAS]]+Tabela22[[#This Row],[IPI]]+Tabela22[[#This Row],[Vl. Produto]])*Tabela22[[#This Row],[Aliq.%]]</f>
        <v>0</v>
      </c>
    </row>
    <row r="591" spans="13:19" x14ac:dyDescent="0.25">
      <c r="M591" s="46"/>
      <c r="N591" s="46"/>
      <c r="O591" s="46"/>
      <c r="P591" s="46"/>
      <c r="R591" s="15">
        <v>0.04</v>
      </c>
      <c r="S591" s="18">
        <f>(Tabela22[[#This Row],[FRETE]]+Tabela22[[#This Row],[DESPESAS]]+Tabela22[[#This Row],[IPI]]+Tabela22[[#This Row],[Vl. Produto]])*Tabela22[[#This Row],[Aliq.%]]</f>
        <v>0</v>
      </c>
    </row>
    <row r="592" spans="13:19" x14ac:dyDescent="0.25">
      <c r="M592" s="46"/>
      <c r="N592" s="46"/>
      <c r="O592" s="46"/>
      <c r="P592" s="46"/>
      <c r="R592" s="15">
        <v>0.04</v>
      </c>
      <c r="S592" s="18">
        <f>(Tabela22[[#This Row],[FRETE]]+Tabela22[[#This Row],[DESPESAS]]+Tabela22[[#This Row],[IPI]]+Tabela22[[#This Row],[Vl. Produto]])*Tabela22[[#This Row],[Aliq.%]]</f>
        <v>0</v>
      </c>
    </row>
    <row r="593" spans="13:19" x14ac:dyDescent="0.25">
      <c r="M593" s="46"/>
      <c r="N593" s="46"/>
      <c r="O593" s="46"/>
      <c r="P593" s="46"/>
      <c r="R593" s="15">
        <v>0.04</v>
      </c>
      <c r="S593" s="18">
        <f>(Tabela22[[#This Row],[FRETE]]+Tabela22[[#This Row],[DESPESAS]]+Tabela22[[#This Row],[IPI]]+Tabela22[[#This Row],[Vl. Produto]])*Tabela22[[#This Row],[Aliq.%]]</f>
        <v>0</v>
      </c>
    </row>
    <row r="594" spans="13:19" x14ac:dyDescent="0.25">
      <c r="M594" s="46"/>
      <c r="N594" s="46"/>
      <c r="O594" s="46"/>
      <c r="P594" s="46"/>
      <c r="R594" s="15">
        <v>0.04</v>
      </c>
      <c r="S594" s="18">
        <f>(Tabela22[[#This Row],[FRETE]]+Tabela22[[#This Row],[DESPESAS]]+Tabela22[[#This Row],[IPI]]+Tabela22[[#This Row],[Vl. Produto]])*Tabela22[[#This Row],[Aliq.%]]</f>
        <v>0</v>
      </c>
    </row>
    <row r="595" spans="13:19" x14ac:dyDescent="0.25">
      <c r="M595" s="46"/>
      <c r="N595" s="46"/>
      <c r="O595" s="46"/>
      <c r="P595" s="46"/>
      <c r="R595" s="15">
        <v>0.04</v>
      </c>
      <c r="S595" s="18">
        <f>(Tabela22[[#This Row],[FRETE]]+Tabela22[[#This Row],[DESPESAS]]+Tabela22[[#This Row],[IPI]]+Tabela22[[#This Row],[Vl. Produto]])*Tabela22[[#This Row],[Aliq.%]]</f>
        <v>0</v>
      </c>
    </row>
    <row r="596" spans="13:19" x14ac:dyDescent="0.25">
      <c r="M596" s="46"/>
      <c r="N596" s="46"/>
      <c r="O596" s="46"/>
      <c r="P596" s="46"/>
      <c r="R596" s="15">
        <v>0.04</v>
      </c>
      <c r="S596" s="18">
        <f>(Tabela22[[#This Row],[FRETE]]+Tabela22[[#This Row],[DESPESAS]]+Tabela22[[#This Row],[IPI]]+Tabela22[[#This Row],[Vl. Produto]])*Tabela22[[#This Row],[Aliq.%]]</f>
        <v>0</v>
      </c>
    </row>
    <row r="597" spans="13:19" x14ac:dyDescent="0.25">
      <c r="M597" s="46"/>
      <c r="N597" s="46"/>
      <c r="O597" s="46"/>
      <c r="P597" s="46"/>
      <c r="R597" s="15">
        <v>0.04</v>
      </c>
      <c r="S597" s="18">
        <f>(Tabela22[[#This Row],[FRETE]]+Tabela22[[#This Row],[DESPESAS]]+Tabela22[[#This Row],[IPI]]+Tabela22[[#This Row],[Vl. Produto]])*Tabela22[[#This Row],[Aliq.%]]</f>
        <v>0</v>
      </c>
    </row>
    <row r="598" spans="13:19" x14ac:dyDescent="0.25">
      <c r="M598" s="46"/>
      <c r="N598" s="46"/>
      <c r="O598" s="46"/>
      <c r="P598" s="46"/>
      <c r="R598" s="15">
        <v>0.04</v>
      </c>
      <c r="S598" s="18">
        <f>(Tabela22[[#This Row],[FRETE]]+Tabela22[[#This Row],[DESPESAS]]+Tabela22[[#This Row],[IPI]]+Tabela22[[#This Row],[Vl. Produto]])*Tabela22[[#This Row],[Aliq.%]]</f>
        <v>0</v>
      </c>
    </row>
    <row r="599" spans="13:19" x14ac:dyDescent="0.25">
      <c r="M599" s="46"/>
      <c r="N599" s="46"/>
      <c r="O599" s="46"/>
      <c r="P599" s="46"/>
      <c r="R599" s="15">
        <v>0.04</v>
      </c>
      <c r="S599" s="18">
        <f>(Tabela22[[#This Row],[FRETE]]+Tabela22[[#This Row],[DESPESAS]]+Tabela22[[#This Row],[IPI]]+Tabela22[[#This Row],[Vl. Produto]])*Tabela22[[#This Row],[Aliq.%]]</f>
        <v>0</v>
      </c>
    </row>
    <row r="600" spans="13:19" x14ac:dyDescent="0.25">
      <c r="M600" s="46"/>
      <c r="N600" s="46"/>
      <c r="O600" s="46"/>
      <c r="P600" s="46"/>
      <c r="R600" s="15">
        <v>0.04</v>
      </c>
      <c r="S600" s="18">
        <f>(Tabela22[[#This Row],[FRETE]]+Tabela22[[#This Row],[DESPESAS]]+Tabela22[[#This Row],[IPI]]+Tabela22[[#This Row],[Vl. Produto]])*Tabela22[[#This Row],[Aliq.%]]</f>
        <v>0</v>
      </c>
    </row>
    <row r="601" spans="13:19" x14ac:dyDescent="0.25">
      <c r="M601" s="46"/>
      <c r="N601" s="46"/>
      <c r="O601" s="46"/>
      <c r="P601" s="46"/>
      <c r="R601" s="15">
        <v>0.04</v>
      </c>
      <c r="S601" s="18">
        <f>(Tabela22[[#This Row],[FRETE]]+Tabela22[[#This Row],[DESPESAS]]+Tabela22[[#This Row],[IPI]]+Tabela22[[#This Row],[Vl. Produto]])*Tabela22[[#This Row],[Aliq.%]]</f>
        <v>0</v>
      </c>
    </row>
    <row r="602" spans="13:19" x14ac:dyDescent="0.25">
      <c r="M602" s="46"/>
      <c r="N602" s="46"/>
      <c r="O602" s="46"/>
      <c r="P602" s="46"/>
      <c r="R602" s="15">
        <v>0.04</v>
      </c>
      <c r="S602" s="18">
        <f>(Tabela22[[#This Row],[FRETE]]+Tabela22[[#This Row],[DESPESAS]]+Tabela22[[#This Row],[IPI]]+Tabela22[[#This Row],[Vl. Produto]])*Tabela22[[#This Row],[Aliq.%]]</f>
        <v>0</v>
      </c>
    </row>
    <row r="603" spans="13:19" x14ac:dyDescent="0.25">
      <c r="M603" s="46"/>
      <c r="N603" s="46"/>
      <c r="O603" s="46"/>
      <c r="P603" s="46"/>
      <c r="R603" s="15">
        <v>0.04</v>
      </c>
      <c r="S603" s="18">
        <f>(Tabela22[[#This Row],[FRETE]]+Tabela22[[#This Row],[DESPESAS]]+Tabela22[[#This Row],[IPI]]+Tabela22[[#This Row],[Vl. Produto]])*Tabela22[[#This Row],[Aliq.%]]</f>
        <v>0</v>
      </c>
    </row>
    <row r="604" spans="13:19" x14ac:dyDescent="0.25">
      <c r="M604" s="46"/>
      <c r="N604" s="46"/>
      <c r="O604" s="46"/>
      <c r="P604" s="46"/>
      <c r="R604" s="15">
        <v>0.04</v>
      </c>
      <c r="S604" s="18">
        <f>(Tabela22[[#This Row],[FRETE]]+Tabela22[[#This Row],[DESPESAS]]+Tabela22[[#This Row],[IPI]]+Tabela22[[#This Row],[Vl. Produto]])*Tabela22[[#This Row],[Aliq.%]]</f>
        <v>0</v>
      </c>
    </row>
    <row r="605" spans="13:19" x14ac:dyDescent="0.25">
      <c r="M605" s="46"/>
      <c r="N605" s="46"/>
      <c r="O605" s="46"/>
      <c r="P605" s="46"/>
      <c r="R605" s="15">
        <v>0.04</v>
      </c>
      <c r="S605" s="18">
        <f>(Tabela22[[#This Row],[FRETE]]+Tabela22[[#This Row],[DESPESAS]]+Tabela22[[#This Row],[IPI]]+Tabela22[[#This Row],[Vl. Produto]])*Tabela22[[#This Row],[Aliq.%]]</f>
        <v>0</v>
      </c>
    </row>
    <row r="606" spans="13:19" x14ac:dyDescent="0.25">
      <c r="M606" s="46"/>
      <c r="N606" s="46"/>
      <c r="O606" s="46"/>
      <c r="P606" s="46"/>
      <c r="R606" s="15">
        <v>0.04</v>
      </c>
      <c r="S606" s="18">
        <f>(Tabela22[[#This Row],[FRETE]]+Tabela22[[#This Row],[DESPESAS]]+Tabela22[[#This Row],[IPI]]+Tabela22[[#This Row],[Vl. Produto]])*Tabela22[[#This Row],[Aliq.%]]</f>
        <v>0</v>
      </c>
    </row>
    <row r="607" spans="13:19" x14ac:dyDescent="0.25">
      <c r="M607" s="46"/>
      <c r="N607" s="46"/>
      <c r="O607" s="46"/>
      <c r="P607" s="46"/>
      <c r="R607" s="15">
        <v>0.04</v>
      </c>
      <c r="S607" s="18">
        <f>(Tabela22[[#This Row],[FRETE]]+Tabela22[[#This Row],[DESPESAS]]+Tabela22[[#This Row],[IPI]]+Tabela22[[#This Row],[Vl. Produto]])*Tabela22[[#This Row],[Aliq.%]]</f>
        <v>0</v>
      </c>
    </row>
    <row r="608" spans="13:19" x14ac:dyDescent="0.25">
      <c r="M608" s="46"/>
      <c r="N608" s="46"/>
      <c r="O608" s="46"/>
      <c r="P608" s="46"/>
      <c r="R608" s="15">
        <v>0.04</v>
      </c>
      <c r="S608" s="18">
        <f>(Tabela22[[#This Row],[FRETE]]+Tabela22[[#This Row],[DESPESAS]]+Tabela22[[#This Row],[IPI]]+Tabela22[[#This Row],[Vl. Produto]])*Tabela22[[#This Row],[Aliq.%]]</f>
        <v>0</v>
      </c>
    </row>
    <row r="609" spans="13:19" x14ac:dyDescent="0.25">
      <c r="M609" s="46"/>
      <c r="N609" s="46"/>
      <c r="O609" s="46"/>
      <c r="P609" s="46"/>
      <c r="R609" s="15">
        <v>0.04</v>
      </c>
      <c r="S609" s="18">
        <f>(Tabela22[[#This Row],[FRETE]]+Tabela22[[#This Row],[DESPESAS]]+Tabela22[[#This Row],[IPI]]+Tabela22[[#This Row],[Vl. Produto]])*Tabela22[[#This Row],[Aliq.%]]</f>
        <v>0</v>
      </c>
    </row>
    <row r="610" spans="13:19" x14ac:dyDescent="0.25">
      <c r="M610" s="46"/>
      <c r="N610" s="46"/>
      <c r="O610" s="46"/>
      <c r="P610" s="46"/>
      <c r="R610" s="15">
        <v>0.04</v>
      </c>
      <c r="S610" s="18">
        <f>(Tabela22[[#This Row],[FRETE]]+Tabela22[[#This Row],[DESPESAS]]+Tabela22[[#This Row],[IPI]]+Tabela22[[#This Row],[Vl. Produto]])*Tabela22[[#This Row],[Aliq.%]]</f>
        <v>0</v>
      </c>
    </row>
    <row r="611" spans="13:19" x14ac:dyDescent="0.25">
      <c r="M611" s="46"/>
      <c r="N611" s="46"/>
      <c r="O611" s="46"/>
      <c r="P611" s="46"/>
      <c r="R611" s="15">
        <v>0.04</v>
      </c>
      <c r="S611" s="18">
        <f>(Tabela22[[#This Row],[FRETE]]+Tabela22[[#This Row],[DESPESAS]]+Tabela22[[#This Row],[IPI]]+Tabela22[[#This Row],[Vl. Produto]])*Tabela22[[#This Row],[Aliq.%]]</f>
        <v>0</v>
      </c>
    </row>
    <row r="612" spans="13:19" x14ac:dyDescent="0.25">
      <c r="M612" s="46"/>
      <c r="N612" s="46"/>
      <c r="O612" s="46"/>
      <c r="P612" s="46"/>
      <c r="R612" s="15">
        <v>0.04</v>
      </c>
      <c r="S612" s="18">
        <f>(Tabela22[[#This Row],[FRETE]]+Tabela22[[#This Row],[DESPESAS]]+Tabela22[[#This Row],[IPI]]+Tabela22[[#This Row],[Vl. Produto]])*Tabela22[[#This Row],[Aliq.%]]</f>
        <v>0</v>
      </c>
    </row>
    <row r="613" spans="13:19" x14ac:dyDescent="0.25">
      <c r="M613" s="46"/>
      <c r="N613" s="46"/>
      <c r="O613" s="46"/>
      <c r="P613" s="46"/>
      <c r="R613" s="15">
        <v>0.04</v>
      </c>
      <c r="S613" s="18">
        <f>(Tabela22[[#This Row],[FRETE]]+Tabela22[[#This Row],[DESPESAS]]+Tabela22[[#This Row],[IPI]]+Tabela22[[#This Row],[Vl. Produto]])*Tabela22[[#This Row],[Aliq.%]]</f>
        <v>0</v>
      </c>
    </row>
    <row r="614" spans="13:19" x14ac:dyDescent="0.25">
      <c r="M614" s="46"/>
      <c r="N614" s="46"/>
      <c r="O614" s="46"/>
      <c r="P614" s="46"/>
      <c r="R614" s="15">
        <v>0.04</v>
      </c>
      <c r="S614" s="18">
        <f>(Tabela22[[#This Row],[FRETE]]+Tabela22[[#This Row],[DESPESAS]]+Tabela22[[#This Row],[IPI]]+Tabela22[[#This Row],[Vl. Produto]])*Tabela22[[#This Row],[Aliq.%]]</f>
        <v>0</v>
      </c>
    </row>
    <row r="615" spans="13:19" x14ac:dyDescent="0.25">
      <c r="M615" s="46"/>
      <c r="N615" s="46"/>
      <c r="O615" s="46"/>
      <c r="P615" s="46"/>
      <c r="R615" s="15">
        <v>0.04</v>
      </c>
      <c r="S615" s="18">
        <f>(Tabela22[[#This Row],[FRETE]]+Tabela22[[#This Row],[DESPESAS]]+Tabela22[[#This Row],[IPI]]+Tabela22[[#This Row],[Vl. Produto]])*Tabela22[[#This Row],[Aliq.%]]</f>
        <v>0</v>
      </c>
    </row>
    <row r="616" spans="13:19" x14ac:dyDescent="0.25">
      <c r="M616" s="46"/>
      <c r="N616" s="46"/>
      <c r="O616" s="46"/>
      <c r="P616" s="46"/>
      <c r="R616" s="15">
        <v>0.04</v>
      </c>
      <c r="S616" s="18">
        <f>(Tabela22[[#This Row],[FRETE]]+Tabela22[[#This Row],[DESPESAS]]+Tabela22[[#This Row],[IPI]]+Tabela22[[#This Row],[Vl. Produto]])*Tabela22[[#This Row],[Aliq.%]]</f>
        <v>0</v>
      </c>
    </row>
    <row r="617" spans="13:19" x14ac:dyDescent="0.25">
      <c r="M617" s="46"/>
      <c r="N617" s="46"/>
      <c r="O617" s="46"/>
      <c r="P617" s="46"/>
      <c r="R617" s="15">
        <v>0.04</v>
      </c>
      <c r="S617" s="18">
        <f>(Tabela22[[#This Row],[FRETE]]+Tabela22[[#This Row],[DESPESAS]]+Tabela22[[#This Row],[IPI]]+Tabela22[[#This Row],[Vl. Produto]])*Tabela22[[#This Row],[Aliq.%]]</f>
        <v>0</v>
      </c>
    </row>
    <row r="618" spans="13:19" x14ac:dyDescent="0.25">
      <c r="M618" s="46"/>
      <c r="N618" s="46"/>
      <c r="O618" s="46"/>
      <c r="P618" s="46"/>
      <c r="R618" s="15">
        <v>0.04</v>
      </c>
      <c r="S618" s="18">
        <f>(Tabela22[[#This Row],[FRETE]]+Tabela22[[#This Row],[DESPESAS]]+Tabela22[[#This Row],[IPI]]+Tabela22[[#This Row],[Vl. Produto]])*Tabela22[[#This Row],[Aliq.%]]</f>
        <v>0</v>
      </c>
    </row>
    <row r="619" spans="13:19" x14ac:dyDescent="0.25">
      <c r="M619" s="46"/>
      <c r="N619" s="46"/>
      <c r="O619" s="46"/>
      <c r="P619" s="46"/>
      <c r="R619" s="15">
        <v>0.04</v>
      </c>
      <c r="S619" s="18">
        <f>(Tabela22[[#This Row],[FRETE]]+Tabela22[[#This Row],[DESPESAS]]+Tabela22[[#This Row],[IPI]]+Tabela22[[#This Row],[Vl. Produto]])*Tabela22[[#This Row],[Aliq.%]]</f>
        <v>0</v>
      </c>
    </row>
    <row r="620" spans="13:19" x14ac:dyDescent="0.25">
      <c r="M620" s="46"/>
      <c r="N620" s="46"/>
      <c r="O620" s="46"/>
      <c r="P620" s="46"/>
      <c r="R620" s="15">
        <v>0.04</v>
      </c>
      <c r="S620" s="18">
        <f>(Tabela22[[#This Row],[FRETE]]+Tabela22[[#This Row],[DESPESAS]]+Tabela22[[#This Row],[IPI]]+Tabela22[[#This Row],[Vl. Produto]])*Tabela22[[#This Row],[Aliq.%]]</f>
        <v>0</v>
      </c>
    </row>
    <row r="621" spans="13:19" x14ac:dyDescent="0.25">
      <c r="M621" s="46"/>
      <c r="N621" s="46"/>
      <c r="O621" s="46"/>
      <c r="P621" s="46"/>
      <c r="R621" s="15">
        <v>0.04</v>
      </c>
      <c r="S621" s="18">
        <f>(Tabela22[[#This Row],[FRETE]]+Tabela22[[#This Row],[DESPESAS]]+Tabela22[[#This Row],[IPI]]+Tabela22[[#This Row],[Vl. Produto]])*Tabela22[[#This Row],[Aliq.%]]</f>
        <v>0</v>
      </c>
    </row>
    <row r="622" spans="13:19" x14ac:dyDescent="0.25">
      <c r="M622" s="46"/>
      <c r="N622" s="46"/>
      <c r="O622" s="46"/>
      <c r="P622" s="46"/>
      <c r="R622" s="15">
        <v>0.04</v>
      </c>
      <c r="S622" s="18">
        <f>(Tabela22[[#This Row],[FRETE]]+Tabela22[[#This Row],[DESPESAS]]+Tabela22[[#This Row],[IPI]]+Tabela22[[#This Row],[Vl. Produto]])*Tabela22[[#This Row],[Aliq.%]]</f>
        <v>0</v>
      </c>
    </row>
    <row r="623" spans="13:19" x14ac:dyDescent="0.25">
      <c r="M623" s="46"/>
      <c r="N623" s="46"/>
      <c r="O623" s="46"/>
      <c r="P623" s="46"/>
      <c r="R623" s="15">
        <v>0.04</v>
      </c>
      <c r="S623" s="18">
        <f>(Tabela22[[#This Row],[FRETE]]+Tabela22[[#This Row],[DESPESAS]]+Tabela22[[#This Row],[IPI]]+Tabela22[[#This Row],[Vl. Produto]])*Tabela22[[#This Row],[Aliq.%]]</f>
        <v>0</v>
      </c>
    </row>
    <row r="624" spans="13:19" x14ac:dyDescent="0.25">
      <c r="M624" s="46"/>
      <c r="N624" s="46"/>
      <c r="O624" s="46"/>
      <c r="P624" s="46"/>
      <c r="R624" s="15">
        <v>0.04</v>
      </c>
      <c r="S624" s="18">
        <f>(Tabela22[[#This Row],[FRETE]]+Tabela22[[#This Row],[DESPESAS]]+Tabela22[[#This Row],[IPI]]+Tabela22[[#This Row],[Vl. Produto]])*Tabela22[[#This Row],[Aliq.%]]</f>
        <v>0</v>
      </c>
    </row>
    <row r="625" spans="13:19" x14ac:dyDescent="0.25">
      <c r="M625" s="46"/>
      <c r="N625" s="46"/>
      <c r="O625" s="46"/>
      <c r="P625" s="46"/>
      <c r="R625" s="15">
        <v>0.04</v>
      </c>
      <c r="S625" s="18">
        <f>(Tabela22[[#This Row],[FRETE]]+Tabela22[[#This Row],[DESPESAS]]+Tabela22[[#This Row],[IPI]]+Tabela22[[#This Row],[Vl. Produto]])*Tabela22[[#This Row],[Aliq.%]]</f>
        <v>0</v>
      </c>
    </row>
    <row r="626" spans="13:19" x14ac:dyDescent="0.25">
      <c r="M626" s="46"/>
      <c r="N626" s="46"/>
      <c r="O626" s="46"/>
      <c r="P626" s="46"/>
      <c r="R626" s="15">
        <v>0.04</v>
      </c>
      <c r="S626" s="18">
        <f>(Tabela22[[#This Row],[FRETE]]+Tabela22[[#This Row],[DESPESAS]]+Tabela22[[#This Row],[IPI]]+Tabela22[[#This Row],[Vl. Produto]])*Tabela22[[#This Row],[Aliq.%]]</f>
        <v>0</v>
      </c>
    </row>
    <row r="627" spans="13:19" x14ac:dyDescent="0.25">
      <c r="M627" s="46"/>
      <c r="N627" s="46"/>
      <c r="O627" s="46"/>
      <c r="P627" s="46"/>
      <c r="R627" s="15">
        <v>0.04</v>
      </c>
      <c r="S627" s="18">
        <f>(Tabela22[[#This Row],[FRETE]]+Tabela22[[#This Row],[DESPESAS]]+Tabela22[[#This Row],[IPI]]+Tabela22[[#This Row],[Vl. Produto]])*Tabela22[[#This Row],[Aliq.%]]</f>
        <v>0</v>
      </c>
    </row>
    <row r="628" spans="13:19" x14ac:dyDescent="0.25">
      <c r="M628" s="46"/>
      <c r="N628" s="46"/>
      <c r="O628" s="46"/>
      <c r="P628" s="46"/>
      <c r="R628" s="15">
        <v>0.04</v>
      </c>
      <c r="S628" s="18">
        <f>(Tabela22[[#This Row],[FRETE]]+Tabela22[[#This Row],[DESPESAS]]+Tabela22[[#This Row],[IPI]]+Tabela22[[#This Row],[Vl. Produto]])*Tabela22[[#This Row],[Aliq.%]]</f>
        <v>0</v>
      </c>
    </row>
    <row r="629" spans="13:19" x14ac:dyDescent="0.25">
      <c r="M629" s="46"/>
      <c r="N629" s="46"/>
      <c r="O629" s="46"/>
      <c r="P629" s="46"/>
      <c r="R629" s="15">
        <v>0.04</v>
      </c>
      <c r="S629" s="18">
        <f>(Tabela22[[#This Row],[FRETE]]+Tabela22[[#This Row],[DESPESAS]]+Tabela22[[#This Row],[IPI]]+Tabela22[[#This Row],[Vl. Produto]])*Tabela22[[#This Row],[Aliq.%]]</f>
        <v>0</v>
      </c>
    </row>
    <row r="630" spans="13:19" x14ac:dyDescent="0.25">
      <c r="M630" s="46"/>
      <c r="N630" s="46"/>
      <c r="O630" s="46"/>
      <c r="P630" s="46"/>
      <c r="R630" s="15">
        <v>0.04</v>
      </c>
      <c r="S630" s="18">
        <f>(Tabela22[[#This Row],[FRETE]]+Tabela22[[#This Row],[DESPESAS]]+Tabela22[[#This Row],[IPI]]+Tabela22[[#This Row],[Vl. Produto]])*Tabela22[[#This Row],[Aliq.%]]</f>
        <v>0</v>
      </c>
    </row>
    <row r="631" spans="13:19" x14ac:dyDescent="0.25">
      <c r="M631" s="46"/>
      <c r="N631" s="46"/>
      <c r="O631" s="46"/>
      <c r="P631" s="46"/>
      <c r="R631" s="15">
        <v>0.04</v>
      </c>
      <c r="S631" s="18">
        <f>(Tabela22[[#This Row],[FRETE]]+Tabela22[[#This Row],[DESPESAS]]+Tabela22[[#This Row],[IPI]]+Tabela22[[#This Row],[Vl. Produto]])*Tabela22[[#This Row],[Aliq.%]]</f>
        <v>0</v>
      </c>
    </row>
    <row r="632" spans="13:19" x14ac:dyDescent="0.25">
      <c r="M632" s="46"/>
      <c r="N632" s="46"/>
      <c r="O632" s="46"/>
      <c r="P632" s="46"/>
      <c r="R632" s="15">
        <v>0.04</v>
      </c>
      <c r="S632" s="18">
        <f>(Tabela22[[#This Row],[FRETE]]+Tabela22[[#This Row],[DESPESAS]]+Tabela22[[#This Row],[IPI]]+Tabela22[[#This Row],[Vl. Produto]])*Tabela22[[#This Row],[Aliq.%]]</f>
        <v>0</v>
      </c>
    </row>
    <row r="633" spans="13:19" x14ac:dyDescent="0.25">
      <c r="M633" s="46"/>
      <c r="N633" s="46"/>
      <c r="O633" s="46"/>
      <c r="P633" s="46"/>
      <c r="R633" s="15">
        <v>0.04</v>
      </c>
      <c r="S633" s="18">
        <f>(Tabela22[[#This Row],[FRETE]]+Tabela22[[#This Row],[DESPESAS]]+Tabela22[[#This Row],[IPI]]+Tabela22[[#This Row],[Vl. Produto]])*Tabela22[[#This Row],[Aliq.%]]</f>
        <v>0</v>
      </c>
    </row>
    <row r="634" spans="13:19" x14ac:dyDescent="0.25">
      <c r="M634" s="46"/>
      <c r="N634" s="46"/>
      <c r="O634" s="46"/>
      <c r="P634" s="46"/>
      <c r="R634" s="15">
        <v>0.04</v>
      </c>
      <c r="S634" s="18">
        <f>(Tabela22[[#This Row],[FRETE]]+Tabela22[[#This Row],[DESPESAS]]+Tabela22[[#This Row],[IPI]]+Tabela22[[#This Row],[Vl. Produto]])*Tabela22[[#This Row],[Aliq.%]]</f>
        <v>0</v>
      </c>
    </row>
    <row r="635" spans="13:19" x14ac:dyDescent="0.25">
      <c r="M635" s="46"/>
      <c r="N635" s="46"/>
      <c r="O635" s="46"/>
      <c r="P635" s="46"/>
      <c r="R635" s="15">
        <v>0.04</v>
      </c>
      <c r="S635" s="18">
        <f>(Tabela22[[#This Row],[FRETE]]+Tabela22[[#This Row],[DESPESAS]]+Tabela22[[#This Row],[IPI]]+Tabela22[[#This Row],[Vl. Produto]])*Tabela22[[#This Row],[Aliq.%]]</f>
        <v>0</v>
      </c>
    </row>
    <row r="636" spans="13:19" x14ac:dyDescent="0.25">
      <c r="M636" s="46"/>
      <c r="N636" s="46"/>
      <c r="O636" s="46"/>
      <c r="P636" s="46"/>
      <c r="R636" s="15">
        <v>0.04</v>
      </c>
      <c r="S636" s="18">
        <f>(Tabela22[[#This Row],[FRETE]]+Tabela22[[#This Row],[DESPESAS]]+Tabela22[[#This Row],[IPI]]+Tabela22[[#This Row],[Vl. Produto]])*Tabela22[[#This Row],[Aliq.%]]</f>
        <v>0</v>
      </c>
    </row>
    <row r="637" spans="13:19" x14ac:dyDescent="0.25">
      <c r="M637" s="46"/>
      <c r="N637" s="46"/>
      <c r="O637" s="46"/>
      <c r="P637" s="46"/>
      <c r="R637" s="15">
        <v>0.04</v>
      </c>
      <c r="S637" s="18">
        <f>(Tabela22[[#This Row],[FRETE]]+Tabela22[[#This Row],[DESPESAS]]+Tabela22[[#This Row],[IPI]]+Tabela22[[#This Row],[Vl. Produto]])*Tabela22[[#This Row],[Aliq.%]]</f>
        <v>0</v>
      </c>
    </row>
    <row r="638" spans="13:19" x14ac:dyDescent="0.25">
      <c r="M638" s="46"/>
      <c r="N638" s="46"/>
      <c r="O638" s="46"/>
      <c r="P638" s="46"/>
      <c r="R638" s="15">
        <v>0.04</v>
      </c>
      <c r="S638" s="18">
        <f>(Tabela22[[#This Row],[FRETE]]+Tabela22[[#This Row],[DESPESAS]]+Tabela22[[#This Row],[IPI]]+Tabela22[[#This Row],[Vl. Produto]])*Tabela22[[#This Row],[Aliq.%]]</f>
        <v>0</v>
      </c>
    </row>
    <row r="639" spans="13:19" x14ac:dyDescent="0.25">
      <c r="M639" s="46"/>
      <c r="N639" s="46"/>
      <c r="O639" s="46"/>
      <c r="P639" s="46"/>
      <c r="R639" s="15">
        <v>0.04</v>
      </c>
      <c r="S639" s="18">
        <f>(Tabela22[[#This Row],[FRETE]]+Tabela22[[#This Row],[DESPESAS]]+Tabela22[[#This Row],[IPI]]+Tabela22[[#This Row],[Vl. Produto]])*Tabela22[[#This Row],[Aliq.%]]</f>
        <v>0</v>
      </c>
    </row>
    <row r="640" spans="13:19" x14ac:dyDescent="0.25">
      <c r="M640" s="46"/>
      <c r="N640" s="46"/>
      <c r="O640" s="46"/>
      <c r="P640" s="46"/>
      <c r="R640" s="15">
        <v>0.04</v>
      </c>
      <c r="S640" s="18">
        <f>(Tabela22[[#This Row],[FRETE]]+Tabela22[[#This Row],[DESPESAS]]+Tabela22[[#This Row],[IPI]]+Tabela22[[#This Row],[Vl. Produto]])*Tabela22[[#This Row],[Aliq.%]]</f>
        <v>0</v>
      </c>
    </row>
    <row r="641" spans="13:19" x14ac:dyDescent="0.25">
      <c r="M641" s="46"/>
      <c r="N641" s="46"/>
      <c r="O641" s="46"/>
      <c r="P641" s="46"/>
      <c r="R641" s="15">
        <v>0.04</v>
      </c>
      <c r="S641" s="18">
        <f>(Tabela22[[#This Row],[FRETE]]+Tabela22[[#This Row],[DESPESAS]]+Tabela22[[#This Row],[IPI]]+Tabela22[[#This Row],[Vl. Produto]])*Tabela22[[#This Row],[Aliq.%]]</f>
        <v>0</v>
      </c>
    </row>
    <row r="642" spans="13:19" x14ac:dyDescent="0.25">
      <c r="M642" s="46"/>
      <c r="N642" s="46"/>
      <c r="O642" s="46"/>
      <c r="P642" s="46"/>
      <c r="R642" s="15">
        <v>0.04</v>
      </c>
      <c r="S642" s="18">
        <f>(Tabela22[[#This Row],[FRETE]]+Tabela22[[#This Row],[DESPESAS]]+Tabela22[[#This Row],[IPI]]+Tabela22[[#This Row],[Vl. Produto]])*Tabela22[[#This Row],[Aliq.%]]</f>
        <v>0</v>
      </c>
    </row>
    <row r="643" spans="13:19" x14ac:dyDescent="0.25">
      <c r="M643" s="46"/>
      <c r="N643" s="46"/>
      <c r="O643" s="46"/>
      <c r="P643" s="46"/>
      <c r="R643" s="15">
        <v>0.04</v>
      </c>
      <c r="S643" s="18">
        <f>(Tabela22[[#This Row],[FRETE]]+Tabela22[[#This Row],[DESPESAS]]+Tabela22[[#This Row],[IPI]]+Tabela22[[#This Row],[Vl. Produto]])*Tabela22[[#This Row],[Aliq.%]]</f>
        <v>0</v>
      </c>
    </row>
    <row r="644" spans="13:19" x14ac:dyDescent="0.25">
      <c r="M644" s="46"/>
      <c r="N644" s="46"/>
      <c r="O644" s="46"/>
      <c r="P644" s="46"/>
      <c r="R644" s="15">
        <v>0.04</v>
      </c>
      <c r="S644" s="18">
        <f>(Tabela22[[#This Row],[FRETE]]+Tabela22[[#This Row],[DESPESAS]]+Tabela22[[#This Row],[IPI]]+Tabela22[[#This Row],[Vl. Produto]])*Tabela22[[#This Row],[Aliq.%]]</f>
        <v>0</v>
      </c>
    </row>
    <row r="645" spans="13:19" x14ac:dyDescent="0.25">
      <c r="M645" s="46"/>
      <c r="N645" s="46"/>
      <c r="O645" s="46"/>
      <c r="P645" s="46"/>
      <c r="R645" s="15">
        <v>0.04</v>
      </c>
      <c r="S645" s="18">
        <f>(Tabela22[[#This Row],[FRETE]]+Tabela22[[#This Row],[DESPESAS]]+Tabela22[[#This Row],[IPI]]+Tabela22[[#This Row],[Vl. Produto]])*Tabela22[[#This Row],[Aliq.%]]</f>
        <v>0</v>
      </c>
    </row>
    <row r="646" spans="13:19" x14ac:dyDescent="0.25">
      <c r="M646" s="46"/>
      <c r="N646" s="46"/>
      <c r="O646" s="46"/>
      <c r="P646" s="46"/>
      <c r="R646" s="15">
        <v>0.04</v>
      </c>
      <c r="S646" s="18">
        <f>(Tabela22[[#This Row],[FRETE]]+Tabela22[[#This Row],[DESPESAS]]+Tabela22[[#This Row],[IPI]]+Tabela22[[#This Row],[Vl. Produto]])*Tabela22[[#This Row],[Aliq.%]]</f>
        <v>0</v>
      </c>
    </row>
    <row r="647" spans="13:19" x14ac:dyDescent="0.25">
      <c r="M647" s="46"/>
      <c r="N647" s="46"/>
      <c r="O647" s="46"/>
      <c r="P647" s="46"/>
      <c r="R647" s="15">
        <v>0.04</v>
      </c>
      <c r="S647" s="18">
        <f>(Tabela22[[#This Row],[FRETE]]+Tabela22[[#This Row],[DESPESAS]]+Tabela22[[#This Row],[IPI]]+Tabela22[[#This Row],[Vl. Produto]])*Tabela22[[#This Row],[Aliq.%]]</f>
        <v>0</v>
      </c>
    </row>
    <row r="648" spans="13:19" x14ac:dyDescent="0.25">
      <c r="M648" s="46"/>
      <c r="N648" s="46"/>
      <c r="O648" s="46"/>
      <c r="P648" s="46"/>
      <c r="R648" s="15">
        <v>0.04</v>
      </c>
      <c r="S648" s="18">
        <f>(Tabela22[[#This Row],[FRETE]]+Tabela22[[#This Row],[DESPESAS]]+Tabela22[[#This Row],[IPI]]+Tabela22[[#This Row],[Vl. Produto]])*Tabela22[[#This Row],[Aliq.%]]</f>
        <v>0</v>
      </c>
    </row>
    <row r="649" spans="13:19" x14ac:dyDescent="0.25">
      <c r="M649" s="46"/>
      <c r="N649" s="46"/>
      <c r="O649" s="46"/>
      <c r="P649" s="46"/>
      <c r="R649" s="15">
        <v>0.04</v>
      </c>
      <c r="S649" s="18">
        <f>(Tabela22[[#This Row],[FRETE]]+Tabela22[[#This Row],[DESPESAS]]+Tabela22[[#This Row],[IPI]]+Tabela22[[#This Row],[Vl. Produto]])*Tabela22[[#This Row],[Aliq.%]]</f>
        <v>0</v>
      </c>
    </row>
    <row r="650" spans="13:19" x14ac:dyDescent="0.25">
      <c r="M650" s="46"/>
      <c r="N650" s="46"/>
      <c r="O650" s="46"/>
      <c r="P650" s="46"/>
      <c r="R650" s="15">
        <v>0.04</v>
      </c>
      <c r="S650" s="18">
        <f>(Tabela22[[#This Row],[FRETE]]+Tabela22[[#This Row],[DESPESAS]]+Tabela22[[#This Row],[IPI]]+Tabela22[[#This Row],[Vl. Produto]])*Tabela22[[#This Row],[Aliq.%]]</f>
        <v>0</v>
      </c>
    </row>
    <row r="651" spans="13:19" x14ac:dyDescent="0.25">
      <c r="M651" s="46"/>
      <c r="N651" s="46"/>
      <c r="O651" s="46"/>
      <c r="P651" s="46"/>
      <c r="R651" s="15">
        <v>0.04</v>
      </c>
      <c r="S651" s="18">
        <f>(Tabela22[[#This Row],[FRETE]]+Tabela22[[#This Row],[DESPESAS]]+Tabela22[[#This Row],[IPI]]+Tabela22[[#This Row],[Vl. Produto]])*Tabela22[[#This Row],[Aliq.%]]</f>
        <v>0</v>
      </c>
    </row>
    <row r="652" spans="13:19" x14ac:dyDescent="0.25">
      <c r="M652" s="46"/>
      <c r="N652" s="46"/>
      <c r="O652" s="46"/>
      <c r="P652" s="46"/>
      <c r="R652" s="15">
        <v>0.04</v>
      </c>
      <c r="S652" s="18">
        <f>(Tabela22[[#This Row],[FRETE]]+Tabela22[[#This Row],[DESPESAS]]+Tabela22[[#This Row],[IPI]]+Tabela22[[#This Row],[Vl. Produto]])*Tabela22[[#This Row],[Aliq.%]]</f>
        <v>0</v>
      </c>
    </row>
    <row r="653" spans="13:19" x14ac:dyDescent="0.25">
      <c r="M653" s="46"/>
      <c r="N653" s="46"/>
      <c r="O653" s="46"/>
      <c r="P653" s="46"/>
      <c r="R653" s="15">
        <v>0.04</v>
      </c>
      <c r="S653" s="18">
        <f>(Tabela22[[#This Row],[FRETE]]+Tabela22[[#This Row],[DESPESAS]]+Tabela22[[#This Row],[IPI]]+Tabela22[[#This Row],[Vl. Produto]])*Tabela22[[#This Row],[Aliq.%]]</f>
        <v>0</v>
      </c>
    </row>
    <row r="654" spans="13:19" x14ac:dyDescent="0.25">
      <c r="M654" s="46"/>
      <c r="N654" s="46"/>
      <c r="O654" s="46"/>
      <c r="P654" s="46"/>
      <c r="R654" s="15">
        <v>0.04</v>
      </c>
      <c r="S654" s="18">
        <f>(Tabela22[[#This Row],[FRETE]]+Tabela22[[#This Row],[DESPESAS]]+Tabela22[[#This Row],[IPI]]+Tabela22[[#This Row],[Vl. Produto]])*Tabela22[[#This Row],[Aliq.%]]</f>
        <v>0</v>
      </c>
    </row>
    <row r="655" spans="13:19" x14ac:dyDescent="0.25">
      <c r="M655" s="46"/>
      <c r="N655" s="46"/>
      <c r="O655" s="46"/>
      <c r="P655" s="46"/>
      <c r="R655" s="15">
        <v>0.04</v>
      </c>
      <c r="S655" s="18">
        <f>(Tabela22[[#This Row],[FRETE]]+Tabela22[[#This Row],[DESPESAS]]+Tabela22[[#This Row],[IPI]]+Tabela22[[#This Row],[Vl. Produto]])*Tabela22[[#This Row],[Aliq.%]]</f>
        <v>0</v>
      </c>
    </row>
    <row r="656" spans="13:19" x14ac:dyDescent="0.25">
      <c r="M656" s="46"/>
      <c r="N656" s="46"/>
      <c r="O656" s="46"/>
      <c r="P656" s="46"/>
      <c r="R656" s="15">
        <v>0.04</v>
      </c>
      <c r="S656" s="18">
        <f>(Tabela22[[#This Row],[FRETE]]+Tabela22[[#This Row],[DESPESAS]]+Tabela22[[#This Row],[IPI]]+Tabela22[[#This Row],[Vl. Produto]])*Tabela22[[#This Row],[Aliq.%]]</f>
        <v>0</v>
      </c>
    </row>
    <row r="657" spans="13:19" x14ac:dyDescent="0.25">
      <c r="M657" s="46"/>
      <c r="N657" s="46"/>
      <c r="O657" s="46"/>
      <c r="P657" s="46"/>
      <c r="R657" s="15">
        <v>0.04</v>
      </c>
      <c r="S657" s="18">
        <f>(Tabela22[[#This Row],[FRETE]]+Tabela22[[#This Row],[DESPESAS]]+Tabela22[[#This Row],[IPI]]+Tabela22[[#This Row],[Vl. Produto]])*Tabela22[[#This Row],[Aliq.%]]</f>
        <v>0</v>
      </c>
    </row>
    <row r="658" spans="13:19" x14ac:dyDescent="0.25">
      <c r="M658" s="46"/>
      <c r="N658" s="46"/>
      <c r="O658" s="46"/>
      <c r="P658" s="46"/>
      <c r="R658" s="15">
        <v>0.04</v>
      </c>
      <c r="S658" s="18">
        <f>(Tabela22[[#This Row],[FRETE]]+Tabela22[[#This Row],[DESPESAS]]+Tabela22[[#This Row],[IPI]]+Tabela22[[#This Row],[Vl. Produto]])*Tabela22[[#This Row],[Aliq.%]]</f>
        <v>0</v>
      </c>
    </row>
    <row r="659" spans="13:19" x14ac:dyDescent="0.25">
      <c r="M659" s="46"/>
      <c r="N659" s="46"/>
      <c r="O659" s="46"/>
      <c r="P659" s="46"/>
      <c r="R659" s="15">
        <v>0.04</v>
      </c>
      <c r="S659" s="18">
        <f>(Tabela22[[#This Row],[FRETE]]+Tabela22[[#This Row],[DESPESAS]]+Tabela22[[#This Row],[IPI]]+Tabela22[[#This Row],[Vl. Produto]])*Tabela22[[#This Row],[Aliq.%]]</f>
        <v>0</v>
      </c>
    </row>
    <row r="660" spans="13:19" x14ac:dyDescent="0.25">
      <c r="M660" s="46"/>
      <c r="N660" s="46"/>
      <c r="O660" s="46"/>
      <c r="P660" s="46"/>
      <c r="R660" s="15">
        <v>0.04</v>
      </c>
      <c r="S660" s="18">
        <f>(Tabela22[[#This Row],[FRETE]]+Tabela22[[#This Row],[DESPESAS]]+Tabela22[[#This Row],[IPI]]+Tabela22[[#This Row],[Vl. Produto]])*Tabela22[[#This Row],[Aliq.%]]</f>
        <v>0</v>
      </c>
    </row>
    <row r="661" spans="13:19" x14ac:dyDescent="0.25">
      <c r="M661" s="46"/>
      <c r="N661" s="46"/>
      <c r="O661" s="46"/>
      <c r="P661" s="46"/>
      <c r="R661" s="15">
        <v>0.04</v>
      </c>
      <c r="S661" s="18">
        <f>(Tabela22[[#This Row],[FRETE]]+Tabela22[[#This Row],[DESPESAS]]+Tabela22[[#This Row],[IPI]]+Tabela22[[#This Row],[Vl. Produto]])*Tabela22[[#This Row],[Aliq.%]]</f>
        <v>0</v>
      </c>
    </row>
    <row r="662" spans="13:19" x14ac:dyDescent="0.25">
      <c r="M662" s="46"/>
      <c r="N662" s="46"/>
      <c r="O662" s="46"/>
      <c r="P662" s="46"/>
      <c r="R662" s="15">
        <v>0.04</v>
      </c>
      <c r="S662" s="18">
        <f>(Tabela22[[#This Row],[FRETE]]+Tabela22[[#This Row],[DESPESAS]]+Tabela22[[#This Row],[IPI]]+Tabela22[[#This Row],[Vl. Produto]])*Tabela22[[#This Row],[Aliq.%]]</f>
        <v>0</v>
      </c>
    </row>
    <row r="663" spans="13:19" x14ac:dyDescent="0.25">
      <c r="M663" s="46"/>
      <c r="N663" s="46"/>
      <c r="O663" s="46"/>
      <c r="P663" s="46"/>
      <c r="R663" s="15">
        <v>0.04</v>
      </c>
      <c r="S663" s="18">
        <f>(Tabela22[[#This Row],[FRETE]]+Tabela22[[#This Row],[DESPESAS]]+Tabela22[[#This Row],[IPI]]+Tabela22[[#This Row],[Vl. Produto]])*Tabela22[[#This Row],[Aliq.%]]</f>
        <v>0</v>
      </c>
    </row>
    <row r="664" spans="13:19" x14ac:dyDescent="0.25">
      <c r="M664" s="46"/>
      <c r="N664" s="46"/>
      <c r="O664" s="46"/>
      <c r="P664" s="46"/>
      <c r="R664" s="15">
        <v>0.04</v>
      </c>
      <c r="S664" s="18">
        <f>(Tabela22[[#This Row],[FRETE]]+Tabela22[[#This Row],[DESPESAS]]+Tabela22[[#This Row],[IPI]]+Tabela22[[#This Row],[Vl. Produto]])*Tabela22[[#This Row],[Aliq.%]]</f>
        <v>0</v>
      </c>
    </row>
    <row r="665" spans="13:19" x14ac:dyDescent="0.25">
      <c r="M665" s="46"/>
      <c r="N665" s="46"/>
      <c r="O665" s="46"/>
      <c r="P665" s="46"/>
      <c r="R665" s="15">
        <v>0.04</v>
      </c>
      <c r="S665" s="18">
        <f>(Tabela22[[#This Row],[FRETE]]+Tabela22[[#This Row],[DESPESAS]]+Tabela22[[#This Row],[IPI]]+Tabela22[[#This Row],[Vl. Produto]])*Tabela22[[#This Row],[Aliq.%]]</f>
        <v>0</v>
      </c>
    </row>
    <row r="666" spans="13:19" x14ac:dyDescent="0.25">
      <c r="M666" s="46"/>
      <c r="N666" s="46"/>
      <c r="O666" s="46"/>
      <c r="P666" s="46"/>
      <c r="R666" s="15">
        <v>0.04</v>
      </c>
      <c r="S666" s="18">
        <f>(Tabela22[[#This Row],[FRETE]]+Tabela22[[#This Row],[DESPESAS]]+Tabela22[[#This Row],[IPI]]+Tabela22[[#This Row],[Vl. Produto]])*Tabela22[[#This Row],[Aliq.%]]</f>
        <v>0</v>
      </c>
    </row>
    <row r="667" spans="13:19" x14ac:dyDescent="0.25">
      <c r="M667" s="46"/>
      <c r="N667" s="46"/>
      <c r="O667" s="46"/>
      <c r="P667" s="46"/>
      <c r="R667" s="15">
        <v>0.04</v>
      </c>
      <c r="S667" s="18">
        <f>(Tabela22[[#This Row],[FRETE]]+Tabela22[[#This Row],[DESPESAS]]+Tabela22[[#This Row],[IPI]]+Tabela22[[#This Row],[Vl. Produto]])*Tabela22[[#This Row],[Aliq.%]]</f>
        <v>0</v>
      </c>
    </row>
    <row r="668" spans="13:19" x14ac:dyDescent="0.25">
      <c r="M668" s="46"/>
      <c r="N668" s="46"/>
      <c r="O668" s="46"/>
      <c r="P668" s="46"/>
      <c r="R668" s="15">
        <v>0.04</v>
      </c>
      <c r="S668" s="18">
        <f>(Tabela22[[#This Row],[FRETE]]+Tabela22[[#This Row],[DESPESAS]]+Tabela22[[#This Row],[IPI]]+Tabela22[[#This Row],[Vl. Produto]])*Tabela22[[#This Row],[Aliq.%]]</f>
        <v>0</v>
      </c>
    </row>
    <row r="669" spans="13:19" x14ac:dyDescent="0.25">
      <c r="M669" s="46"/>
      <c r="N669" s="46"/>
      <c r="O669" s="46"/>
      <c r="P669" s="46"/>
      <c r="R669" s="15">
        <v>0.04</v>
      </c>
      <c r="S669" s="18">
        <f>(Tabela22[[#This Row],[FRETE]]+Tabela22[[#This Row],[DESPESAS]]+Tabela22[[#This Row],[IPI]]+Tabela22[[#This Row],[Vl. Produto]])*Tabela22[[#This Row],[Aliq.%]]</f>
        <v>0</v>
      </c>
    </row>
    <row r="670" spans="13:19" x14ac:dyDescent="0.25">
      <c r="M670" s="46"/>
      <c r="N670" s="46"/>
      <c r="O670" s="46"/>
      <c r="P670" s="46"/>
      <c r="R670" s="15">
        <v>0.04</v>
      </c>
      <c r="S670" s="18">
        <f>(Tabela22[[#This Row],[FRETE]]+Tabela22[[#This Row],[DESPESAS]]+Tabela22[[#This Row],[IPI]]+Tabela22[[#This Row],[Vl. Produto]])*Tabela22[[#This Row],[Aliq.%]]</f>
        <v>0</v>
      </c>
    </row>
    <row r="671" spans="13:19" x14ac:dyDescent="0.25">
      <c r="M671" s="46"/>
      <c r="N671" s="46"/>
      <c r="O671" s="46"/>
      <c r="P671" s="46"/>
      <c r="R671" s="15">
        <v>0.04</v>
      </c>
      <c r="S671" s="18">
        <f>(Tabela22[[#This Row],[FRETE]]+Tabela22[[#This Row],[DESPESAS]]+Tabela22[[#This Row],[IPI]]+Tabela22[[#This Row],[Vl. Produto]])*Tabela22[[#This Row],[Aliq.%]]</f>
        <v>0</v>
      </c>
    </row>
    <row r="672" spans="13:19" x14ac:dyDescent="0.25">
      <c r="M672" s="46"/>
      <c r="N672" s="46"/>
      <c r="O672" s="46"/>
      <c r="P672" s="46"/>
      <c r="R672" s="15">
        <v>0.04</v>
      </c>
      <c r="S672" s="18">
        <f>(Tabela22[[#This Row],[FRETE]]+Tabela22[[#This Row],[DESPESAS]]+Tabela22[[#This Row],[IPI]]+Tabela22[[#This Row],[Vl. Produto]])*Tabela22[[#This Row],[Aliq.%]]</f>
        <v>0</v>
      </c>
    </row>
    <row r="673" spans="13:19" x14ac:dyDescent="0.25">
      <c r="M673" s="46"/>
      <c r="N673" s="46"/>
      <c r="O673" s="46"/>
      <c r="P673" s="46"/>
      <c r="R673" s="15">
        <v>0.04</v>
      </c>
      <c r="S673" s="18">
        <f>(Tabela22[[#This Row],[FRETE]]+Tabela22[[#This Row],[DESPESAS]]+Tabela22[[#This Row],[IPI]]+Tabela22[[#This Row],[Vl. Produto]])*Tabela22[[#This Row],[Aliq.%]]</f>
        <v>0</v>
      </c>
    </row>
    <row r="674" spans="13:19" x14ac:dyDescent="0.25">
      <c r="M674" s="46"/>
      <c r="N674" s="46"/>
      <c r="O674" s="46"/>
      <c r="P674" s="46"/>
      <c r="R674" s="15">
        <v>0.04</v>
      </c>
      <c r="S674" s="18">
        <f>(Tabela22[[#This Row],[FRETE]]+Tabela22[[#This Row],[DESPESAS]]+Tabela22[[#This Row],[IPI]]+Tabela22[[#This Row],[Vl. Produto]])*Tabela22[[#This Row],[Aliq.%]]</f>
        <v>0</v>
      </c>
    </row>
    <row r="675" spans="13:19" x14ac:dyDescent="0.25">
      <c r="M675" s="46"/>
      <c r="N675" s="46"/>
      <c r="O675" s="46"/>
      <c r="P675" s="46"/>
      <c r="R675" s="15">
        <v>0.04</v>
      </c>
      <c r="S675" s="18">
        <f>(Tabela22[[#This Row],[FRETE]]+Tabela22[[#This Row],[DESPESAS]]+Tabela22[[#This Row],[IPI]]+Tabela22[[#This Row],[Vl. Produto]])*Tabela22[[#This Row],[Aliq.%]]</f>
        <v>0</v>
      </c>
    </row>
    <row r="676" spans="13:19" x14ac:dyDescent="0.25">
      <c r="M676" s="46"/>
      <c r="N676" s="46"/>
      <c r="O676" s="46"/>
      <c r="P676" s="46"/>
      <c r="R676" s="15">
        <v>0.04</v>
      </c>
      <c r="S676" s="18">
        <f>(Tabela22[[#This Row],[FRETE]]+Tabela22[[#This Row],[DESPESAS]]+Tabela22[[#This Row],[IPI]]+Tabela22[[#This Row],[Vl. Produto]])*Tabela22[[#This Row],[Aliq.%]]</f>
        <v>0</v>
      </c>
    </row>
    <row r="677" spans="13:19" x14ac:dyDescent="0.25">
      <c r="M677" s="46"/>
      <c r="N677" s="46"/>
      <c r="O677" s="46"/>
      <c r="P677" s="46"/>
      <c r="R677" s="15">
        <v>0.04</v>
      </c>
      <c r="S677" s="18">
        <f>(Tabela22[[#This Row],[FRETE]]+Tabela22[[#This Row],[DESPESAS]]+Tabela22[[#This Row],[IPI]]+Tabela22[[#This Row],[Vl. Produto]])*Tabela22[[#This Row],[Aliq.%]]</f>
        <v>0</v>
      </c>
    </row>
    <row r="678" spans="13:19" x14ac:dyDescent="0.25">
      <c r="M678" s="46"/>
      <c r="N678" s="46"/>
      <c r="O678" s="46"/>
      <c r="P678" s="46"/>
      <c r="R678" s="15">
        <v>0.04</v>
      </c>
      <c r="S678" s="18">
        <f>(Tabela22[[#This Row],[FRETE]]+Tabela22[[#This Row],[DESPESAS]]+Tabela22[[#This Row],[IPI]]+Tabela22[[#This Row],[Vl. Produto]])*Tabela22[[#This Row],[Aliq.%]]</f>
        <v>0</v>
      </c>
    </row>
    <row r="679" spans="13:19" x14ac:dyDescent="0.25">
      <c r="M679" s="46"/>
      <c r="N679" s="46"/>
      <c r="O679" s="46"/>
      <c r="P679" s="46"/>
      <c r="R679" s="15">
        <v>0.04</v>
      </c>
      <c r="S679" s="18">
        <f>(Tabela22[[#This Row],[FRETE]]+Tabela22[[#This Row],[DESPESAS]]+Tabela22[[#This Row],[IPI]]+Tabela22[[#This Row],[Vl. Produto]])*Tabela22[[#This Row],[Aliq.%]]</f>
        <v>0</v>
      </c>
    </row>
    <row r="680" spans="13:19" x14ac:dyDescent="0.25">
      <c r="M680" s="46"/>
      <c r="N680" s="46"/>
      <c r="O680" s="46"/>
      <c r="P680" s="46"/>
      <c r="R680" s="15">
        <v>0.04</v>
      </c>
      <c r="S680" s="18">
        <f>(Tabela22[[#This Row],[FRETE]]+Tabela22[[#This Row],[DESPESAS]]+Tabela22[[#This Row],[IPI]]+Tabela22[[#This Row],[Vl. Produto]])*Tabela22[[#This Row],[Aliq.%]]</f>
        <v>0</v>
      </c>
    </row>
    <row r="681" spans="13:19" x14ac:dyDescent="0.25">
      <c r="M681" s="46"/>
      <c r="N681" s="46"/>
      <c r="O681" s="46"/>
      <c r="P681" s="46"/>
      <c r="R681" s="15">
        <v>0.04</v>
      </c>
      <c r="S681" s="18">
        <f>(Tabela22[[#This Row],[FRETE]]+Tabela22[[#This Row],[DESPESAS]]+Tabela22[[#This Row],[IPI]]+Tabela22[[#This Row],[Vl. Produto]])*Tabela22[[#This Row],[Aliq.%]]</f>
        <v>0</v>
      </c>
    </row>
    <row r="682" spans="13:19" x14ac:dyDescent="0.25">
      <c r="M682" s="46"/>
      <c r="N682" s="46"/>
      <c r="O682" s="46"/>
      <c r="P682" s="46"/>
      <c r="R682" s="15">
        <v>0.04</v>
      </c>
      <c r="S682" s="18">
        <f>(Tabela22[[#This Row],[FRETE]]+Tabela22[[#This Row],[DESPESAS]]+Tabela22[[#This Row],[IPI]]+Tabela22[[#This Row],[Vl. Produto]])*Tabela22[[#This Row],[Aliq.%]]</f>
        <v>0</v>
      </c>
    </row>
    <row r="683" spans="13:19" x14ac:dyDescent="0.25">
      <c r="M683" s="46"/>
      <c r="N683" s="46"/>
      <c r="O683" s="46"/>
      <c r="P683" s="46"/>
      <c r="R683" s="15">
        <v>0.04</v>
      </c>
      <c r="S683" s="18">
        <f>(Tabela22[[#This Row],[FRETE]]+Tabela22[[#This Row],[DESPESAS]]+Tabela22[[#This Row],[IPI]]+Tabela22[[#This Row],[Vl. Produto]])*Tabela22[[#This Row],[Aliq.%]]</f>
        <v>0</v>
      </c>
    </row>
    <row r="684" spans="13:19" x14ac:dyDescent="0.25">
      <c r="M684" s="46"/>
      <c r="N684" s="46"/>
      <c r="O684" s="46"/>
      <c r="P684" s="46"/>
      <c r="R684" s="15">
        <v>0.04</v>
      </c>
      <c r="S684" s="18">
        <f>(Tabela22[[#This Row],[FRETE]]+Tabela22[[#This Row],[DESPESAS]]+Tabela22[[#This Row],[IPI]]+Tabela22[[#This Row],[Vl. Produto]])*Tabela22[[#This Row],[Aliq.%]]</f>
        <v>0</v>
      </c>
    </row>
    <row r="685" spans="13:19" x14ac:dyDescent="0.25">
      <c r="M685" s="46"/>
      <c r="N685" s="46"/>
      <c r="O685" s="46"/>
      <c r="P685" s="46"/>
      <c r="R685" s="15">
        <v>0.04</v>
      </c>
      <c r="S685" s="18">
        <f>(Tabela22[[#This Row],[FRETE]]+Tabela22[[#This Row],[DESPESAS]]+Tabela22[[#This Row],[IPI]]+Tabela22[[#This Row],[Vl. Produto]])*Tabela22[[#This Row],[Aliq.%]]</f>
        <v>0</v>
      </c>
    </row>
    <row r="686" spans="13:19" x14ac:dyDescent="0.25">
      <c r="M686" s="46"/>
      <c r="N686" s="46"/>
      <c r="O686" s="46"/>
      <c r="P686" s="46"/>
      <c r="R686" s="15">
        <v>0.04</v>
      </c>
      <c r="S686" s="18">
        <f>(Tabela22[[#This Row],[FRETE]]+Tabela22[[#This Row],[DESPESAS]]+Tabela22[[#This Row],[IPI]]+Tabela22[[#This Row],[Vl. Produto]])*Tabela22[[#This Row],[Aliq.%]]</f>
        <v>0</v>
      </c>
    </row>
    <row r="687" spans="13:19" x14ac:dyDescent="0.25">
      <c r="M687" s="46"/>
      <c r="N687" s="46"/>
      <c r="O687" s="46"/>
      <c r="P687" s="46"/>
      <c r="R687" s="15">
        <v>0.04</v>
      </c>
      <c r="S687" s="18">
        <f>(Tabela22[[#This Row],[FRETE]]+Tabela22[[#This Row],[DESPESAS]]+Tabela22[[#This Row],[IPI]]+Tabela22[[#This Row],[Vl. Produto]])*Tabela22[[#This Row],[Aliq.%]]</f>
        <v>0</v>
      </c>
    </row>
    <row r="688" spans="13:19" x14ac:dyDescent="0.25">
      <c r="M688" s="46"/>
      <c r="N688" s="46"/>
      <c r="O688" s="46"/>
      <c r="P688" s="46"/>
      <c r="R688" s="15">
        <v>0.04</v>
      </c>
      <c r="S688" s="18">
        <f>(Tabela22[[#This Row],[FRETE]]+Tabela22[[#This Row],[DESPESAS]]+Tabela22[[#This Row],[IPI]]+Tabela22[[#This Row],[Vl. Produto]])*Tabela22[[#This Row],[Aliq.%]]</f>
        <v>0</v>
      </c>
    </row>
    <row r="689" spans="13:19" x14ac:dyDescent="0.25">
      <c r="M689" s="46"/>
      <c r="N689" s="46"/>
      <c r="O689" s="46"/>
      <c r="P689" s="46"/>
      <c r="R689" s="15">
        <v>0.04</v>
      </c>
      <c r="S689" s="18">
        <f>(Tabela22[[#This Row],[FRETE]]+Tabela22[[#This Row],[DESPESAS]]+Tabela22[[#This Row],[IPI]]+Tabela22[[#This Row],[Vl. Produto]])*Tabela22[[#This Row],[Aliq.%]]</f>
        <v>0</v>
      </c>
    </row>
    <row r="690" spans="13:19" x14ac:dyDescent="0.25">
      <c r="M690" s="46"/>
      <c r="N690" s="46"/>
      <c r="O690" s="46"/>
      <c r="P690" s="46"/>
      <c r="R690" s="15">
        <v>0.04</v>
      </c>
      <c r="S690" s="18">
        <f>(Tabela22[[#This Row],[FRETE]]+Tabela22[[#This Row],[DESPESAS]]+Tabela22[[#This Row],[IPI]]+Tabela22[[#This Row],[Vl. Produto]])*Tabela22[[#This Row],[Aliq.%]]</f>
        <v>0</v>
      </c>
    </row>
    <row r="691" spans="13:19" x14ac:dyDescent="0.25">
      <c r="M691" s="46"/>
      <c r="N691" s="46"/>
      <c r="O691" s="46"/>
      <c r="P691" s="46"/>
      <c r="R691" s="15">
        <v>0.04</v>
      </c>
      <c r="S691" s="18">
        <f>(Tabela22[[#This Row],[FRETE]]+Tabela22[[#This Row],[DESPESAS]]+Tabela22[[#This Row],[IPI]]+Tabela22[[#This Row],[Vl. Produto]])*Tabela22[[#This Row],[Aliq.%]]</f>
        <v>0</v>
      </c>
    </row>
    <row r="692" spans="13:19" x14ac:dyDescent="0.25">
      <c r="M692" s="46"/>
      <c r="N692" s="46"/>
      <c r="O692" s="46"/>
      <c r="P692" s="46"/>
      <c r="R692" s="15">
        <v>0.04</v>
      </c>
      <c r="S692" s="18">
        <f>(Tabela22[[#This Row],[FRETE]]+Tabela22[[#This Row],[DESPESAS]]+Tabela22[[#This Row],[IPI]]+Tabela22[[#This Row],[Vl. Produto]])*Tabela22[[#This Row],[Aliq.%]]</f>
        <v>0</v>
      </c>
    </row>
    <row r="693" spans="13:19" x14ac:dyDescent="0.25">
      <c r="M693" s="46"/>
      <c r="N693" s="46"/>
      <c r="O693" s="46"/>
      <c r="P693" s="46"/>
      <c r="R693" s="15">
        <v>0.04</v>
      </c>
      <c r="S693" s="18">
        <f>(Tabela22[[#This Row],[FRETE]]+Tabela22[[#This Row],[DESPESAS]]+Tabela22[[#This Row],[IPI]]+Tabela22[[#This Row],[Vl. Produto]])*Tabela22[[#This Row],[Aliq.%]]</f>
        <v>0</v>
      </c>
    </row>
    <row r="694" spans="13:19" x14ac:dyDescent="0.25">
      <c r="M694" s="46"/>
      <c r="N694" s="46"/>
      <c r="O694" s="46"/>
      <c r="P694" s="46"/>
      <c r="R694" s="15">
        <v>0.04</v>
      </c>
      <c r="S694" s="18">
        <f>(Tabela22[[#This Row],[FRETE]]+Tabela22[[#This Row],[DESPESAS]]+Tabela22[[#This Row],[IPI]]+Tabela22[[#This Row],[Vl. Produto]])*Tabela22[[#This Row],[Aliq.%]]</f>
        <v>0</v>
      </c>
    </row>
    <row r="695" spans="13:19" x14ac:dyDescent="0.25">
      <c r="M695" s="46"/>
      <c r="N695" s="46"/>
      <c r="O695" s="46"/>
      <c r="P695" s="46"/>
      <c r="R695" s="15">
        <v>0.04</v>
      </c>
      <c r="S695" s="18">
        <f>(Tabela22[[#This Row],[FRETE]]+Tabela22[[#This Row],[DESPESAS]]+Tabela22[[#This Row],[IPI]]+Tabela22[[#This Row],[Vl. Produto]])*Tabela22[[#This Row],[Aliq.%]]</f>
        <v>0</v>
      </c>
    </row>
    <row r="696" spans="13:19" x14ac:dyDescent="0.25">
      <c r="M696" s="46"/>
      <c r="N696" s="46"/>
      <c r="O696" s="46"/>
      <c r="P696" s="46"/>
      <c r="R696" s="15">
        <v>0.04</v>
      </c>
      <c r="S696" s="18">
        <f>(Tabela22[[#This Row],[FRETE]]+Tabela22[[#This Row],[DESPESAS]]+Tabela22[[#This Row],[IPI]]+Tabela22[[#This Row],[Vl. Produto]])*Tabela22[[#This Row],[Aliq.%]]</f>
        <v>0</v>
      </c>
    </row>
    <row r="697" spans="13:19" x14ac:dyDescent="0.25">
      <c r="M697" s="46"/>
      <c r="N697" s="46"/>
      <c r="O697" s="46"/>
      <c r="P697" s="46"/>
      <c r="R697" s="15">
        <v>0.04</v>
      </c>
      <c r="S697" s="18">
        <f>(Tabela22[[#This Row],[FRETE]]+Tabela22[[#This Row],[DESPESAS]]+Tabela22[[#This Row],[IPI]]+Tabela22[[#This Row],[Vl. Produto]])*Tabela22[[#This Row],[Aliq.%]]</f>
        <v>0</v>
      </c>
    </row>
    <row r="698" spans="13:19" x14ac:dyDescent="0.25">
      <c r="M698" s="46"/>
      <c r="N698" s="46"/>
      <c r="O698" s="46"/>
      <c r="P698" s="46"/>
      <c r="R698" s="15">
        <v>0.04</v>
      </c>
      <c r="S698" s="18">
        <f>(Tabela22[[#This Row],[FRETE]]+Tabela22[[#This Row],[DESPESAS]]+Tabela22[[#This Row],[IPI]]+Tabela22[[#This Row],[Vl. Produto]])*Tabela22[[#This Row],[Aliq.%]]</f>
        <v>0</v>
      </c>
    </row>
    <row r="699" spans="13:19" x14ac:dyDescent="0.25">
      <c r="M699" s="46"/>
      <c r="N699" s="46"/>
      <c r="O699" s="46"/>
      <c r="P699" s="46"/>
      <c r="R699" s="15">
        <v>0.04</v>
      </c>
      <c r="S699" s="18">
        <f>(Tabela22[[#This Row],[FRETE]]+Tabela22[[#This Row],[DESPESAS]]+Tabela22[[#This Row],[IPI]]+Tabela22[[#This Row],[Vl. Produto]])*Tabela22[[#This Row],[Aliq.%]]</f>
        <v>0</v>
      </c>
    </row>
    <row r="700" spans="13:19" x14ac:dyDescent="0.25">
      <c r="M700" s="46"/>
      <c r="N700" s="46"/>
      <c r="O700" s="46"/>
      <c r="P700" s="46"/>
      <c r="R700" s="15">
        <v>0.04</v>
      </c>
      <c r="S700" s="18">
        <f>(Tabela22[[#This Row],[FRETE]]+Tabela22[[#This Row],[DESPESAS]]+Tabela22[[#This Row],[IPI]]+Tabela22[[#This Row],[Vl. Produto]])*Tabela22[[#This Row],[Aliq.%]]</f>
        <v>0</v>
      </c>
    </row>
    <row r="701" spans="13:19" x14ac:dyDescent="0.25">
      <c r="M701" s="46"/>
      <c r="N701" s="46"/>
      <c r="O701" s="46"/>
      <c r="P701" s="46"/>
      <c r="R701" s="15">
        <v>0.04</v>
      </c>
      <c r="S701" s="18">
        <f>(Tabela22[[#This Row],[FRETE]]+Tabela22[[#This Row],[DESPESAS]]+Tabela22[[#This Row],[IPI]]+Tabela22[[#This Row],[Vl. Produto]])*Tabela22[[#This Row],[Aliq.%]]</f>
        <v>0</v>
      </c>
    </row>
    <row r="702" spans="13:19" x14ac:dyDescent="0.25">
      <c r="M702" s="46"/>
      <c r="N702" s="46"/>
      <c r="O702" s="46"/>
      <c r="P702" s="46"/>
      <c r="R702" s="15">
        <v>0.04</v>
      </c>
      <c r="S702" s="18">
        <f>(Tabela22[[#This Row],[FRETE]]+Tabela22[[#This Row],[DESPESAS]]+Tabela22[[#This Row],[IPI]]+Tabela22[[#This Row],[Vl. Produto]])*Tabela22[[#This Row],[Aliq.%]]</f>
        <v>0</v>
      </c>
    </row>
    <row r="703" spans="13:19" x14ac:dyDescent="0.25">
      <c r="M703" s="46"/>
      <c r="N703" s="46"/>
      <c r="O703" s="46"/>
      <c r="P703" s="46"/>
      <c r="R703" s="15">
        <v>0.04</v>
      </c>
      <c r="S703" s="18">
        <f>(Tabela22[[#This Row],[FRETE]]+Tabela22[[#This Row],[DESPESAS]]+Tabela22[[#This Row],[IPI]]+Tabela22[[#This Row],[Vl. Produto]])*Tabela22[[#This Row],[Aliq.%]]</f>
        <v>0</v>
      </c>
    </row>
    <row r="704" spans="13:19" x14ac:dyDescent="0.25">
      <c r="M704" s="46"/>
      <c r="N704" s="46"/>
      <c r="O704" s="46"/>
      <c r="P704" s="46"/>
      <c r="R704" s="15">
        <v>0.04</v>
      </c>
      <c r="S704" s="18">
        <f>(Tabela22[[#This Row],[FRETE]]+Tabela22[[#This Row],[DESPESAS]]+Tabela22[[#This Row],[IPI]]+Tabela22[[#This Row],[Vl. Produto]])*Tabela22[[#This Row],[Aliq.%]]</f>
        <v>0</v>
      </c>
    </row>
    <row r="705" spans="13:19" x14ac:dyDescent="0.25">
      <c r="M705" s="46"/>
      <c r="N705" s="46"/>
      <c r="O705" s="46"/>
      <c r="P705" s="46"/>
      <c r="R705" s="15">
        <v>0.04</v>
      </c>
      <c r="S705" s="18">
        <f>(Tabela22[[#This Row],[FRETE]]+Tabela22[[#This Row],[DESPESAS]]+Tabela22[[#This Row],[IPI]]+Tabela22[[#This Row],[Vl. Produto]])*Tabela22[[#This Row],[Aliq.%]]</f>
        <v>0</v>
      </c>
    </row>
    <row r="706" spans="13:19" x14ac:dyDescent="0.25">
      <c r="M706" s="46"/>
      <c r="N706" s="46"/>
      <c r="O706" s="46"/>
      <c r="P706" s="46"/>
      <c r="R706" s="15">
        <v>0.04</v>
      </c>
      <c r="S706" s="18">
        <f>(Tabela22[[#This Row],[FRETE]]+Tabela22[[#This Row],[DESPESAS]]+Tabela22[[#This Row],[IPI]]+Tabela22[[#This Row],[Vl. Produto]])*Tabela22[[#This Row],[Aliq.%]]</f>
        <v>0</v>
      </c>
    </row>
    <row r="707" spans="13:19" x14ac:dyDescent="0.25">
      <c r="M707" s="46"/>
      <c r="N707" s="46"/>
      <c r="O707" s="46"/>
      <c r="P707" s="46"/>
      <c r="R707" s="15">
        <v>0.04</v>
      </c>
      <c r="S707" s="18">
        <f>(Tabela22[[#This Row],[FRETE]]+Tabela22[[#This Row],[DESPESAS]]+Tabela22[[#This Row],[IPI]]+Tabela22[[#This Row],[Vl. Produto]])*Tabela22[[#This Row],[Aliq.%]]</f>
        <v>0</v>
      </c>
    </row>
    <row r="708" spans="13:19" x14ac:dyDescent="0.25">
      <c r="M708" s="46"/>
      <c r="N708" s="46"/>
      <c r="O708" s="46"/>
      <c r="P708" s="46"/>
      <c r="R708" s="15">
        <v>0.04</v>
      </c>
      <c r="S708" s="18">
        <f>(Tabela22[[#This Row],[FRETE]]+Tabela22[[#This Row],[DESPESAS]]+Tabela22[[#This Row],[IPI]]+Tabela22[[#This Row],[Vl. Produto]])*Tabela22[[#This Row],[Aliq.%]]</f>
        <v>0</v>
      </c>
    </row>
    <row r="709" spans="13:19" x14ac:dyDescent="0.25">
      <c r="M709" s="46"/>
      <c r="N709" s="46"/>
      <c r="O709" s="46"/>
      <c r="P709" s="46"/>
      <c r="R709" s="15">
        <v>0.04</v>
      </c>
      <c r="S709" s="18">
        <f>(Tabela22[[#This Row],[FRETE]]+Tabela22[[#This Row],[DESPESAS]]+Tabela22[[#This Row],[IPI]]+Tabela22[[#This Row],[Vl. Produto]])*Tabela22[[#This Row],[Aliq.%]]</f>
        <v>0</v>
      </c>
    </row>
    <row r="710" spans="13:19" x14ac:dyDescent="0.25">
      <c r="M710" s="46"/>
      <c r="N710" s="46"/>
      <c r="O710" s="46"/>
      <c r="P710" s="46"/>
      <c r="R710" s="15">
        <v>0.04</v>
      </c>
      <c r="S710" s="18">
        <f>(Tabela22[[#This Row],[FRETE]]+Tabela22[[#This Row],[DESPESAS]]+Tabela22[[#This Row],[IPI]]+Tabela22[[#This Row],[Vl. Produto]])*Tabela22[[#This Row],[Aliq.%]]</f>
        <v>0</v>
      </c>
    </row>
    <row r="711" spans="13:19" x14ac:dyDescent="0.25">
      <c r="M711" s="46"/>
      <c r="N711" s="46"/>
      <c r="O711" s="46"/>
      <c r="P711" s="46"/>
      <c r="R711" s="15">
        <v>0.04</v>
      </c>
      <c r="S711" s="18">
        <f>(Tabela22[[#This Row],[FRETE]]+Tabela22[[#This Row],[DESPESAS]]+Tabela22[[#This Row],[IPI]]+Tabela22[[#This Row],[Vl. Produto]])*Tabela22[[#This Row],[Aliq.%]]</f>
        <v>0</v>
      </c>
    </row>
    <row r="712" spans="13:19" x14ac:dyDescent="0.25">
      <c r="M712" s="46"/>
      <c r="N712" s="46"/>
      <c r="O712" s="46"/>
      <c r="P712" s="46"/>
      <c r="R712" s="15">
        <v>0.04</v>
      </c>
      <c r="S712" s="18">
        <f>(Tabela22[[#This Row],[FRETE]]+Tabela22[[#This Row],[DESPESAS]]+Tabela22[[#This Row],[IPI]]+Tabela22[[#This Row],[Vl. Produto]])*Tabela22[[#This Row],[Aliq.%]]</f>
        <v>0</v>
      </c>
    </row>
    <row r="713" spans="13:19" x14ac:dyDescent="0.25">
      <c r="M713" s="46"/>
      <c r="N713" s="46"/>
      <c r="O713" s="46"/>
      <c r="P713" s="46"/>
      <c r="R713" s="15">
        <v>0.04</v>
      </c>
      <c r="S713" s="18">
        <f>(Tabela22[[#This Row],[FRETE]]+Tabela22[[#This Row],[DESPESAS]]+Tabela22[[#This Row],[IPI]]+Tabela22[[#This Row],[Vl. Produto]])*Tabela22[[#This Row],[Aliq.%]]</f>
        <v>0</v>
      </c>
    </row>
    <row r="714" spans="13:19" x14ac:dyDescent="0.25">
      <c r="M714" s="46"/>
      <c r="N714" s="46"/>
      <c r="O714" s="46"/>
      <c r="P714" s="46"/>
      <c r="R714" s="15">
        <v>0.04</v>
      </c>
      <c r="S714" s="18">
        <f>(Tabela22[[#This Row],[FRETE]]+Tabela22[[#This Row],[DESPESAS]]+Tabela22[[#This Row],[IPI]]+Tabela22[[#This Row],[Vl. Produto]])*Tabela22[[#This Row],[Aliq.%]]</f>
        <v>0</v>
      </c>
    </row>
    <row r="715" spans="13:19" x14ac:dyDescent="0.25">
      <c r="M715" s="46"/>
      <c r="N715" s="46"/>
      <c r="O715" s="46"/>
      <c r="P715" s="46"/>
      <c r="R715" s="15">
        <v>0.04</v>
      </c>
      <c r="S715" s="18">
        <f>(Tabela22[[#This Row],[FRETE]]+Tabela22[[#This Row],[DESPESAS]]+Tabela22[[#This Row],[IPI]]+Tabela22[[#This Row],[Vl. Produto]])*Tabela22[[#This Row],[Aliq.%]]</f>
        <v>0</v>
      </c>
    </row>
    <row r="716" spans="13:19" x14ac:dyDescent="0.25">
      <c r="M716" s="46"/>
      <c r="N716" s="46"/>
      <c r="O716" s="46"/>
      <c r="P716" s="46"/>
      <c r="R716" s="15">
        <v>0.04</v>
      </c>
      <c r="S716" s="18">
        <f>(Tabela22[[#This Row],[FRETE]]+Tabela22[[#This Row],[DESPESAS]]+Tabela22[[#This Row],[IPI]]+Tabela22[[#This Row],[Vl. Produto]])*Tabela22[[#This Row],[Aliq.%]]</f>
        <v>0</v>
      </c>
    </row>
    <row r="717" spans="13:19" x14ac:dyDescent="0.25">
      <c r="M717" s="46"/>
      <c r="N717" s="46"/>
      <c r="O717" s="46"/>
      <c r="P717" s="46"/>
      <c r="R717" s="15">
        <v>0.04</v>
      </c>
      <c r="S717" s="18">
        <f>(Tabela22[[#This Row],[FRETE]]+Tabela22[[#This Row],[DESPESAS]]+Tabela22[[#This Row],[IPI]]+Tabela22[[#This Row],[Vl. Produto]])*Tabela22[[#This Row],[Aliq.%]]</f>
        <v>0</v>
      </c>
    </row>
    <row r="718" spans="13:19" x14ac:dyDescent="0.25">
      <c r="M718" s="46"/>
      <c r="N718" s="46"/>
      <c r="O718" s="46"/>
      <c r="P718" s="46"/>
      <c r="R718" s="15">
        <v>0.04</v>
      </c>
      <c r="S718" s="18">
        <f>(Tabela22[[#This Row],[FRETE]]+Tabela22[[#This Row],[DESPESAS]]+Tabela22[[#This Row],[IPI]]+Tabela22[[#This Row],[Vl. Produto]])*Tabela22[[#This Row],[Aliq.%]]</f>
        <v>0</v>
      </c>
    </row>
    <row r="719" spans="13:19" x14ac:dyDescent="0.25">
      <c r="M719" s="46"/>
      <c r="N719" s="46"/>
      <c r="O719" s="46"/>
      <c r="P719" s="46"/>
      <c r="R719" s="15">
        <v>0.04</v>
      </c>
      <c r="S719" s="18">
        <f>(Tabela22[[#This Row],[FRETE]]+Tabela22[[#This Row],[DESPESAS]]+Tabela22[[#This Row],[IPI]]+Tabela22[[#This Row],[Vl. Produto]])*Tabela22[[#This Row],[Aliq.%]]</f>
        <v>0</v>
      </c>
    </row>
    <row r="720" spans="13:19" x14ac:dyDescent="0.25">
      <c r="M720" s="46"/>
      <c r="N720" s="46"/>
      <c r="O720" s="46"/>
      <c r="P720" s="46"/>
      <c r="R720" s="15">
        <v>0.04</v>
      </c>
      <c r="S720" s="18">
        <f>(Tabela22[[#This Row],[FRETE]]+Tabela22[[#This Row],[DESPESAS]]+Tabela22[[#This Row],[IPI]]+Tabela22[[#This Row],[Vl. Produto]])*Tabela22[[#This Row],[Aliq.%]]</f>
        <v>0</v>
      </c>
    </row>
    <row r="721" spans="13:19" x14ac:dyDescent="0.25">
      <c r="M721" s="46"/>
      <c r="N721" s="46"/>
      <c r="O721" s="46"/>
      <c r="P721" s="46"/>
      <c r="R721" s="15">
        <v>0.04</v>
      </c>
      <c r="S721" s="18">
        <f>(Tabela22[[#This Row],[FRETE]]+Tabela22[[#This Row],[DESPESAS]]+Tabela22[[#This Row],[IPI]]+Tabela22[[#This Row],[Vl. Produto]])*Tabela22[[#This Row],[Aliq.%]]</f>
        <v>0</v>
      </c>
    </row>
    <row r="722" spans="13:19" x14ac:dyDescent="0.25">
      <c r="M722" s="46"/>
      <c r="N722" s="46"/>
      <c r="O722" s="46"/>
      <c r="P722" s="46"/>
      <c r="R722" s="15">
        <v>0.04</v>
      </c>
      <c r="S722" s="18">
        <f>(Tabela22[[#This Row],[FRETE]]+Tabela22[[#This Row],[DESPESAS]]+Tabela22[[#This Row],[IPI]]+Tabela22[[#This Row],[Vl. Produto]])*Tabela22[[#This Row],[Aliq.%]]</f>
        <v>0</v>
      </c>
    </row>
    <row r="723" spans="13:19" x14ac:dyDescent="0.25">
      <c r="M723" s="46"/>
      <c r="N723" s="46"/>
      <c r="O723" s="46"/>
      <c r="P723" s="46"/>
      <c r="R723" s="15">
        <v>0.04</v>
      </c>
      <c r="S723" s="18">
        <f>(Tabela22[[#This Row],[FRETE]]+Tabela22[[#This Row],[DESPESAS]]+Tabela22[[#This Row],[IPI]]+Tabela22[[#This Row],[Vl. Produto]])*Tabela22[[#This Row],[Aliq.%]]</f>
        <v>0</v>
      </c>
    </row>
    <row r="724" spans="13:19" x14ac:dyDescent="0.25">
      <c r="M724" s="46"/>
      <c r="N724" s="46"/>
      <c r="O724" s="46"/>
      <c r="P724" s="46"/>
      <c r="R724" s="15">
        <v>0.04</v>
      </c>
      <c r="S724" s="18">
        <f>(Tabela22[[#This Row],[FRETE]]+Tabela22[[#This Row],[DESPESAS]]+Tabela22[[#This Row],[IPI]]+Tabela22[[#This Row],[Vl. Produto]])*Tabela22[[#This Row],[Aliq.%]]</f>
        <v>0</v>
      </c>
    </row>
    <row r="725" spans="13:19" x14ac:dyDescent="0.25">
      <c r="M725" s="46"/>
      <c r="N725" s="46"/>
      <c r="O725" s="46"/>
      <c r="P725" s="46"/>
      <c r="R725" s="15">
        <v>0.04</v>
      </c>
      <c r="S725" s="18">
        <f>(Tabela22[[#This Row],[FRETE]]+Tabela22[[#This Row],[DESPESAS]]+Tabela22[[#This Row],[IPI]]+Tabela22[[#This Row],[Vl. Produto]])*Tabela22[[#This Row],[Aliq.%]]</f>
        <v>0</v>
      </c>
    </row>
    <row r="726" spans="13:19" x14ac:dyDescent="0.25">
      <c r="M726" s="46"/>
      <c r="N726" s="46"/>
      <c r="O726" s="46"/>
      <c r="P726" s="46"/>
      <c r="R726" s="15">
        <v>0.04</v>
      </c>
      <c r="S726" s="18">
        <f>(Tabela22[[#This Row],[FRETE]]+Tabela22[[#This Row],[DESPESAS]]+Tabela22[[#This Row],[IPI]]+Tabela22[[#This Row],[Vl. Produto]])*Tabela22[[#This Row],[Aliq.%]]</f>
        <v>0</v>
      </c>
    </row>
    <row r="727" spans="13:19" x14ac:dyDescent="0.25">
      <c r="M727" s="46"/>
      <c r="N727" s="46"/>
      <c r="O727" s="46"/>
      <c r="P727" s="46"/>
      <c r="R727" s="15">
        <v>0.04</v>
      </c>
      <c r="S727" s="18">
        <f>(Tabela22[[#This Row],[FRETE]]+Tabela22[[#This Row],[DESPESAS]]+Tabela22[[#This Row],[IPI]]+Tabela22[[#This Row],[Vl. Produto]])*Tabela22[[#This Row],[Aliq.%]]</f>
        <v>0</v>
      </c>
    </row>
    <row r="728" spans="13:19" x14ac:dyDescent="0.25">
      <c r="M728" s="46"/>
      <c r="N728" s="46"/>
      <c r="O728" s="46"/>
      <c r="P728" s="46"/>
      <c r="R728" s="15">
        <v>0.04</v>
      </c>
      <c r="S728" s="18">
        <f>(Tabela22[[#This Row],[FRETE]]+Tabela22[[#This Row],[DESPESAS]]+Tabela22[[#This Row],[IPI]]+Tabela22[[#This Row],[Vl. Produto]])*Tabela22[[#This Row],[Aliq.%]]</f>
        <v>0</v>
      </c>
    </row>
    <row r="729" spans="13:19" x14ac:dyDescent="0.25">
      <c r="M729" s="46"/>
      <c r="N729" s="46"/>
      <c r="O729" s="46"/>
      <c r="P729" s="46"/>
      <c r="R729" s="15">
        <v>0.04</v>
      </c>
      <c r="S729" s="18">
        <f>(Tabela22[[#This Row],[FRETE]]+Tabela22[[#This Row],[DESPESAS]]+Tabela22[[#This Row],[IPI]]+Tabela22[[#This Row],[Vl. Produto]])*Tabela22[[#This Row],[Aliq.%]]</f>
        <v>0</v>
      </c>
    </row>
    <row r="730" spans="13:19" x14ac:dyDescent="0.25">
      <c r="M730" s="46"/>
      <c r="N730" s="46"/>
      <c r="O730" s="46"/>
      <c r="P730" s="46"/>
      <c r="R730" s="15">
        <v>0.04</v>
      </c>
      <c r="S730" s="18">
        <f>(Tabela22[[#This Row],[FRETE]]+Tabela22[[#This Row],[DESPESAS]]+Tabela22[[#This Row],[IPI]]+Tabela22[[#This Row],[Vl. Produto]])*Tabela22[[#This Row],[Aliq.%]]</f>
        <v>0</v>
      </c>
    </row>
    <row r="731" spans="13:19" x14ac:dyDescent="0.25">
      <c r="M731" s="46"/>
      <c r="N731" s="46"/>
      <c r="O731" s="46"/>
      <c r="P731" s="46"/>
      <c r="R731" s="15">
        <v>0.04</v>
      </c>
      <c r="S731" s="18">
        <f>(Tabela22[[#This Row],[FRETE]]+Tabela22[[#This Row],[DESPESAS]]+Tabela22[[#This Row],[IPI]]+Tabela22[[#This Row],[Vl. Produto]])*Tabela22[[#This Row],[Aliq.%]]</f>
        <v>0</v>
      </c>
    </row>
    <row r="732" spans="13:19" x14ac:dyDescent="0.25">
      <c r="M732" s="46"/>
      <c r="N732" s="46"/>
      <c r="O732" s="46"/>
      <c r="P732" s="46"/>
      <c r="R732" s="15">
        <v>0.04</v>
      </c>
      <c r="S732" s="18">
        <f>(Tabela22[[#This Row],[FRETE]]+Tabela22[[#This Row],[DESPESAS]]+Tabela22[[#This Row],[IPI]]+Tabela22[[#This Row],[Vl. Produto]])*Tabela22[[#This Row],[Aliq.%]]</f>
        <v>0</v>
      </c>
    </row>
    <row r="733" spans="13:19" x14ac:dyDescent="0.25">
      <c r="M733" s="46"/>
      <c r="N733" s="46"/>
      <c r="O733" s="46"/>
      <c r="P733" s="46"/>
      <c r="R733" s="15">
        <v>0.04</v>
      </c>
      <c r="S733" s="18">
        <f>(Tabela22[[#This Row],[FRETE]]+Tabela22[[#This Row],[DESPESAS]]+Tabela22[[#This Row],[IPI]]+Tabela22[[#This Row],[Vl. Produto]])*Tabela22[[#This Row],[Aliq.%]]</f>
        <v>0</v>
      </c>
    </row>
    <row r="734" spans="13:19" x14ac:dyDescent="0.25">
      <c r="M734" s="46"/>
      <c r="N734" s="46"/>
      <c r="O734" s="46"/>
      <c r="P734" s="46"/>
      <c r="R734" s="15">
        <v>0.04</v>
      </c>
      <c r="S734" s="18">
        <f>(Tabela22[[#This Row],[FRETE]]+Tabela22[[#This Row],[DESPESAS]]+Tabela22[[#This Row],[IPI]]+Tabela22[[#This Row],[Vl. Produto]])*Tabela22[[#This Row],[Aliq.%]]</f>
        <v>0</v>
      </c>
    </row>
    <row r="735" spans="13:19" x14ac:dyDescent="0.25">
      <c r="M735" s="46"/>
      <c r="N735" s="46"/>
      <c r="O735" s="46"/>
      <c r="P735" s="46"/>
      <c r="R735" s="15">
        <v>0.04</v>
      </c>
      <c r="S735" s="18">
        <f>(Tabela22[[#This Row],[FRETE]]+Tabela22[[#This Row],[DESPESAS]]+Tabela22[[#This Row],[IPI]]+Tabela22[[#This Row],[Vl. Produto]])*Tabela22[[#This Row],[Aliq.%]]</f>
        <v>0</v>
      </c>
    </row>
    <row r="736" spans="13:19" x14ac:dyDescent="0.25">
      <c r="M736" s="46"/>
      <c r="N736" s="46"/>
      <c r="O736" s="46"/>
      <c r="P736" s="46"/>
      <c r="R736" s="15">
        <v>0.04</v>
      </c>
      <c r="S736" s="18">
        <f>(Tabela22[[#This Row],[FRETE]]+Tabela22[[#This Row],[DESPESAS]]+Tabela22[[#This Row],[IPI]]+Tabela22[[#This Row],[Vl. Produto]])*Tabela22[[#This Row],[Aliq.%]]</f>
        <v>0</v>
      </c>
    </row>
    <row r="737" spans="13:19" x14ac:dyDescent="0.25">
      <c r="M737" s="46"/>
      <c r="N737" s="46"/>
      <c r="O737" s="46"/>
      <c r="P737" s="46"/>
      <c r="R737" s="15">
        <v>0.04</v>
      </c>
      <c r="S737" s="18">
        <f>(Tabela22[[#This Row],[FRETE]]+Tabela22[[#This Row],[DESPESAS]]+Tabela22[[#This Row],[IPI]]+Tabela22[[#This Row],[Vl. Produto]])*Tabela22[[#This Row],[Aliq.%]]</f>
        <v>0</v>
      </c>
    </row>
    <row r="738" spans="13:19" x14ac:dyDescent="0.25">
      <c r="M738" s="46"/>
      <c r="N738" s="46"/>
      <c r="O738" s="46"/>
      <c r="P738" s="46"/>
      <c r="R738" s="15">
        <v>0.04</v>
      </c>
      <c r="S738" s="18">
        <f>(Tabela22[[#This Row],[FRETE]]+Tabela22[[#This Row],[DESPESAS]]+Tabela22[[#This Row],[IPI]]+Tabela22[[#This Row],[Vl. Produto]])*Tabela22[[#This Row],[Aliq.%]]</f>
        <v>0</v>
      </c>
    </row>
    <row r="739" spans="13:19" x14ac:dyDescent="0.25">
      <c r="M739" s="46"/>
      <c r="N739" s="46"/>
      <c r="O739" s="46"/>
      <c r="P739" s="46"/>
      <c r="R739" s="15">
        <v>0.04</v>
      </c>
      <c r="S739" s="18">
        <f>(Tabela22[[#This Row],[FRETE]]+Tabela22[[#This Row],[DESPESAS]]+Tabela22[[#This Row],[IPI]]+Tabela22[[#This Row],[Vl. Produto]])*Tabela22[[#This Row],[Aliq.%]]</f>
        <v>0</v>
      </c>
    </row>
    <row r="740" spans="13:19" x14ac:dyDescent="0.25">
      <c r="M740" s="46"/>
      <c r="N740" s="46"/>
      <c r="O740" s="46"/>
      <c r="P740" s="46"/>
      <c r="R740" s="15">
        <v>0.04</v>
      </c>
      <c r="S740" s="18">
        <f>(Tabela22[[#This Row],[FRETE]]+Tabela22[[#This Row],[DESPESAS]]+Tabela22[[#This Row],[IPI]]+Tabela22[[#This Row],[Vl. Produto]])*Tabela22[[#This Row],[Aliq.%]]</f>
        <v>0</v>
      </c>
    </row>
    <row r="741" spans="13:19" x14ac:dyDescent="0.25">
      <c r="M741" s="46"/>
      <c r="N741" s="46"/>
      <c r="O741" s="46"/>
      <c r="P741" s="46"/>
      <c r="R741" s="15">
        <v>0.04</v>
      </c>
      <c r="S741" s="18">
        <f>(Tabela22[[#This Row],[FRETE]]+Tabela22[[#This Row],[DESPESAS]]+Tabela22[[#This Row],[IPI]]+Tabela22[[#This Row],[Vl. Produto]])*Tabela22[[#This Row],[Aliq.%]]</f>
        <v>0</v>
      </c>
    </row>
    <row r="742" spans="13:19" x14ac:dyDescent="0.25">
      <c r="M742" s="46"/>
      <c r="N742" s="46"/>
      <c r="O742" s="46"/>
      <c r="P742" s="46"/>
      <c r="R742" s="15">
        <v>0.04</v>
      </c>
      <c r="S742" s="18">
        <f>(Tabela22[[#This Row],[FRETE]]+Tabela22[[#This Row],[DESPESAS]]+Tabela22[[#This Row],[IPI]]+Tabela22[[#This Row],[Vl. Produto]])*Tabela22[[#This Row],[Aliq.%]]</f>
        <v>0</v>
      </c>
    </row>
    <row r="743" spans="13:19" x14ac:dyDescent="0.25">
      <c r="M743" s="46"/>
      <c r="N743" s="46"/>
      <c r="O743" s="46"/>
      <c r="P743" s="46"/>
      <c r="R743" s="15">
        <v>0.04</v>
      </c>
      <c r="S743" s="18">
        <f>(Tabela22[[#This Row],[FRETE]]+Tabela22[[#This Row],[DESPESAS]]+Tabela22[[#This Row],[IPI]]+Tabela22[[#This Row],[Vl. Produto]])*Tabela22[[#This Row],[Aliq.%]]</f>
        <v>0</v>
      </c>
    </row>
    <row r="744" spans="13:19" x14ac:dyDescent="0.25">
      <c r="M744" s="46"/>
      <c r="N744" s="46"/>
      <c r="O744" s="46"/>
      <c r="P744" s="46"/>
      <c r="R744" s="15">
        <v>0.04</v>
      </c>
      <c r="S744" s="18">
        <f>(Tabela22[[#This Row],[FRETE]]+Tabela22[[#This Row],[DESPESAS]]+Tabela22[[#This Row],[IPI]]+Tabela22[[#This Row],[Vl. Produto]])*Tabela22[[#This Row],[Aliq.%]]</f>
        <v>0</v>
      </c>
    </row>
    <row r="745" spans="13:19" x14ac:dyDescent="0.25">
      <c r="M745" s="46"/>
      <c r="N745" s="46"/>
      <c r="O745" s="46"/>
      <c r="P745" s="46"/>
      <c r="R745" s="15">
        <v>0.04</v>
      </c>
      <c r="S745" s="18">
        <f>(Tabela22[[#This Row],[FRETE]]+Tabela22[[#This Row],[DESPESAS]]+Tabela22[[#This Row],[IPI]]+Tabela22[[#This Row],[Vl. Produto]])*Tabela22[[#This Row],[Aliq.%]]</f>
        <v>0</v>
      </c>
    </row>
    <row r="746" spans="13:19" x14ac:dyDescent="0.25">
      <c r="M746" s="46"/>
      <c r="N746" s="46"/>
      <c r="O746" s="46"/>
      <c r="P746" s="46"/>
      <c r="R746" s="15">
        <v>0.04</v>
      </c>
      <c r="S746" s="18">
        <f>(Tabela22[[#This Row],[FRETE]]+Tabela22[[#This Row],[DESPESAS]]+Tabela22[[#This Row],[IPI]]+Tabela22[[#This Row],[Vl. Produto]])*Tabela22[[#This Row],[Aliq.%]]</f>
        <v>0</v>
      </c>
    </row>
    <row r="747" spans="13:19" x14ac:dyDescent="0.25">
      <c r="M747" s="46"/>
      <c r="N747" s="46"/>
      <c r="O747" s="46"/>
      <c r="P747" s="46"/>
      <c r="R747" s="15">
        <v>0.04</v>
      </c>
      <c r="S747" s="18">
        <f>(Tabela22[[#This Row],[FRETE]]+Tabela22[[#This Row],[DESPESAS]]+Tabela22[[#This Row],[IPI]]+Tabela22[[#This Row],[Vl. Produto]])*Tabela22[[#This Row],[Aliq.%]]</f>
        <v>0</v>
      </c>
    </row>
    <row r="748" spans="13:19" x14ac:dyDescent="0.25">
      <c r="M748" s="46"/>
      <c r="N748" s="46"/>
      <c r="O748" s="46"/>
      <c r="P748" s="46"/>
      <c r="R748" s="15">
        <v>0.04</v>
      </c>
      <c r="S748" s="18">
        <f>(Tabela22[[#This Row],[FRETE]]+Tabela22[[#This Row],[DESPESAS]]+Tabela22[[#This Row],[IPI]]+Tabela22[[#This Row],[Vl. Produto]])*Tabela22[[#This Row],[Aliq.%]]</f>
        <v>0</v>
      </c>
    </row>
    <row r="749" spans="13:19" x14ac:dyDescent="0.25">
      <c r="M749" s="46"/>
      <c r="N749" s="46"/>
      <c r="O749" s="46"/>
      <c r="P749" s="46"/>
      <c r="R749" s="15">
        <v>0.04</v>
      </c>
      <c r="S749" s="18">
        <f>(Tabela22[[#This Row],[FRETE]]+Tabela22[[#This Row],[DESPESAS]]+Tabela22[[#This Row],[IPI]]+Tabela22[[#This Row],[Vl. Produto]])*Tabela22[[#This Row],[Aliq.%]]</f>
        <v>0</v>
      </c>
    </row>
    <row r="750" spans="13:19" x14ac:dyDescent="0.25">
      <c r="M750" s="46"/>
      <c r="N750" s="46"/>
      <c r="O750" s="46"/>
      <c r="P750" s="46"/>
      <c r="R750" s="15">
        <v>0.04</v>
      </c>
      <c r="S750" s="18">
        <f>(Tabela22[[#This Row],[FRETE]]+Tabela22[[#This Row],[DESPESAS]]+Tabela22[[#This Row],[IPI]]+Tabela22[[#This Row],[Vl. Produto]])*Tabela22[[#This Row],[Aliq.%]]</f>
        <v>0</v>
      </c>
    </row>
    <row r="751" spans="13:19" x14ac:dyDescent="0.25">
      <c r="M751" s="46"/>
      <c r="N751" s="46"/>
      <c r="O751" s="46"/>
      <c r="P751" s="46"/>
      <c r="R751" s="15">
        <v>0.04</v>
      </c>
      <c r="S751" s="18">
        <f>(Tabela22[[#This Row],[FRETE]]+Tabela22[[#This Row],[DESPESAS]]+Tabela22[[#This Row],[IPI]]+Tabela22[[#This Row],[Vl. Produto]])*Tabela22[[#This Row],[Aliq.%]]</f>
        <v>0</v>
      </c>
    </row>
    <row r="752" spans="13:19" x14ac:dyDescent="0.25">
      <c r="M752" s="46"/>
      <c r="N752" s="46"/>
      <c r="O752" s="46"/>
      <c r="P752" s="46"/>
      <c r="R752" s="15">
        <v>0.04</v>
      </c>
      <c r="S752" s="18">
        <f>(Tabela22[[#This Row],[FRETE]]+Tabela22[[#This Row],[DESPESAS]]+Tabela22[[#This Row],[IPI]]+Tabela22[[#This Row],[Vl. Produto]])*Tabela22[[#This Row],[Aliq.%]]</f>
        <v>0</v>
      </c>
    </row>
    <row r="753" spans="13:19" x14ac:dyDescent="0.25">
      <c r="M753" s="46"/>
      <c r="N753" s="46"/>
      <c r="O753" s="46"/>
      <c r="P753" s="46"/>
      <c r="R753" s="15">
        <v>0.04</v>
      </c>
      <c r="S753" s="18">
        <f>(Tabela22[[#This Row],[FRETE]]+Tabela22[[#This Row],[DESPESAS]]+Tabela22[[#This Row],[IPI]]+Tabela22[[#This Row],[Vl. Produto]])*Tabela22[[#This Row],[Aliq.%]]</f>
        <v>0</v>
      </c>
    </row>
    <row r="754" spans="13:19" x14ac:dyDescent="0.25">
      <c r="M754" s="46"/>
      <c r="N754" s="46"/>
      <c r="O754" s="46"/>
      <c r="P754" s="46"/>
      <c r="R754" s="15">
        <v>0.04</v>
      </c>
      <c r="S754" s="18">
        <f>(Tabela22[[#This Row],[FRETE]]+Tabela22[[#This Row],[DESPESAS]]+Tabela22[[#This Row],[IPI]]+Tabela22[[#This Row],[Vl. Produto]])*Tabela22[[#This Row],[Aliq.%]]</f>
        <v>0</v>
      </c>
    </row>
    <row r="755" spans="13:19" x14ac:dyDescent="0.25">
      <c r="M755" s="46"/>
      <c r="N755" s="46"/>
      <c r="O755" s="46"/>
      <c r="P755" s="46"/>
      <c r="R755" s="15">
        <v>0.04</v>
      </c>
      <c r="S755" s="18">
        <f>(Tabela22[[#This Row],[FRETE]]+Tabela22[[#This Row],[DESPESAS]]+Tabela22[[#This Row],[IPI]]+Tabela22[[#This Row],[Vl. Produto]])*Tabela22[[#This Row],[Aliq.%]]</f>
        <v>0</v>
      </c>
    </row>
    <row r="756" spans="13:19" x14ac:dyDescent="0.25">
      <c r="M756" s="46"/>
      <c r="N756" s="46"/>
      <c r="O756" s="46"/>
      <c r="P756" s="46"/>
      <c r="R756" s="15">
        <v>0.04</v>
      </c>
      <c r="S756" s="18">
        <f>(Tabela22[[#This Row],[FRETE]]+Tabela22[[#This Row],[DESPESAS]]+Tabela22[[#This Row],[IPI]]+Tabela22[[#This Row],[Vl. Produto]])*Tabela22[[#This Row],[Aliq.%]]</f>
        <v>0</v>
      </c>
    </row>
    <row r="757" spans="13:19" x14ac:dyDescent="0.25">
      <c r="M757" s="46"/>
      <c r="N757" s="46"/>
      <c r="O757" s="46"/>
      <c r="P757" s="46"/>
      <c r="R757" s="15">
        <v>0.04</v>
      </c>
      <c r="S757" s="18">
        <f>(Tabela22[[#This Row],[FRETE]]+Tabela22[[#This Row],[DESPESAS]]+Tabela22[[#This Row],[IPI]]+Tabela22[[#This Row],[Vl. Produto]])*Tabela22[[#This Row],[Aliq.%]]</f>
        <v>0</v>
      </c>
    </row>
    <row r="758" spans="13:19" x14ac:dyDescent="0.25">
      <c r="M758" s="46"/>
      <c r="N758" s="46"/>
      <c r="O758" s="46"/>
      <c r="P758" s="46"/>
      <c r="R758" s="15">
        <v>0.04</v>
      </c>
      <c r="S758" s="18">
        <f>(Tabela22[[#This Row],[FRETE]]+Tabela22[[#This Row],[DESPESAS]]+Tabela22[[#This Row],[IPI]]+Tabela22[[#This Row],[Vl. Produto]])*Tabela22[[#This Row],[Aliq.%]]</f>
        <v>0</v>
      </c>
    </row>
    <row r="759" spans="13:19" x14ac:dyDescent="0.25">
      <c r="M759" s="46"/>
      <c r="N759" s="46"/>
      <c r="O759" s="46"/>
      <c r="P759" s="46"/>
      <c r="R759" s="15">
        <v>0.04</v>
      </c>
      <c r="S759" s="18">
        <f>(Tabela22[[#This Row],[FRETE]]+Tabela22[[#This Row],[DESPESAS]]+Tabela22[[#This Row],[IPI]]+Tabela22[[#This Row],[Vl. Produto]])*Tabela22[[#This Row],[Aliq.%]]</f>
        <v>0</v>
      </c>
    </row>
    <row r="760" spans="13:19" x14ac:dyDescent="0.25">
      <c r="M760" s="46"/>
      <c r="N760" s="46"/>
      <c r="O760" s="46"/>
      <c r="P760" s="46"/>
      <c r="R760" s="15">
        <v>0.04</v>
      </c>
      <c r="S760" s="18">
        <f>(Tabela22[[#This Row],[FRETE]]+Tabela22[[#This Row],[DESPESAS]]+Tabela22[[#This Row],[IPI]]+Tabela22[[#This Row],[Vl. Produto]])*Tabela22[[#This Row],[Aliq.%]]</f>
        <v>0</v>
      </c>
    </row>
    <row r="761" spans="13:19" x14ac:dyDescent="0.25">
      <c r="M761" s="46"/>
      <c r="N761" s="46"/>
      <c r="O761" s="46"/>
      <c r="P761" s="46"/>
      <c r="R761" s="15">
        <v>0.04</v>
      </c>
      <c r="S761" s="18">
        <f>(Tabela22[[#This Row],[FRETE]]+Tabela22[[#This Row],[DESPESAS]]+Tabela22[[#This Row],[IPI]]+Tabela22[[#This Row],[Vl. Produto]])*Tabela22[[#This Row],[Aliq.%]]</f>
        <v>0</v>
      </c>
    </row>
    <row r="762" spans="13:19" x14ac:dyDescent="0.25">
      <c r="M762" s="46"/>
      <c r="N762" s="46"/>
      <c r="O762" s="46"/>
      <c r="P762" s="46"/>
      <c r="R762" s="15">
        <v>0.04</v>
      </c>
      <c r="S762" s="18">
        <f>(Tabela22[[#This Row],[FRETE]]+Tabela22[[#This Row],[DESPESAS]]+Tabela22[[#This Row],[IPI]]+Tabela22[[#This Row],[Vl. Produto]])*Tabela22[[#This Row],[Aliq.%]]</f>
        <v>0</v>
      </c>
    </row>
    <row r="763" spans="13:19" x14ac:dyDescent="0.25">
      <c r="M763" s="46"/>
      <c r="N763" s="46"/>
      <c r="O763" s="46"/>
      <c r="P763" s="46"/>
      <c r="R763" s="15">
        <v>0.04</v>
      </c>
      <c r="S763" s="18">
        <f>(Tabela22[[#This Row],[FRETE]]+Tabela22[[#This Row],[DESPESAS]]+Tabela22[[#This Row],[IPI]]+Tabela22[[#This Row],[Vl. Produto]])*Tabela22[[#This Row],[Aliq.%]]</f>
        <v>0</v>
      </c>
    </row>
    <row r="764" spans="13:19" x14ac:dyDescent="0.25">
      <c r="M764" s="46"/>
      <c r="N764" s="46"/>
      <c r="O764" s="46"/>
      <c r="P764" s="46"/>
      <c r="R764" s="15">
        <v>0.04</v>
      </c>
      <c r="S764" s="18">
        <f>(Tabela22[[#This Row],[FRETE]]+Tabela22[[#This Row],[DESPESAS]]+Tabela22[[#This Row],[IPI]]+Tabela22[[#This Row],[Vl. Produto]])*Tabela22[[#This Row],[Aliq.%]]</f>
        <v>0</v>
      </c>
    </row>
    <row r="765" spans="13:19" x14ac:dyDescent="0.25">
      <c r="M765" s="46"/>
      <c r="N765" s="46"/>
      <c r="O765" s="46"/>
      <c r="P765" s="46"/>
      <c r="R765" s="15">
        <v>0.04</v>
      </c>
      <c r="S765" s="18">
        <f>(Tabela22[[#This Row],[FRETE]]+Tabela22[[#This Row],[DESPESAS]]+Tabela22[[#This Row],[IPI]]+Tabela22[[#This Row],[Vl. Produto]])*Tabela22[[#This Row],[Aliq.%]]</f>
        <v>0</v>
      </c>
    </row>
    <row r="766" spans="13:19" x14ac:dyDescent="0.25">
      <c r="M766" s="46"/>
      <c r="N766" s="46"/>
      <c r="O766" s="46"/>
      <c r="P766" s="46"/>
      <c r="R766" s="15">
        <v>0.04</v>
      </c>
      <c r="S766" s="18">
        <f>(Tabela22[[#This Row],[FRETE]]+Tabela22[[#This Row],[DESPESAS]]+Tabela22[[#This Row],[IPI]]+Tabela22[[#This Row],[Vl. Produto]])*Tabela22[[#This Row],[Aliq.%]]</f>
        <v>0</v>
      </c>
    </row>
    <row r="767" spans="13:19" x14ac:dyDescent="0.25">
      <c r="M767" s="46"/>
      <c r="N767" s="46"/>
      <c r="O767" s="46"/>
      <c r="P767" s="46"/>
      <c r="R767" s="15">
        <v>0.04</v>
      </c>
      <c r="S767" s="18">
        <f>(Tabela22[[#This Row],[FRETE]]+Tabela22[[#This Row],[DESPESAS]]+Tabela22[[#This Row],[IPI]]+Tabela22[[#This Row],[Vl. Produto]])*Tabela22[[#This Row],[Aliq.%]]</f>
        <v>0</v>
      </c>
    </row>
    <row r="768" spans="13:19" x14ac:dyDescent="0.25">
      <c r="M768" s="46"/>
      <c r="N768" s="46"/>
      <c r="O768" s="46"/>
      <c r="P768" s="46"/>
      <c r="R768" s="15">
        <v>0.04</v>
      </c>
      <c r="S768" s="18">
        <f>(Tabela22[[#This Row],[FRETE]]+Tabela22[[#This Row],[DESPESAS]]+Tabela22[[#This Row],[IPI]]+Tabela22[[#This Row],[Vl. Produto]])*Tabela22[[#This Row],[Aliq.%]]</f>
        <v>0</v>
      </c>
    </row>
    <row r="769" spans="13:19" x14ac:dyDescent="0.25">
      <c r="M769" s="46"/>
      <c r="N769" s="46"/>
      <c r="O769" s="46"/>
      <c r="P769" s="46"/>
      <c r="R769" s="15">
        <v>0.04</v>
      </c>
      <c r="S769" s="18">
        <f>(Tabela22[[#This Row],[FRETE]]+Tabela22[[#This Row],[DESPESAS]]+Tabela22[[#This Row],[IPI]]+Tabela22[[#This Row],[Vl. Produto]])*Tabela22[[#This Row],[Aliq.%]]</f>
        <v>0</v>
      </c>
    </row>
    <row r="770" spans="13:19" x14ac:dyDescent="0.25">
      <c r="M770" s="46"/>
      <c r="N770" s="46"/>
      <c r="O770" s="46"/>
      <c r="P770" s="46"/>
      <c r="R770" s="15">
        <v>0.04</v>
      </c>
      <c r="S770" s="18">
        <f>(Tabela22[[#This Row],[FRETE]]+Tabela22[[#This Row],[DESPESAS]]+Tabela22[[#This Row],[IPI]]+Tabela22[[#This Row],[Vl. Produto]])*Tabela22[[#This Row],[Aliq.%]]</f>
        <v>0</v>
      </c>
    </row>
    <row r="771" spans="13:19" x14ac:dyDescent="0.25">
      <c r="M771" s="46"/>
      <c r="N771" s="46"/>
      <c r="O771" s="46"/>
      <c r="P771" s="46"/>
      <c r="R771" s="15">
        <v>0.04</v>
      </c>
      <c r="S771" s="18">
        <f>(Tabela22[[#This Row],[FRETE]]+Tabela22[[#This Row],[DESPESAS]]+Tabela22[[#This Row],[IPI]]+Tabela22[[#This Row],[Vl. Produto]])*Tabela22[[#This Row],[Aliq.%]]</f>
        <v>0</v>
      </c>
    </row>
    <row r="772" spans="13:19" x14ac:dyDescent="0.25">
      <c r="M772" s="46"/>
      <c r="N772" s="46"/>
      <c r="O772" s="46"/>
      <c r="P772" s="46"/>
      <c r="R772" s="15">
        <v>0.04</v>
      </c>
      <c r="S772" s="18">
        <f>(Tabela22[[#This Row],[FRETE]]+Tabela22[[#This Row],[DESPESAS]]+Tabela22[[#This Row],[IPI]]+Tabela22[[#This Row],[Vl. Produto]])*Tabela22[[#This Row],[Aliq.%]]</f>
        <v>0</v>
      </c>
    </row>
    <row r="773" spans="13:19" x14ac:dyDescent="0.25">
      <c r="M773" s="46"/>
      <c r="N773" s="46"/>
      <c r="O773" s="46"/>
      <c r="P773" s="46"/>
      <c r="R773" s="15">
        <v>0.04</v>
      </c>
      <c r="S773" s="18">
        <f>(Tabela22[[#This Row],[FRETE]]+Tabela22[[#This Row],[DESPESAS]]+Tabela22[[#This Row],[IPI]]+Tabela22[[#This Row],[Vl. Produto]])*Tabela22[[#This Row],[Aliq.%]]</f>
        <v>0</v>
      </c>
    </row>
    <row r="774" spans="13:19" x14ac:dyDescent="0.25">
      <c r="M774" s="46"/>
      <c r="N774" s="46"/>
      <c r="O774" s="46"/>
      <c r="P774" s="46"/>
      <c r="R774" s="15">
        <v>0.04</v>
      </c>
      <c r="S774" s="18">
        <f>(Tabela22[[#This Row],[FRETE]]+Tabela22[[#This Row],[DESPESAS]]+Tabela22[[#This Row],[IPI]]+Tabela22[[#This Row],[Vl. Produto]])*Tabela22[[#This Row],[Aliq.%]]</f>
        <v>0</v>
      </c>
    </row>
    <row r="775" spans="13:19" x14ac:dyDescent="0.25">
      <c r="M775" s="46"/>
      <c r="N775" s="46"/>
      <c r="O775" s="46"/>
      <c r="P775" s="46"/>
      <c r="R775" s="15">
        <v>0.04</v>
      </c>
      <c r="S775" s="18">
        <f>(Tabela22[[#This Row],[FRETE]]+Tabela22[[#This Row],[DESPESAS]]+Tabela22[[#This Row],[IPI]]+Tabela22[[#This Row],[Vl. Produto]])*Tabela22[[#This Row],[Aliq.%]]</f>
        <v>0</v>
      </c>
    </row>
    <row r="776" spans="13:19" x14ac:dyDescent="0.25">
      <c r="M776" s="46"/>
      <c r="N776" s="46"/>
      <c r="O776" s="46"/>
      <c r="P776" s="46"/>
      <c r="R776" s="15">
        <v>0.04</v>
      </c>
      <c r="S776" s="18">
        <f>(Tabela22[[#This Row],[FRETE]]+Tabela22[[#This Row],[DESPESAS]]+Tabela22[[#This Row],[IPI]]+Tabela22[[#This Row],[Vl. Produto]])*Tabela22[[#This Row],[Aliq.%]]</f>
        <v>0</v>
      </c>
    </row>
    <row r="777" spans="13:19" x14ac:dyDescent="0.25">
      <c r="M777" s="46"/>
      <c r="N777" s="46"/>
      <c r="O777" s="46"/>
      <c r="P777" s="46"/>
      <c r="R777" s="15">
        <v>0.04</v>
      </c>
      <c r="S777" s="18">
        <f>(Tabela22[[#This Row],[FRETE]]+Tabela22[[#This Row],[DESPESAS]]+Tabela22[[#This Row],[IPI]]+Tabela22[[#This Row],[Vl. Produto]])*Tabela22[[#This Row],[Aliq.%]]</f>
        <v>0</v>
      </c>
    </row>
    <row r="778" spans="13:19" x14ac:dyDescent="0.25">
      <c r="M778" s="46"/>
      <c r="N778" s="46"/>
      <c r="O778" s="46"/>
      <c r="P778" s="46"/>
      <c r="R778" s="15">
        <v>0.04</v>
      </c>
      <c r="S778" s="18">
        <f>(Tabela22[[#This Row],[FRETE]]+Tabela22[[#This Row],[DESPESAS]]+Tabela22[[#This Row],[IPI]]+Tabela22[[#This Row],[Vl. Produto]])*Tabela22[[#This Row],[Aliq.%]]</f>
        <v>0</v>
      </c>
    </row>
    <row r="779" spans="13:19" x14ac:dyDescent="0.25">
      <c r="M779" s="46"/>
      <c r="N779" s="46"/>
      <c r="O779" s="46"/>
      <c r="P779" s="46"/>
      <c r="R779" s="15">
        <v>0.04</v>
      </c>
      <c r="S779" s="18">
        <f>(Tabela22[[#This Row],[FRETE]]+Tabela22[[#This Row],[DESPESAS]]+Tabela22[[#This Row],[IPI]]+Tabela22[[#This Row],[Vl. Produto]])*Tabela22[[#This Row],[Aliq.%]]</f>
        <v>0</v>
      </c>
    </row>
    <row r="780" spans="13:19" x14ac:dyDescent="0.25">
      <c r="M780" s="46"/>
      <c r="N780" s="46"/>
      <c r="O780" s="46"/>
      <c r="P780" s="46"/>
      <c r="R780" s="15">
        <v>0.04</v>
      </c>
      <c r="S780" s="18">
        <f>(Tabela22[[#This Row],[FRETE]]+Tabela22[[#This Row],[DESPESAS]]+Tabela22[[#This Row],[IPI]]+Tabela22[[#This Row],[Vl. Produto]])*Tabela22[[#This Row],[Aliq.%]]</f>
        <v>0</v>
      </c>
    </row>
    <row r="781" spans="13:19" x14ac:dyDescent="0.25">
      <c r="M781" s="46"/>
      <c r="N781" s="46"/>
      <c r="O781" s="46"/>
      <c r="P781" s="46"/>
      <c r="R781" s="15">
        <v>0.04</v>
      </c>
      <c r="S781" s="18">
        <f>(Tabela22[[#This Row],[FRETE]]+Tabela22[[#This Row],[DESPESAS]]+Tabela22[[#This Row],[IPI]]+Tabela22[[#This Row],[Vl. Produto]])*Tabela22[[#This Row],[Aliq.%]]</f>
        <v>0</v>
      </c>
    </row>
    <row r="782" spans="13:19" x14ac:dyDescent="0.25">
      <c r="M782" s="46"/>
      <c r="N782" s="46"/>
      <c r="O782" s="46"/>
      <c r="P782" s="46"/>
      <c r="R782" s="15">
        <v>0.04</v>
      </c>
      <c r="S782" s="18">
        <f>(Tabela22[[#This Row],[FRETE]]+Tabela22[[#This Row],[DESPESAS]]+Tabela22[[#This Row],[IPI]]+Tabela22[[#This Row],[Vl. Produto]])*Tabela22[[#This Row],[Aliq.%]]</f>
        <v>0</v>
      </c>
    </row>
    <row r="783" spans="13:19" x14ac:dyDescent="0.25">
      <c r="M783" s="46"/>
      <c r="N783" s="46"/>
      <c r="O783" s="46"/>
      <c r="P783" s="46"/>
      <c r="R783" s="15">
        <v>0.04</v>
      </c>
      <c r="S783" s="18">
        <f>(Tabela22[[#This Row],[FRETE]]+Tabela22[[#This Row],[DESPESAS]]+Tabela22[[#This Row],[IPI]]+Tabela22[[#This Row],[Vl. Produto]])*Tabela22[[#This Row],[Aliq.%]]</f>
        <v>0</v>
      </c>
    </row>
    <row r="784" spans="13:19" x14ac:dyDescent="0.25">
      <c r="M784" s="46"/>
      <c r="N784" s="46"/>
      <c r="O784" s="46"/>
      <c r="P784" s="46"/>
      <c r="R784" s="15">
        <v>0.04</v>
      </c>
      <c r="S784" s="18">
        <f>(Tabela22[[#This Row],[FRETE]]+Tabela22[[#This Row],[DESPESAS]]+Tabela22[[#This Row],[IPI]]+Tabela22[[#This Row],[Vl. Produto]])*Tabela22[[#This Row],[Aliq.%]]</f>
        <v>0</v>
      </c>
    </row>
    <row r="785" spans="13:19" x14ac:dyDescent="0.25">
      <c r="M785" s="46"/>
      <c r="N785" s="46"/>
      <c r="O785" s="46"/>
      <c r="P785" s="46"/>
      <c r="R785" s="15">
        <v>0.04</v>
      </c>
      <c r="S785" s="18">
        <f>(Tabela22[[#This Row],[FRETE]]+Tabela22[[#This Row],[DESPESAS]]+Tabela22[[#This Row],[IPI]]+Tabela22[[#This Row],[Vl. Produto]])*Tabela22[[#This Row],[Aliq.%]]</f>
        <v>0</v>
      </c>
    </row>
    <row r="786" spans="13:19" x14ac:dyDescent="0.25">
      <c r="M786" s="46"/>
      <c r="N786" s="46"/>
      <c r="O786" s="46"/>
      <c r="P786" s="46"/>
      <c r="R786" s="15">
        <v>0.04</v>
      </c>
      <c r="S786" s="18">
        <f>(Tabela22[[#This Row],[FRETE]]+Tabela22[[#This Row],[DESPESAS]]+Tabela22[[#This Row],[IPI]]+Tabela22[[#This Row],[Vl. Produto]])*Tabela22[[#This Row],[Aliq.%]]</f>
        <v>0</v>
      </c>
    </row>
    <row r="787" spans="13:19" x14ac:dyDescent="0.25">
      <c r="M787" s="46"/>
      <c r="N787" s="46"/>
      <c r="O787" s="46"/>
      <c r="P787" s="46"/>
      <c r="R787" s="15">
        <v>0.04</v>
      </c>
      <c r="S787" s="18">
        <f>(Tabela22[[#This Row],[FRETE]]+Tabela22[[#This Row],[DESPESAS]]+Tabela22[[#This Row],[IPI]]+Tabela22[[#This Row],[Vl. Produto]])*Tabela22[[#This Row],[Aliq.%]]</f>
        <v>0</v>
      </c>
    </row>
    <row r="788" spans="13:19" x14ac:dyDescent="0.25">
      <c r="M788" s="46"/>
      <c r="N788" s="46"/>
      <c r="O788" s="46"/>
      <c r="P788" s="46"/>
      <c r="R788" s="15">
        <v>0.04</v>
      </c>
      <c r="S788" s="18">
        <f>(Tabela22[[#This Row],[FRETE]]+Tabela22[[#This Row],[DESPESAS]]+Tabela22[[#This Row],[IPI]]+Tabela22[[#This Row],[Vl. Produto]])*Tabela22[[#This Row],[Aliq.%]]</f>
        <v>0</v>
      </c>
    </row>
    <row r="789" spans="13:19" x14ac:dyDescent="0.25">
      <c r="M789" s="46"/>
      <c r="N789" s="46"/>
      <c r="O789" s="46"/>
      <c r="P789" s="46"/>
      <c r="R789" s="15">
        <v>0.04</v>
      </c>
      <c r="S789" s="18">
        <f>(Tabela22[[#This Row],[FRETE]]+Tabela22[[#This Row],[DESPESAS]]+Tabela22[[#This Row],[IPI]]+Tabela22[[#This Row],[Vl. Produto]])*Tabela22[[#This Row],[Aliq.%]]</f>
        <v>0</v>
      </c>
    </row>
    <row r="790" spans="13:19" x14ac:dyDescent="0.25">
      <c r="M790" s="46"/>
      <c r="N790" s="46"/>
      <c r="O790" s="46"/>
      <c r="P790" s="46"/>
      <c r="R790" s="15">
        <v>0.04</v>
      </c>
      <c r="S790" s="18">
        <f>(Tabela22[[#This Row],[FRETE]]+Tabela22[[#This Row],[DESPESAS]]+Tabela22[[#This Row],[IPI]]+Tabela22[[#This Row],[Vl. Produto]])*Tabela22[[#This Row],[Aliq.%]]</f>
        <v>0</v>
      </c>
    </row>
    <row r="791" spans="13:19" x14ac:dyDescent="0.25">
      <c r="M791" s="46"/>
      <c r="N791" s="46"/>
      <c r="O791" s="46"/>
      <c r="P791" s="46"/>
      <c r="R791" s="15">
        <v>0.04</v>
      </c>
      <c r="S791" s="18">
        <f>(Tabela22[[#This Row],[FRETE]]+Tabela22[[#This Row],[DESPESAS]]+Tabela22[[#This Row],[IPI]]+Tabela22[[#This Row],[Vl. Produto]])*Tabela22[[#This Row],[Aliq.%]]</f>
        <v>0</v>
      </c>
    </row>
    <row r="792" spans="13:19" x14ac:dyDescent="0.25">
      <c r="M792" s="46"/>
      <c r="N792" s="46"/>
      <c r="O792" s="46"/>
      <c r="P792" s="46"/>
      <c r="R792" s="15">
        <v>0.04</v>
      </c>
      <c r="S792" s="18">
        <f>(Tabela22[[#This Row],[FRETE]]+Tabela22[[#This Row],[DESPESAS]]+Tabela22[[#This Row],[IPI]]+Tabela22[[#This Row],[Vl. Produto]])*Tabela22[[#This Row],[Aliq.%]]</f>
        <v>0</v>
      </c>
    </row>
    <row r="793" spans="13:19" x14ac:dyDescent="0.25">
      <c r="M793" s="46"/>
      <c r="N793" s="46"/>
      <c r="O793" s="46"/>
      <c r="P793" s="46"/>
      <c r="R793" s="15">
        <v>0.04</v>
      </c>
      <c r="S793" s="18">
        <f>(Tabela22[[#This Row],[FRETE]]+Tabela22[[#This Row],[DESPESAS]]+Tabela22[[#This Row],[IPI]]+Tabela22[[#This Row],[Vl. Produto]])*Tabela22[[#This Row],[Aliq.%]]</f>
        <v>0</v>
      </c>
    </row>
    <row r="794" spans="13:19" x14ac:dyDescent="0.25">
      <c r="M794" s="46"/>
      <c r="N794" s="46"/>
      <c r="O794" s="46"/>
      <c r="P794" s="46"/>
      <c r="R794" s="15">
        <v>0.04</v>
      </c>
      <c r="S794" s="18">
        <f>(Tabela22[[#This Row],[FRETE]]+Tabela22[[#This Row],[DESPESAS]]+Tabela22[[#This Row],[IPI]]+Tabela22[[#This Row],[Vl. Produto]])*Tabela22[[#This Row],[Aliq.%]]</f>
        <v>0</v>
      </c>
    </row>
    <row r="795" spans="13:19" x14ac:dyDescent="0.25">
      <c r="M795" s="46"/>
      <c r="N795" s="46"/>
      <c r="O795" s="46"/>
      <c r="P795" s="46"/>
      <c r="R795" s="15">
        <v>0.04</v>
      </c>
      <c r="S795" s="18">
        <f>(Tabela22[[#This Row],[FRETE]]+Tabela22[[#This Row],[DESPESAS]]+Tabela22[[#This Row],[IPI]]+Tabela22[[#This Row],[Vl. Produto]])*Tabela22[[#This Row],[Aliq.%]]</f>
        <v>0</v>
      </c>
    </row>
    <row r="796" spans="13:19" x14ac:dyDescent="0.25">
      <c r="M796" s="46"/>
      <c r="N796" s="46"/>
      <c r="O796" s="46"/>
      <c r="P796" s="46"/>
      <c r="R796" s="15">
        <v>0.04</v>
      </c>
      <c r="S796" s="18">
        <f>(Tabela22[[#This Row],[FRETE]]+Tabela22[[#This Row],[DESPESAS]]+Tabela22[[#This Row],[IPI]]+Tabela22[[#This Row],[Vl. Produto]])*Tabela22[[#This Row],[Aliq.%]]</f>
        <v>0</v>
      </c>
    </row>
    <row r="797" spans="13:19" x14ac:dyDescent="0.25">
      <c r="M797" s="46"/>
      <c r="N797" s="46"/>
      <c r="O797" s="46"/>
      <c r="P797" s="46"/>
      <c r="R797" s="15">
        <v>0.04</v>
      </c>
      <c r="S797" s="18">
        <f>(Tabela22[[#This Row],[FRETE]]+Tabela22[[#This Row],[DESPESAS]]+Tabela22[[#This Row],[IPI]]+Tabela22[[#This Row],[Vl. Produto]])*Tabela22[[#This Row],[Aliq.%]]</f>
        <v>0</v>
      </c>
    </row>
    <row r="798" spans="13:19" x14ac:dyDescent="0.25">
      <c r="M798" s="46"/>
      <c r="N798" s="46"/>
      <c r="O798" s="46"/>
      <c r="P798" s="46"/>
      <c r="R798" s="15">
        <v>0.04</v>
      </c>
      <c r="S798" s="18">
        <f>(Tabela22[[#This Row],[FRETE]]+Tabela22[[#This Row],[DESPESAS]]+Tabela22[[#This Row],[IPI]]+Tabela22[[#This Row],[Vl. Produto]])*Tabela22[[#This Row],[Aliq.%]]</f>
        <v>0</v>
      </c>
    </row>
    <row r="799" spans="13:19" x14ac:dyDescent="0.25">
      <c r="M799" s="46"/>
      <c r="N799" s="46"/>
      <c r="O799" s="46"/>
      <c r="P799" s="46"/>
      <c r="R799" s="15">
        <v>0.04</v>
      </c>
      <c r="S799" s="18">
        <f>(Tabela22[[#This Row],[FRETE]]+Tabela22[[#This Row],[DESPESAS]]+Tabela22[[#This Row],[IPI]]+Tabela22[[#This Row],[Vl. Produto]])*Tabela22[[#This Row],[Aliq.%]]</f>
        <v>0</v>
      </c>
    </row>
    <row r="800" spans="13:19" x14ac:dyDescent="0.25">
      <c r="M800" s="46"/>
      <c r="N800" s="46"/>
      <c r="O800" s="46"/>
      <c r="P800" s="46"/>
      <c r="R800" s="15">
        <v>0.04</v>
      </c>
      <c r="S800" s="18">
        <f>(Tabela22[[#This Row],[FRETE]]+Tabela22[[#This Row],[DESPESAS]]+Tabela22[[#This Row],[IPI]]+Tabela22[[#This Row],[Vl. Produto]])*Tabela22[[#This Row],[Aliq.%]]</f>
        <v>0</v>
      </c>
    </row>
    <row r="801" spans="13:19" x14ac:dyDescent="0.25">
      <c r="M801" s="46"/>
      <c r="N801" s="46"/>
      <c r="O801" s="46"/>
      <c r="P801" s="46"/>
      <c r="R801" s="15">
        <v>0.04</v>
      </c>
      <c r="S801" s="18">
        <f>(Tabela22[[#This Row],[FRETE]]+Tabela22[[#This Row],[DESPESAS]]+Tabela22[[#This Row],[IPI]]+Tabela22[[#This Row],[Vl. Produto]])*Tabela22[[#This Row],[Aliq.%]]</f>
        <v>0</v>
      </c>
    </row>
    <row r="802" spans="13:19" x14ac:dyDescent="0.25">
      <c r="M802" s="46"/>
      <c r="N802" s="46"/>
      <c r="O802" s="46"/>
      <c r="P802" s="46"/>
      <c r="R802" s="15">
        <v>0.04</v>
      </c>
      <c r="S802" s="18">
        <f>(Tabela22[[#This Row],[FRETE]]+Tabela22[[#This Row],[DESPESAS]]+Tabela22[[#This Row],[IPI]]+Tabela22[[#This Row],[Vl. Produto]])*Tabela22[[#This Row],[Aliq.%]]</f>
        <v>0</v>
      </c>
    </row>
    <row r="803" spans="13:19" x14ac:dyDescent="0.25">
      <c r="M803" s="46"/>
      <c r="N803" s="46"/>
      <c r="O803" s="46"/>
      <c r="P803" s="46"/>
      <c r="R803" s="15">
        <v>0.04</v>
      </c>
      <c r="S803" s="18">
        <f>(Tabela22[[#This Row],[FRETE]]+Tabela22[[#This Row],[DESPESAS]]+Tabela22[[#This Row],[IPI]]+Tabela22[[#This Row],[Vl. Produto]])*Tabela22[[#This Row],[Aliq.%]]</f>
        <v>0</v>
      </c>
    </row>
    <row r="804" spans="13:19" x14ac:dyDescent="0.25">
      <c r="M804" s="46"/>
      <c r="N804" s="46"/>
      <c r="O804" s="46"/>
      <c r="P804" s="46"/>
      <c r="R804" s="15">
        <v>0.04</v>
      </c>
      <c r="S804" s="18">
        <f>(Tabela22[[#This Row],[FRETE]]+Tabela22[[#This Row],[DESPESAS]]+Tabela22[[#This Row],[IPI]]+Tabela22[[#This Row],[Vl. Produto]])*Tabela22[[#This Row],[Aliq.%]]</f>
        <v>0</v>
      </c>
    </row>
    <row r="805" spans="13:19" x14ac:dyDescent="0.25">
      <c r="M805" s="46"/>
      <c r="N805" s="46"/>
      <c r="O805" s="46"/>
      <c r="P805" s="46"/>
      <c r="R805" s="15">
        <v>0.04</v>
      </c>
      <c r="S805" s="18">
        <f>(Tabela22[[#This Row],[FRETE]]+Tabela22[[#This Row],[DESPESAS]]+Tabela22[[#This Row],[IPI]]+Tabela22[[#This Row],[Vl. Produto]])*Tabela22[[#This Row],[Aliq.%]]</f>
        <v>0</v>
      </c>
    </row>
    <row r="806" spans="13:19" x14ac:dyDescent="0.25">
      <c r="M806" s="46"/>
      <c r="N806" s="46"/>
      <c r="O806" s="46"/>
      <c r="P806" s="46"/>
      <c r="R806" s="15">
        <v>0.04</v>
      </c>
      <c r="S806" s="18">
        <f>(Tabela22[[#This Row],[FRETE]]+Tabela22[[#This Row],[DESPESAS]]+Tabela22[[#This Row],[IPI]]+Tabela22[[#This Row],[Vl. Produto]])*Tabela22[[#This Row],[Aliq.%]]</f>
        <v>0</v>
      </c>
    </row>
    <row r="807" spans="13:19" x14ac:dyDescent="0.25">
      <c r="M807" s="46"/>
      <c r="N807" s="46"/>
      <c r="O807" s="46"/>
      <c r="P807" s="46"/>
      <c r="R807" s="15">
        <v>0.04</v>
      </c>
      <c r="S807" s="18">
        <f>(Tabela22[[#This Row],[FRETE]]+Tabela22[[#This Row],[DESPESAS]]+Tabela22[[#This Row],[IPI]]+Tabela22[[#This Row],[Vl. Produto]])*Tabela22[[#This Row],[Aliq.%]]</f>
        <v>0</v>
      </c>
    </row>
    <row r="808" spans="13:19" x14ac:dyDescent="0.25">
      <c r="M808" s="46"/>
      <c r="N808" s="46"/>
      <c r="O808" s="46"/>
      <c r="P808" s="46"/>
      <c r="R808" s="15">
        <v>0.04</v>
      </c>
      <c r="S808" s="18">
        <f>(Tabela22[[#This Row],[FRETE]]+Tabela22[[#This Row],[DESPESAS]]+Tabela22[[#This Row],[IPI]]+Tabela22[[#This Row],[Vl. Produto]])*Tabela22[[#This Row],[Aliq.%]]</f>
        <v>0</v>
      </c>
    </row>
    <row r="809" spans="13:19" x14ac:dyDescent="0.25">
      <c r="M809" s="46"/>
      <c r="N809" s="46"/>
      <c r="O809" s="46"/>
      <c r="P809" s="46"/>
      <c r="R809" s="15">
        <v>0.04</v>
      </c>
      <c r="S809" s="18">
        <f>(Tabela22[[#This Row],[FRETE]]+Tabela22[[#This Row],[DESPESAS]]+Tabela22[[#This Row],[IPI]]+Tabela22[[#This Row],[Vl. Produto]])*Tabela22[[#This Row],[Aliq.%]]</f>
        <v>0</v>
      </c>
    </row>
    <row r="810" spans="13:19" x14ac:dyDescent="0.25">
      <c r="M810" s="46"/>
      <c r="N810" s="46"/>
      <c r="O810" s="46"/>
      <c r="P810" s="46"/>
      <c r="R810" s="15">
        <v>0.04</v>
      </c>
      <c r="S810" s="18">
        <f>(Tabela22[[#This Row],[FRETE]]+Tabela22[[#This Row],[DESPESAS]]+Tabela22[[#This Row],[IPI]]+Tabela22[[#This Row],[Vl. Produto]])*Tabela22[[#This Row],[Aliq.%]]</f>
        <v>0</v>
      </c>
    </row>
    <row r="811" spans="13:19" x14ac:dyDescent="0.25">
      <c r="M811" s="46"/>
      <c r="N811" s="46"/>
      <c r="O811" s="46"/>
      <c r="P811" s="46"/>
      <c r="R811" s="15">
        <v>0.04</v>
      </c>
      <c r="S811" s="18">
        <f>(Tabela22[[#This Row],[FRETE]]+Tabela22[[#This Row],[DESPESAS]]+Tabela22[[#This Row],[IPI]]+Tabela22[[#This Row],[Vl. Produto]])*Tabela22[[#This Row],[Aliq.%]]</f>
        <v>0</v>
      </c>
    </row>
    <row r="812" spans="13:19" x14ac:dyDescent="0.25">
      <c r="M812" s="46"/>
      <c r="N812" s="46"/>
      <c r="O812" s="46"/>
      <c r="P812" s="46"/>
      <c r="R812" s="15">
        <v>0.04</v>
      </c>
      <c r="S812" s="18">
        <f>(Tabela22[[#This Row],[FRETE]]+Tabela22[[#This Row],[DESPESAS]]+Tabela22[[#This Row],[IPI]]+Tabela22[[#This Row],[Vl. Produto]])*Tabela22[[#This Row],[Aliq.%]]</f>
        <v>0</v>
      </c>
    </row>
    <row r="813" spans="13:19" x14ac:dyDescent="0.25">
      <c r="M813" s="46"/>
      <c r="N813" s="46"/>
      <c r="O813" s="46"/>
      <c r="P813" s="46"/>
      <c r="R813" s="15">
        <v>0.04</v>
      </c>
      <c r="S813" s="18">
        <f>(Tabela22[[#This Row],[FRETE]]+Tabela22[[#This Row],[DESPESAS]]+Tabela22[[#This Row],[IPI]]+Tabela22[[#This Row],[Vl. Produto]])*Tabela22[[#This Row],[Aliq.%]]</f>
        <v>0</v>
      </c>
    </row>
    <row r="814" spans="13:19" x14ac:dyDescent="0.25">
      <c r="M814" s="46"/>
      <c r="N814" s="46"/>
      <c r="O814" s="46"/>
      <c r="P814" s="46"/>
      <c r="R814" s="15">
        <v>0.04</v>
      </c>
      <c r="S814" s="18">
        <f>(Tabela22[[#This Row],[FRETE]]+Tabela22[[#This Row],[DESPESAS]]+Tabela22[[#This Row],[IPI]]+Tabela22[[#This Row],[Vl. Produto]])*Tabela22[[#This Row],[Aliq.%]]</f>
        <v>0</v>
      </c>
    </row>
    <row r="815" spans="13:19" x14ac:dyDescent="0.25">
      <c r="M815" s="46"/>
      <c r="N815" s="46"/>
      <c r="O815" s="46"/>
      <c r="P815" s="46"/>
      <c r="R815" s="15">
        <v>0.04</v>
      </c>
      <c r="S815" s="18">
        <f>(Tabela22[[#This Row],[FRETE]]+Tabela22[[#This Row],[DESPESAS]]+Tabela22[[#This Row],[IPI]]+Tabela22[[#This Row],[Vl. Produto]])*Tabela22[[#This Row],[Aliq.%]]</f>
        <v>0</v>
      </c>
    </row>
    <row r="816" spans="13:19" x14ac:dyDescent="0.25">
      <c r="M816" s="46"/>
      <c r="N816" s="46"/>
      <c r="O816" s="46"/>
      <c r="P816" s="46"/>
      <c r="R816" s="15">
        <v>0.04</v>
      </c>
      <c r="S816" s="18">
        <f>(Tabela22[[#This Row],[FRETE]]+Tabela22[[#This Row],[DESPESAS]]+Tabela22[[#This Row],[IPI]]+Tabela22[[#This Row],[Vl. Produto]])*Tabela22[[#This Row],[Aliq.%]]</f>
        <v>0</v>
      </c>
    </row>
    <row r="817" spans="13:19" x14ac:dyDescent="0.25">
      <c r="M817" s="46"/>
      <c r="N817" s="46"/>
      <c r="O817" s="46"/>
      <c r="P817" s="46"/>
      <c r="R817" s="15">
        <v>0.04</v>
      </c>
      <c r="S817" s="18">
        <f>(Tabela22[[#This Row],[FRETE]]+Tabela22[[#This Row],[DESPESAS]]+Tabela22[[#This Row],[IPI]]+Tabela22[[#This Row],[Vl. Produto]])*Tabela22[[#This Row],[Aliq.%]]</f>
        <v>0</v>
      </c>
    </row>
    <row r="818" spans="13:19" x14ac:dyDescent="0.25">
      <c r="M818" s="46"/>
      <c r="N818" s="46"/>
      <c r="O818" s="46"/>
      <c r="P818" s="46"/>
      <c r="R818" s="15">
        <v>0.04</v>
      </c>
      <c r="S818" s="18">
        <f>(Tabela22[[#This Row],[FRETE]]+Tabela22[[#This Row],[DESPESAS]]+Tabela22[[#This Row],[IPI]]+Tabela22[[#This Row],[Vl. Produto]])*Tabela22[[#This Row],[Aliq.%]]</f>
        <v>0</v>
      </c>
    </row>
    <row r="819" spans="13:19" x14ac:dyDescent="0.25">
      <c r="M819" s="46"/>
      <c r="N819" s="46"/>
      <c r="O819" s="46"/>
      <c r="P819" s="46"/>
      <c r="R819" s="15">
        <v>0.04</v>
      </c>
      <c r="S819" s="18">
        <f>(Tabela22[[#This Row],[FRETE]]+Tabela22[[#This Row],[DESPESAS]]+Tabela22[[#This Row],[IPI]]+Tabela22[[#This Row],[Vl. Produto]])*Tabela22[[#This Row],[Aliq.%]]</f>
        <v>0</v>
      </c>
    </row>
    <row r="820" spans="13:19" x14ac:dyDescent="0.25">
      <c r="M820" s="46"/>
      <c r="N820" s="46"/>
      <c r="O820" s="46"/>
      <c r="P820" s="46"/>
      <c r="R820" s="15">
        <v>0.04</v>
      </c>
      <c r="S820" s="18">
        <f>(Tabela22[[#This Row],[FRETE]]+Tabela22[[#This Row],[DESPESAS]]+Tabela22[[#This Row],[IPI]]+Tabela22[[#This Row],[Vl. Produto]])*Tabela22[[#This Row],[Aliq.%]]</f>
        <v>0</v>
      </c>
    </row>
    <row r="821" spans="13:19" x14ac:dyDescent="0.25">
      <c r="M821" s="46"/>
      <c r="N821" s="46"/>
      <c r="O821" s="46"/>
      <c r="P821" s="46"/>
      <c r="R821" s="15">
        <v>0.04</v>
      </c>
      <c r="S821" s="18">
        <f>(Tabela22[[#This Row],[FRETE]]+Tabela22[[#This Row],[DESPESAS]]+Tabela22[[#This Row],[IPI]]+Tabela22[[#This Row],[Vl. Produto]])*Tabela22[[#This Row],[Aliq.%]]</f>
        <v>0</v>
      </c>
    </row>
    <row r="822" spans="13:19" x14ac:dyDescent="0.25">
      <c r="M822" s="46"/>
      <c r="N822" s="46"/>
      <c r="O822" s="46"/>
      <c r="P822" s="46"/>
      <c r="R822" s="15">
        <v>0.04</v>
      </c>
      <c r="S822" s="18">
        <f>(Tabela22[[#This Row],[FRETE]]+Tabela22[[#This Row],[DESPESAS]]+Tabela22[[#This Row],[IPI]]+Tabela22[[#This Row],[Vl. Produto]])*Tabela22[[#This Row],[Aliq.%]]</f>
        <v>0</v>
      </c>
    </row>
    <row r="823" spans="13:19" x14ac:dyDescent="0.25">
      <c r="M823" s="46"/>
      <c r="N823" s="46"/>
      <c r="O823" s="46"/>
      <c r="P823" s="46"/>
      <c r="R823" s="15">
        <v>0.04</v>
      </c>
      <c r="S823" s="18">
        <f>(Tabela22[[#This Row],[FRETE]]+Tabela22[[#This Row],[DESPESAS]]+Tabela22[[#This Row],[IPI]]+Tabela22[[#This Row],[Vl. Produto]])*Tabela22[[#This Row],[Aliq.%]]</f>
        <v>0</v>
      </c>
    </row>
    <row r="824" spans="13:19" x14ac:dyDescent="0.25">
      <c r="M824" s="46"/>
      <c r="N824" s="46"/>
      <c r="O824" s="46"/>
      <c r="P824" s="46"/>
      <c r="R824" s="15">
        <v>0.04</v>
      </c>
      <c r="S824" s="18">
        <f>(Tabela22[[#This Row],[FRETE]]+Tabela22[[#This Row],[DESPESAS]]+Tabela22[[#This Row],[IPI]]+Tabela22[[#This Row],[Vl. Produto]])*Tabela22[[#This Row],[Aliq.%]]</f>
        <v>0</v>
      </c>
    </row>
    <row r="825" spans="13:19" x14ac:dyDescent="0.25">
      <c r="M825" s="46"/>
      <c r="N825" s="46"/>
      <c r="O825" s="46"/>
      <c r="P825" s="46"/>
      <c r="R825" s="15">
        <v>0.04</v>
      </c>
      <c r="S825" s="18">
        <f>(Tabela22[[#This Row],[FRETE]]+Tabela22[[#This Row],[DESPESAS]]+Tabela22[[#This Row],[IPI]]+Tabela22[[#This Row],[Vl. Produto]])*Tabela22[[#This Row],[Aliq.%]]</f>
        <v>0</v>
      </c>
    </row>
    <row r="826" spans="13:19" x14ac:dyDescent="0.25">
      <c r="M826" s="46"/>
      <c r="N826" s="46"/>
      <c r="O826" s="46"/>
      <c r="P826" s="46"/>
      <c r="R826" s="15">
        <v>0.04</v>
      </c>
      <c r="S826" s="18">
        <f>(Tabela22[[#This Row],[FRETE]]+Tabela22[[#This Row],[DESPESAS]]+Tabela22[[#This Row],[IPI]]+Tabela22[[#This Row],[Vl. Produto]])*Tabela22[[#This Row],[Aliq.%]]</f>
        <v>0</v>
      </c>
    </row>
    <row r="827" spans="13:19" x14ac:dyDescent="0.25">
      <c r="M827" s="46"/>
      <c r="N827" s="46"/>
      <c r="O827" s="46"/>
      <c r="P827" s="46"/>
      <c r="R827" s="15">
        <v>0.04</v>
      </c>
      <c r="S827" s="18">
        <f>(Tabela22[[#This Row],[FRETE]]+Tabela22[[#This Row],[DESPESAS]]+Tabela22[[#This Row],[IPI]]+Tabela22[[#This Row],[Vl. Produto]])*Tabela22[[#This Row],[Aliq.%]]</f>
        <v>0</v>
      </c>
    </row>
    <row r="828" spans="13:19" x14ac:dyDescent="0.25">
      <c r="M828" s="46"/>
      <c r="N828" s="46"/>
      <c r="O828" s="46"/>
      <c r="P828" s="46"/>
      <c r="R828" s="15">
        <v>0.04</v>
      </c>
      <c r="S828" s="18">
        <f>(Tabela22[[#This Row],[FRETE]]+Tabela22[[#This Row],[DESPESAS]]+Tabela22[[#This Row],[IPI]]+Tabela22[[#This Row],[Vl. Produto]])*Tabela22[[#This Row],[Aliq.%]]</f>
        <v>0</v>
      </c>
    </row>
    <row r="829" spans="13:19" x14ac:dyDescent="0.25">
      <c r="M829" s="46"/>
      <c r="N829" s="46"/>
      <c r="O829" s="46"/>
      <c r="P829" s="46"/>
      <c r="R829" s="15">
        <v>0.04</v>
      </c>
      <c r="S829" s="18">
        <f>(Tabela22[[#This Row],[FRETE]]+Tabela22[[#This Row],[DESPESAS]]+Tabela22[[#This Row],[IPI]]+Tabela22[[#This Row],[Vl. Produto]])*Tabela22[[#This Row],[Aliq.%]]</f>
        <v>0</v>
      </c>
    </row>
    <row r="830" spans="13:19" x14ac:dyDescent="0.25">
      <c r="M830" s="46"/>
      <c r="N830" s="46"/>
      <c r="O830" s="46"/>
      <c r="P830" s="46"/>
      <c r="R830" s="15">
        <v>0.04</v>
      </c>
      <c r="S830" s="18">
        <f>(Tabela22[[#This Row],[FRETE]]+Tabela22[[#This Row],[DESPESAS]]+Tabela22[[#This Row],[IPI]]+Tabela22[[#This Row],[Vl. Produto]])*Tabela22[[#This Row],[Aliq.%]]</f>
        <v>0</v>
      </c>
    </row>
    <row r="831" spans="13:19" x14ac:dyDescent="0.25">
      <c r="M831" s="46"/>
      <c r="N831" s="46"/>
      <c r="O831" s="46"/>
      <c r="P831" s="46"/>
      <c r="R831" s="15">
        <v>0.04</v>
      </c>
      <c r="S831" s="18">
        <f>(Tabela22[[#This Row],[FRETE]]+Tabela22[[#This Row],[DESPESAS]]+Tabela22[[#This Row],[IPI]]+Tabela22[[#This Row],[Vl. Produto]])*Tabela22[[#This Row],[Aliq.%]]</f>
        <v>0</v>
      </c>
    </row>
    <row r="832" spans="13:19" x14ac:dyDescent="0.25">
      <c r="M832" s="46"/>
      <c r="N832" s="46"/>
      <c r="O832" s="46"/>
      <c r="P832" s="46"/>
      <c r="R832" s="15">
        <v>0.04</v>
      </c>
      <c r="S832" s="18">
        <f>(Tabela22[[#This Row],[FRETE]]+Tabela22[[#This Row],[DESPESAS]]+Tabela22[[#This Row],[IPI]]+Tabela22[[#This Row],[Vl. Produto]])*Tabela22[[#This Row],[Aliq.%]]</f>
        <v>0</v>
      </c>
    </row>
    <row r="833" spans="13:19" x14ac:dyDescent="0.25">
      <c r="M833" s="46"/>
      <c r="N833" s="46"/>
      <c r="O833" s="46"/>
      <c r="P833" s="46"/>
      <c r="R833" s="15">
        <v>0.04</v>
      </c>
      <c r="S833" s="18">
        <f>(Tabela22[[#This Row],[FRETE]]+Tabela22[[#This Row],[DESPESAS]]+Tabela22[[#This Row],[IPI]]+Tabela22[[#This Row],[Vl. Produto]])*Tabela22[[#This Row],[Aliq.%]]</f>
        <v>0</v>
      </c>
    </row>
    <row r="834" spans="13:19" x14ac:dyDescent="0.25">
      <c r="M834" s="46"/>
      <c r="N834" s="46"/>
      <c r="O834" s="46"/>
      <c r="P834" s="46"/>
      <c r="R834" s="15">
        <v>0.04</v>
      </c>
      <c r="S834" s="18">
        <f>(Tabela22[[#This Row],[FRETE]]+Tabela22[[#This Row],[DESPESAS]]+Tabela22[[#This Row],[IPI]]+Tabela22[[#This Row],[Vl. Produto]])*Tabela22[[#This Row],[Aliq.%]]</f>
        <v>0</v>
      </c>
    </row>
    <row r="835" spans="13:19" x14ac:dyDescent="0.25">
      <c r="M835" s="46"/>
      <c r="N835" s="46"/>
      <c r="O835" s="46"/>
      <c r="P835" s="46"/>
      <c r="R835" s="15">
        <v>0.04</v>
      </c>
      <c r="S835" s="18">
        <f>(Tabela22[[#This Row],[FRETE]]+Tabela22[[#This Row],[DESPESAS]]+Tabela22[[#This Row],[IPI]]+Tabela22[[#This Row],[Vl. Produto]])*Tabela22[[#This Row],[Aliq.%]]</f>
        <v>0</v>
      </c>
    </row>
    <row r="836" spans="13:19" x14ac:dyDescent="0.25">
      <c r="M836" s="46"/>
      <c r="N836" s="46"/>
      <c r="O836" s="46"/>
      <c r="P836" s="46"/>
      <c r="R836" s="15">
        <v>0.04</v>
      </c>
      <c r="S836" s="18">
        <f>(Tabela22[[#This Row],[FRETE]]+Tabela22[[#This Row],[DESPESAS]]+Tabela22[[#This Row],[IPI]]+Tabela22[[#This Row],[Vl. Produto]])*Tabela22[[#This Row],[Aliq.%]]</f>
        <v>0</v>
      </c>
    </row>
    <row r="837" spans="13:19" x14ac:dyDescent="0.25">
      <c r="M837" s="46"/>
      <c r="N837" s="46"/>
      <c r="O837" s="46"/>
      <c r="P837" s="46"/>
      <c r="R837" s="15">
        <v>0.04</v>
      </c>
      <c r="S837" s="18">
        <f>(Tabela22[[#This Row],[FRETE]]+Tabela22[[#This Row],[DESPESAS]]+Tabela22[[#This Row],[IPI]]+Tabela22[[#This Row],[Vl. Produto]])*Tabela22[[#This Row],[Aliq.%]]</f>
        <v>0</v>
      </c>
    </row>
    <row r="838" spans="13:19" x14ac:dyDescent="0.25">
      <c r="M838" s="46"/>
      <c r="N838" s="46"/>
      <c r="O838" s="46"/>
      <c r="P838" s="46"/>
      <c r="R838" s="15">
        <v>0.04</v>
      </c>
      <c r="S838" s="18">
        <f>(Tabela22[[#This Row],[FRETE]]+Tabela22[[#This Row],[DESPESAS]]+Tabela22[[#This Row],[IPI]]+Tabela22[[#This Row],[Vl. Produto]])*Tabela22[[#This Row],[Aliq.%]]</f>
        <v>0</v>
      </c>
    </row>
    <row r="839" spans="13:19" x14ac:dyDescent="0.25">
      <c r="M839" s="46"/>
      <c r="N839" s="46"/>
      <c r="O839" s="46"/>
      <c r="P839" s="46"/>
      <c r="R839" s="15">
        <v>0.04</v>
      </c>
      <c r="S839" s="18">
        <f>(Tabela22[[#This Row],[FRETE]]+Tabela22[[#This Row],[DESPESAS]]+Tabela22[[#This Row],[IPI]]+Tabela22[[#This Row],[Vl. Produto]])*Tabela22[[#This Row],[Aliq.%]]</f>
        <v>0</v>
      </c>
    </row>
    <row r="840" spans="13:19" x14ac:dyDescent="0.25">
      <c r="M840" s="46"/>
      <c r="N840" s="46"/>
      <c r="O840" s="46"/>
      <c r="P840" s="46"/>
      <c r="R840" s="15">
        <v>0.04</v>
      </c>
      <c r="S840" s="18">
        <f>(Tabela22[[#This Row],[FRETE]]+Tabela22[[#This Row],[DESPESAS]]+Tabela22[[#This Row],[IPI]]+Tabela22[[#This Row],[Vl. Produto]])*Tabela22[[#This Row],[Aliq.%]]</f>
        <v>0</v>
      </c>
    </row>
    <row r="841" spans="13:19" x14ac:dyDescent="0.25">
      <c r="M841" s="46"/>
      <c r="N841" s="46"/>
      <c r="O841" s="46"/>
      <c r="P841" s="46"/>
      <c r="R841" s="15">
        <v>0.04</v>
      </c>
      <c r="S841" s="18">
        <f>(Tabela22[[#This Row],[FRETE]]+Tabela22[[#This Row],[DESPESAS]]+Tabela22[[#This Row],[IPI]]+Tabela22[[#This Row],[Vl. Produto]])*Tabela22[[#This Row],[Aliq.%]]</f>
        <v>0</v>
      </c>
    </row>
    <row r="842" spans="13:19" x14ac:dyDescent="0.25">
      <c r="M842" s="46"/>
      <c r="N842" s="46"/>
      <c r="O842" s="46"/>
      <c r="P842" s="46"/>
      <c r="R842" s="15">
        <v>0.04</v>
      </c>
      <c r="S842" s="18">
        <f>(Tabela22[[#This Row],[FRETE]]+Tabela22[[#This Row],[DESPESAS]]+Tabela22[[#This Row],[IPI]]+Tabela22[[#This Row],[Vl. Produto]])*Tabela22[[#This Row],[Aliq.%]]</f>
        <v>0</v>
      </c>
    </row>
    <row r="843" spans="13:19" x14ac:dyDescent="0.25">
      <c r="M843" s="46"/>
      <c r="N843" s="46"/>
      <c r="O843" s="46"/>
      <c r="P843" s="46"/>
      <c r="R843" s="15">
        <v>0.04</v>
      </c>
      <c r="S843" s="18">
        <f>(Tabela22[[#This Row],[FRETE]]+Tabela22[[#This Row],[DESPESAS]]+Tabela22[[#This Row],[IPI]]+Tabela22[[#This Row],[Vl. Produto]])*Tabela22[[#This Row],[Aliq.%]]</f>
        <v>0</v>
      </c>
    </row>
    <row r="844" spans="13:19" x14ac:dyDescent="0.25">
      <c r="M844" s="46"/>
      <c r="N844" s="46"/>
      <c r="O844" s="46"/>
      <c r="P844" s="46"/>
      <c r="R844" s="15">
        <v>0.04</v>
      </c>
      <c r="S844" s="18">
        <f>(Tabela22[[#This Row],[FRETE]]+Tabela22[[#This Row],[DESPESAS]]+Tabela22[[#This Row],[IPI]]+Tabela22[[#This Row],[Vl. Produto]])*Tabela22[[#This Row],[Aliq.%]]</f>
        <v>0</v>
      </c>
    </row>
    <row r="845" spans="13:19" x14ac:dyDescent="0.25">
      <c r="M845" s="46"/>
      <c r="N845" s="46"/>
      <c r="O845" s="46"/>
      <c r="P845" s="46"/>
      <c r="R845" s="15">
        <v>0.04</v>
      </c>
      <c r="S845" s="18">
        <f>(Tabela22[[#This Row],[FRETE]]+Tabela22[[#This Row],[DESPESAS]]+Tabela22[[#This Row],[IPI]]+Tabela22[[#This Row],[Vl. Produto]])*Tabela22[[#This Row],[Aliq.%]]</f>
        <v>0</v>
      </c>
    </row>
    <row r="846" spans="13:19" x14ac:dyDescent="0.25">
      <c r="M846" s="46"/>
      <c r="N846" s="46"/>
      <c r="O846" s="46"/>
      <c r="P846" s="46"/>
      <c r="R846" s="15">
        <v>0.04</v>
      </c>
      <c r="S846" s="18">
        <f>(Tabela22[[#This Row],[FRETE]]+Tabela22[[#This Row],[DESPESAS]]+Tabela22[[#This Row],[IPI]]+Tabela22[[#This Row],[Vl. Produto]])*Tabela22[[#This Row],[Aliq.%]]</f>
        <v>0</v>
      </c>
    </row>
    <row r="847" spans="13:19" x14ac:dyDescent="0.25">
      <c r="M847" s="46"/>
      <c r="N847" s="46"/>
      <c r="O847" s="46"/>
      <c r="P847" s="46"/>
      <c r="R847" s="15">
        <v>0.04</v>
      </c>
      <c r="S847" s="18">
        <f>(Tabela22[[#This Row],[FRETE]]+Tabela22[[#This Row],[DESPESAS]]+Tabela22[[#This Row],[IPI]]+Tabela22[[#This Row],[Vl. Produto]])*Tabela22[[#This Row],[Aliq.%]]</f>
        <v>0</v>
      </c>
    </row>
    <row r="848" spans="13:19" x14ac:dyDescent="0.25">
      <c r="M848" s="46"/>
      <c r="N848" s="46"/>
      <c r="O848" s="46"/>
      <c r="P848" s="46"/>
      <c r="R848" s="15">
        <v>0.04</v>
      </c>
      <c r="S848" s="18">
        <f>(Tabela22[[#This Row],[FRETE]]+Tabela22[[#This Row],[DESPESAS]]+Tabela22[[#This Row],[IPI]]+Tabela22[[#This Row],[Vl. Produto]])*Tabela22[[#This Row],[Aliq.%]]</f>
        <v>0</v>
      </c>
    </row>
    <row r="849" spans="13:19" x14ac:dyDescent="0.25">
      <c r="M849" s="46"/>
      <c r="N849" s="46"/>
      <c r="O849" s="46"/>
      <c r="P849" s="46"/>
      <c r="R849" s="15">
        <v>0.04</v>
      </c>
      <c r="S849" s="18">
        <f>(Tabela22[[#This Row],[FRETE]]+Tabela22[[#This Row],[DESPESAS]]+Tabela22[[#This Row],[IPI]]+Tabela22[[#This Row],[Vl. Produto]])*Tabela22[[#This Row],[Aliq.%]]</f>
        <v>0</v>
      </c>
    </row>
    <row r="850" spans="13:19" x14ac:dyDescent="0.25">
      <c r="M850" s="46"/>
      <c r="N850" s="46"/>
      <c r="O850" s="46"/>
      <c r="P850" s="46"/>
      <c r="R850" s="15">
        <v>0.04</v>
      </c>
      <c r="S850" s="18">
        <f>(Tabela22[[#This Row],[FRETE]]+Tabela22[[#This Row],[DESPESAS]]+Tabela22[[#This Row],[IPI]]+Tabela22[[#This Row],[Vl. Produto]])*Tabela22[[#This Row],[Aliq.%]]</f>
        <v>0</v>
      </c>
    </row>
    <row r="851" spans="13:19" x14ac:dyDescent="0.25">
      <c r="M851" s="46"/>
      <c r="N851" s="46"/>
      <c r="O851" s="46"/>
      <c r="P851" s="46"/>
      <c r="R851" s="15">
        <v>0.04</v>
      </c>
      <c r="S851" s="18">
        <f>(Tabela22[[#This Row],[FRETE]]+Tabela22[[#This Row],[DESPESAS]]+Tabela22[[#This Row],[IPI]]+Tabela22[[#This Row],[Vl. Produto]])*Tabela22[[#This Row],[Aliq.%]]</f>
        <v>0</v>
      </c>
    </row>
    <row r="852" spans="13:19" x14ac:dyDescent="0.25">
      <c r="M852" s="46"/>
      <c r="N852" s="46"/>
      <c r="O852" s="46"/>
      <c r="P852" s="46"/>
      <c r="R852" s="15">
        <v>0.04</v>
      </c>
      <c r="S852" s="18">
        <f>(Tabela22[[#This Row],[FRETE]]+Tabela22[[#This Row],[DESPESAS]]+Tabela22[[#This Row],[IPI]]+Tabela22[[#This Row],[Vl. Produto]])*Tabela22[[#This Row],[Aliq.%]]</f>
        <v>0</v>
      </c>
    </row>
    <row r="853" spans="13:19" x14ac:dyDescent="0.25">
      <c r="M853" s="46"/>
      <c r="N853" s="46"/>
      <c r="O853" s="46"/>
      <c r="P853" s="46"/>
      <c r="R853" s="15">
        <v>0.04</v>
      </c>
      <c r="S853" s="18">
        <f>(Tabela22[[#This Row],[FRETE]]+Tabela22[[#This Row],[DESPESAS]]+Tabela22[[#This Row],[IPI]]+Tabela22[[#This Row],[Vl. Produto]])*Tabela22[[#This Row],[Aliq.%]]</f>
        <v>0</v>
      </c>
    </row>
    <row r="854" spans="13:19" x14ac:dyDescent="0.25">
      <c r="M854" s="46"/>
      <c r="N854" s="46"/>
      <c r="O854" s="46"/>
      <c r="P854" s="46"/>
      <c r="R854" s="15">
        <v>0.04</v>
      </c>
      <c r="S854" s="18">
        <f>(Tabela22[[#This Row],[FRETE]]+Tabela22[[#This Row],[DESPESAS]]+Tabela22[[#This Row],[IPI]]+Tabela22[[#This Row],[Vl. Produto]])*Tabela22[[#This Row],[Aliq.%]]</f>
        <v>0</v>
      </c>
    </row>
    <row r="855" spans="13:19" x14ac:dyDescent="0.25">
      <c r="M855" s="46"/>
      <c r="N855" s="46"/>
      <c r="O855" s="46"/>
      <c r="P855" s="46"/>
      <c r="R855" s="15">
        <v>0.04</v>
      </c>
      <c r="S855" s="18">
        <f>(Tabela22[[#This Row],[FRETE]]+Tabela22[[#This Row],[DESPESAS]]+Tabela22[[#This Row],[IPI]]+Tabela22[[#This Row],[Vl. Produto]])*Tabela22[[#This Row],[Aliq.%]]</f>
        <v>0</v>
      </c>
    </row>
    <row r="856" spans="13:19" x14ac:dyDescent="0.25">
      <c r="M856" s="46"/>
      <c r="N856" s="46"/>
      <c r="O856" s="46"/>
      <c r="P856" s="46"/>
      <c r="R856" s="15">
        <v>0.04</v>
      </c>
      <c r="S856" s="18">
        <f>(Tabela22[[#This Row],[FRETE]]+Tabela22[[#This Row],[DESPESAS]]+Tabela22[[#This Row],[IPI]]+Tabela22[[#This Row],[Vl. Produto]])*Tabela22[[#This Row],[Aliq.%]]</f>
        <v>0</v>
      </c>
    </row>
    <row r="857" spans="13:19" x14ac:dyDescent="0.25">
      <c r="M857" s="46"/>
      <c r="N857" s="46"/>
      <c r="O857" s="46"/>
      <c r="P857" s="46"/>
      <c r="R857" s="15">
        <v>0.04</v>
      </c>
      <c r="S857" s="18">
        <f>(Tabela22[[#This Row],[FRETE]]+Tabela22[[#This Row],[DESPESAS]]+Tabela22[[#This Row],[IPI]]+Tabela22[[#This Row],[Vl. Produto]])*Tabela22[[#This Row],[Aliq.%]]</f>
        <v>0</v>
      </c>
    </row>
    <row r="858" spans="13:19" x14ac:dyDescent="0.25">
      <c r="M858" s="46"/>
      <c r="N858" s="46"/>
      <c r="O858" s="46"/>
      <c r="P858" s="46"/>
      <c r="R858" s="15">
        <v>0.04</v>
      </c>
      <c r="S858" s="18">
        <f>(Tabela22[[#This Row],[FRETE]]+Tabela22[[#This Row],[DESPESAS]]+Tabela22[[#This Row],[IPI]]+Tabela22[[#This Row],[Vl. Produto]])*Tabela22[[#This Row],[Aliq.%]]</f>
        <v>0</v>
      </c>
    </row>
    <row r="859" spans="13:19" x14ac:dyDescent="0.25">
      <c r="M859" s="46"/>
      <c r="N859" s="46"/>
      <c r="O859" s="46"/>
      <c r="P859" s="46"/>
      <c r="R859" s="15">
        <v>0.04</v>
      </c>
      <c r="S859" s="18">
        <f>(Tabela22[[#This Row],[FRETE]]+Tabela22[[#This Row],[DESPESAS]]+Tabela22[[#This Row],[IPI]]+Tabela22[[#This Row],[Vl. Produto]])*Tabela22[[#This Row],[Aliq.%]]</f>
        <v>0</v>
      </c>
    </row>
    <row r="860" spans="13:19" x14ac:dyDescent="0.25">
      <c r="M860" s="46"/>
      <c r="N860" s="46"/>
      <c r="O860" s="46"/>
      <c r="P860" s="46"/>
      <c r="R860" s="15">
        <v>0.04</v>
      </c>
      <c r="S860" s="18">
        <f>(Tabela22[[#This Row],[FRETE]]+Tabela22[[#This Row],[DESPESAS]]+Tabela22[[#This Row],[IPI]]+Tabela22[[#This Row],[Vl. Produto]])*Tabela22[[#This Row],[Aliq.%]]</f>
        <v>0</v>
      </c>
    </row>
    <row r="861" spans="13:19" x14ac:dyDescent="0.25">
      <c r="M861" s="46"/>
      <c r="N861" s="46"/>
      <c r="O861" s="46"/>
      <c r="P861" s="46"/>
      <c r="R861" s="15">
        <v>0.04</v>
      </c>
      <c r="S861" s="18">
        <f>(Tabela22[[#This Row],[FRETE]]+Tabela22[[#This Row],[DESPESAS]]+Tabela22[[#This Row],[IPI]]+Tabela22[[#This Row],[Vl. Produto]])*Tabela22[[#This Row],[Aliq.%]]</f>
        <v>0</v>
      </c>
    </row>
    <row r="862" spans="13:19" x14ac:dyDescent="0.25">
      <c r="M862" s="46"/>
      <c r="N862" s="46"/>
      <c r="O862" s="46"/>
      <c r="P862" s="46"/>
      <c r="R862" s="15">
        <v>0.04</v>
      </c>
      <c r="S862" s="18">
        <f>(Tabela22[[#This Row],[FRETE]]+Tabela22[[#This Row],[DESPESAS]]+Tabela22[[#This Row],[IPI]]+Tabela22[[#This Row],[Vl. Produto]])*Tabela22[[#This Row],[Aliq.%]]</f>
        <v>0</v>
      </c>
    </row>
    <row r="863" spans="13:19" x14ac:dyDescent="0.25">
      <c r="M863" s="46"/>
      <c r="N863" s="46"/>
      <c r="O863" s="46"/>
      <c r="P863" s="46"/>
      <c r="R863" s="15">
        <v>0.04</v>
      </c>
      <c r="S863" s="18">
        <f>(Tabela22[[#This Row],[FRETE]]+Tabela22[[#This Row],[DESPESAS]]+Tabela22[[#This Row],[IPI]]+Tabela22[[#This Row],[Vl. Produto]])*Tabela22[[#This Row],[Aliq.%]]</f>
        <v>0</v>
      </c>
    </row>
    <row r="864" spans="13:19" x14ac:dyDescent="0.25">
      <c r="M864" s="46"/>
      <c r="N864" s="46"/>
      <c r="O864" s="46"/>
      <c r="P864" s="46"/>
      <c r="R864" s="15">
        <v>0.04</v>
      </c>
      <c r="S864" s="18">
        <f>(Tabela22[[#This Row],[FRETE]]+Tabela22[[#This Row],[DESPESAS]]+Tabela22[[#This Row],[IPI]]+Tabela22[[#This Row],[Vl. Produto]])*Tabela22[[#This Row],[Aliq.%]]</f>
        <v>0</v>
      </c>
    </row>
    <row r="865" spans="13:19" x14ac:dyDescent="0.25">
      <c r="M865" s="46"/>
      <c r="N865" s="46"/>
      <c r="O865" s="46"/>
      <c r="P865" s="46"/>
      <c r="R865" s="15">
        <v>0.04</v>
      </c>
      <c r="S865" s="18">
        <f>(Tabela22[[#This Row],[FRETE]]+Tabela22[[#This Row],[DESPESAS]]+Tabela22[[#This Row],[IPI]]+Tabela22[[#This Row],[Vl. Produto]])*Tabela22[[#This Row],[Aliq.%]]</f>
        <v>0</v>
      </c>
    </row>
    <row r="866" spans="13:19" x14ac:dyDescent="0.25">
      <c r="M866" s="46"/>
      <c r="N866" s="46"/>
      <c r="O866" s="46"/>
      <c r="P866" s="46"/>
      <c r="R866" s="15">
        <v>0.04</v>
      </c>
      <c r="S866" s="18">
        <f>(Tabela22[[#This Row],[FRETE]]+Tabela22[[#This Row],[DESPESAS]]+Tabela22[[#This Row],[IPI]]+Tabela22[[#This Row],[Vl. Produto]])*Tabela22[[#This Row],[Aliq.%]]</f>
        <v>0</v>
      </c>
    </row>
    <row r="867" spans="13:19" x14ac:dyDescent="0.25">
      <c r="M867" s="46"/>
      <c r="N867" s="46"/>
      <c r="O867" s="46"/>
      <c r="P867" s="46"/>
      <c r="R867" s="15">
        <v>0.04</v>
      </c>
      <c r="S867" s="18">
        <f>(Tabela22[[#This Row],[FRETE]]+Tabela22[[#This Row],[DESPESAS]]+Tabela22[[#This Row],[IPI]]+Tabela22[[#This Row],[Vl. Produto]])*Tabela22[[#This Row],[Aliq.%]]</f>
        <v>0</v>
      </c>
    </row>
    <row r="868" spans="13:19" x14ac:dyDescent="0.25">
      <c r="M868" s="46"/>
      <c r="N868" s="46"/>
      <c r="O868" s="46"/>
      <c r="P868" s="46"/>
      <c r="R868" s="15">
        <v>0.04</v>
      </c>
      <c r="S868" s="18">
        <f>(Tabela22[[#This Row],[FRETE]]+Tabela22[[#This Row],[DESPESAS]]+Tabela22[[#This Row],[IPI]]+Tabela22[[#This Row],[Vl. Produto]])*Tabela22[[#This Row],[Aliq.%]]</f>
        <v>0</v>
      </c>
    </row>
    <row r="869" spans="13:19" x14ac:dyDescent="0.25">
      <c r="M869" s="46"/>
      <c r="N869" s="46"/>
      <c r="O869" s="46"/>
      <c r="P869" s="46"/>
      <c r="R869" s="15">
        <v>0.04</v>
      </c>
      <c r="S869" s="18">
        <f>(Tabela22[[#This Row],[FRETE]]+Tabela22[[#This Row],[DESPESAS]]+Tabela22[[#This Row],[IPI]]+Tabela22[[#This Row],[Vl. Produto]])*Tabela22[[#This Row],[Aliq.%]]</f>
        <v>0</v>
      </c>
    </row>
    <row r="870" spans="13:19" x14ac:dyDescent="0.25">
      <c r="M870" s="46"/>
      <c r="N870" s="46"/>
      <c r="O870" s="46"/>
      <c r="P870" s="46"/>
      <c r="R870" s="15">
        <v>0.04</v>
      </c>
      <c r="S870" s="18">
        <f>(Tabela22[[#This Row],[FRETE]]+Tabela22[[#This Row],[DESPESAS]]+Tabela22[[#This Row],[IPI]]+Tabela22[[#This Row],[Vl. Produto]])*Tabela22[[#This Row],[Aliq.%]]</f>
        <v>0</v>
      </c>
    </row>
    <row r="871" spans="13:19" x14ac:dyDescent="0.25">
      <c r="M871" s="46"/>
      <c r="N871" s="46"/>
      <c r="O871" s="46"/>
      <c r="P871" s="46"/>
      <c r="R871" s="15">
        <v>0.04</v>
      </c>
      <c r="S871" s="18">
        <f>(Tabela22[[#This Row],[FRETE]]+Tabela22[[#This Row],[DESPESAS]]+Tabela22[[#This Row],[IPI]]+Tabela22[[#This Row],[Vl. Produto]])*Tabela22[[#This Row],[Aliq.%]]</f>
        <v>0</v>
      </c>
    </row>
    <row r="872" spans="13:19" x14ac:dyDescent="0.25">
      <c r="M872" s="46"/>
      <c r="N872" s="46"/>
      <c r="O872" s="46"/>
      <c r="P872" s="46"/>
      <c r="R872" s="15">
        <v>0.04</v>
      </c>
      <c r="S872" s="18">
        <f>(Tabela22[[#This Row],[FRETE]]+Tabela22[[#This Row],[DESPESAS]]+Tabela22[[#This Row],[IPI]]+Tabela22[[#This Row],[Vl. Produto]])*Tabela22[[#This Row],[Aliq.%]]</f>
        <v>0</v>
      </c>
    </row>
    <row r="873" spans="13:19" x14ac:dyDescent="0.25">
      <c r="M873" s="46"/>
      <c r="N873" s="46"/>
      <c r="O873" s="46"/>
      <c r="P873" s="46"/>
      <c r="R873" s="15">
        <v>0.04</v>
      </c>
      <c r="S873" s="18">
        <f>(Tabela22[[#This Row],[FRETE]]+Tabela22[[#This Row],[DESPESAS]]+Tabela22[[#This Row],[IPI]]+Tabela22[[#This Row],[Vl. Produto]])*Tabela22[[#This Row],[Aliq.%]]</f>
        <v>0</v>
      </c>
    </row>
    <row r="874" spans="13:19" x14ac:dyDescent="0.25">
      <c r="M874" s="46"/>
      <c r="N874" s="46"/>
      <c r="O874" s="46"/>
      <c r="P874" s="46"/>
      <c r="R874" s="15">
        <v>0.04</v>
      </c>
      <c r="S874" s="18">
        <f>(Tabela22[[#This Row],[FRETE]]+Tabela22[[#This Row],[DESPESAS]]+Tabela22[[#This Row],[IPI]]+Tabela22[[#This Row],[Vl. Produto]])*Tabela22[[#This Row],[Aliq.%]]</f>
        <v>0</v>
      </c>
    </row>
    <row r="875" spans="13:19" x14ac:dyDescent="0.25">
      <c r="M875" s="46"/>
      <c r="N875" s="46"/>
      <c r="O875" s="46"/>
      <c r="P875" s="46"/>
      <c r="R875" s="15">
        <v>0.04</v>
      </c>
      <c r="S875" s="18">
        <f>(Tabela22[[#This Row],[FRETE]]+Tabela22[[#This Row],[DESPESAS]]+Tabela22[[#This Row],[IPI]]+Tabela22[[#This Row],[Vl. Produto]])*Tabela22[[#This Row],[Aliq.%]]</f>
        <v>0</v>
      </c>
    </row>
    <row r="876" spans="13:19" x14ac:dyDescent="0.25">
      <c r="M876" s="46"/>
      <c r="N876" s="46"/>
      <c r="O876" s="46"/>
      <c r="P876" s="46"/>
      <c r="R876" s="15">
        <v>0.04</v>
      </c>
      <c r="S876" s="18">
        <f>(Tabela22[[#This Row],[FRETE]]+Tabela22[[#This Row],[DESPESAS]]+Tabela22[[#This Row],[IPI]]+Tabela22[[#This Row],[Vl. Produto]])*Tabela22[[#This Row],[Aliq.%]]</f>
        <v>0</v>
      </c>
    </row>
    <row r="877" spans="13:19" x14ac:dyDescent="0.25">
      <c r="M877" s="46"/>
      <c r="N877" s="46"/>
      <c r="O877" s="46"/>
      <c r="P877" s="46"/>
      <c r="R877" s="15">
        <v>0.04</v>
      </c>
      <c r="S877" s="18">
        <f>(Tabela22[[#This Row],[FRETE]]+Tabela22[[#This Row],[DESPESAS]]+Tabela22[[#This Row],[IPI]]+Tabela22[[#This Row],[Vl. Produto]])*Tabela22[[#This Row],[Aliq.%]]</f>
        <v>0</v>
      </c>
    </row>
    <row r="878" spans="13:19" x14ac:dyDescent="0.25">
      <c r="M878" s="46"/>
      <c r="N878" s="46"/>
      <c r="O878" s="46"/>
      <c r="P878" s="46"/>
      <c r="R878" s="15">
        <v>0.04</v>
      </c>
      <c r="S878" s="18">
        <f>(Tabela22[[#This Row],[FRETE]]+Tabela22[[#This Row],[DESPESAS]]+Tabela22[[#This Row],[IPI]]+Tabela22[[#This Row],[Vl. Produto]])*Tabela22[[#This Row],[Aliq.%]]</f>
        <v>0</v>
      </c>
    </row>
    <row r="879" spans="13:19" x14ac:dyDescent="0.25">
      <c r="M879" s="46"/>
      <c r="N879" s="46"/>
      <c r="O879" s="46"/>
      <c r="P879" s="46"/>
      <c r="R879" s="15">
        <v>0.04</v>
      </c>
      <c r="S879" s="18">
        <f>(Tabela22[[#This Row],[FRETE]]+Tabela22[[#This Row],[DESPESAS]]+Tabela22[[#This Row],[IPI]]+Tabela22[[#This Row],[Vl. Produto]])*Tabela22[[#This Row],[Aliq.%]]</f>
        <v>0</v>
      </c>
    </row>
    <row r="880" spans="13:19" x14ac:dyDescent="0.25">
      <c r="M880" s="46"/>
      <c r="N880" s="46"/>
      <c r="O880" s="46"/>
      <c r="P880" s="46"/>
      <c r="R880" s="15">
        <v>0.04</v>
      </c>
      <c r="S880" s="18">
        <f>(Tabela22[[#This Row],[FRETE]]+Tabela22[[#This Row],[DESPESAS]]+Tabela22[[#This Row],[IPI]]+Tabela22[[#This Row],[Vl. Produto]])*Tabela22[[#This Row],[Aliq.%]]</f>
        <v>0</v>
      </c>
    </row>
    <row r="881" spans="13:19" x14ac:dyDescent="0.25">
      <c r="M881" s="46"/>
      <c r="N881" s="46"/>
      <c r="O881" s="46"/>
      <c r="P881" s="46"/>
      <c r="R881" s="15">
        <v>0.04</v>
      </c>
      <c r="S881" s="18">
        <f>(Tabela22[[#This Row],[FRETE]]+Tabela22[[#This Row],[DESPESAS]]+Tabela22[[#This Row],[IPI]]+Tabela22[[#This Row],[Vl. Produto]])*Tabela22[[#This Row],[Aliq.%]]</f>
        <v>0</v>
      </c>
    </row>
    <row r="882" spans="13:19" x14ac:dyDescent="0.25">
      <c r="M882" s="46"/>
      <c r="N882" s="46"/>
      <c r="O882" s="46"/>
      <c r="P882" s="46"/>
      <c r="R882" s="15">
        <v>0.04</v>
      </c>
      <c r="S882" s="18">
        <f>(Tabela22[[#This Row],[FRETE]]+Tabela22[[#This Row],[DESPESAS]]+Tabela22[[#This Row],[IPI]]+Tabela22[[#This Row],[Vl. Produto]])*Tabela22[[#This Row],[Aliq.%]]</f>
        <v>0</v>
      </c>
    </row>
    <row r="883" spans="13:19" x14ac:dyDescent="0.25">
      <c r="M883" s="46"/>
      <c r="N883" s="46"/>
      <c r="O883" s="46"/>
      <c r="P883" s="46"/>
      <c r="R883" s="15">
        <v>0.04</v>
      </c>
      <c r="S883" s="18">
        <f>(Tabela22[[#This Row],[FRETE]]+Tabela22[[#This Row],[DESPESAS]]+Tabela22[[#This Row],[IPI]]+Tabela22[[#This Row],[Vl. Produto]])*Tabela22[[#This Row],[Aliq.%]]</f>
        <v>0</v>
      </c>
    </row>
    <row r="884" spans="13:19" x14ac:dyDescent="0.25">
      <c r="M884" s="46"/>
      <c r="N884" s="46"/>
      <c r="O884" s="46"/>
      <c r="P884" s="46"/>
      <c r="R884" s="15">
        <v>0.04</v>
      </c>
      <c r="S884" s="18">
        <f>(Tabela22[[#This Row],[FRETE]]+Tabela22[[#This Row],[DESPESAS]]+Tabela22[[#This Row],[IPI]]+Tabela22[[#This Row],[Vl. Produto]])*Tabela22[[#This Row],[Aliq.%]]</f>
        <v>0</v>
      </c>
    </row>
    <row r="885" spans="13:19" x14ac:dyDescent="0.25">
      <c r="M885" s="46"/>
      <c r="N885" s="46"/>
      <c r="O885" s="46"/>
      <c r="P885" s="46"/>
      <c r="R885" s="15">
        <v>0.04</v>
      </c>
      <c r="S885" s="18">
        <f>(Tabela22[[#This Row],[FRETE]]+Tabela22[[#This Row],[DESPESAS]]+Tabela22[[#This Row],[IPI]]+Tabela22[[#This Row],[Vl. Produto]])*Tabela22[[#This Row],[Aliq.%]]</f>
        <v>0</v>
      </c>
    </row>
    <row r="886" spans="13:19" x14ac:dyDescent="0.25">
      <c r="M886" s="46"/>
      <c r="N886" s="46"/>
      <c r="O886" s="46"/>
      <c r="P886" s="46"/>
      <c r="R886" s="15">
        <v>0.04</v>
      </c>
      <c r="S886" s="18">
        <f>(Tabela22[[#This Row],[FRETE]]+Tabela22[[#This Row],[DESPESAS]]+Tabela22[[#This Row],[IPI]]+Tabela22[[#This Row],[Vl. Produto]])*Tabela22[[#This Row],[Aliq.%]]</f>
        <v>0</v>
      </c>
    </row>
    <row r="887" spans="13:19" x14ac:dyDescent="0.25">
      <c r="M887" s="46"/>
      <c r="N887" s="46"/>
      <c r="O887" s="46"/>
      <c r="P887" s="46"/>
      <c r="R887" s="15">
        <v>0.04</v>
      </c>
      <c r="S887" s="18">
        <f>(Tabela22[[#This Row],[FRETE]]+Tabela22[[#This Row],[DESPESAS]]+Tabela22[[#This Row],[IPI]]+Tabela22[[#This Row],[Vl. Produto]])*Tabela22[[#This Row],[Aliq.%]]</f>
        <v>0</v>
      </c>
    </row>
    <row r="888" spans="13:19" x14ac:dyDescent="0.25">
      <c r="M888" s="46"/>
      <c r="N888" s="46"/>
      <c r="O888" s="46"/>
      <c r="P888" s="46"/>
      <c r="R888" s="15">
        <v>0.04</v>
      </c>
      <c r="S888" s="18">
        <f>(Tabela22[[#This Row],[FRETE]]+Tabela22[[#This Row],[DESPESAS]]+Tabela22[[#This Row],[IPI]]+Tabela22[[#This Row],[Vl. Produto]])*Tabela22[[#This Row],[Aliq.%]]</f>
        <v>0</v>
      </c>
    </row>
    <row r="889" spans="13:19" x14ac:dyDescent="0.25">
      <c r="M889" s="46"/>
      <c r="N889" s="46"/>
      <c r="O889" s="46"/>
      <c r="P889" s="46"/>
      <c r="R889" s="15">
        <v>0.04</v>
      </c>
      <c r="S889" s="18">
        <f>(Tabela22[[#This Row],[FRETE]]+Tabela22[[#This Row],[DESPESAS]]+Tabela22[[#This Row],[IPI]]+Tabela22[[#This Row],[Vl. Produto]])*Tabela22[[#This Row],[Aliq.%]]</f>
        <v>0</v>
      </c>
    </row>
    <row r="890" spans="13:19" x14ac:dyDescent="0.25">
      <c r="M890" s="46"/>
      <c r="N890" s="46"/>
      <c r="O890" s="46"/>
      <c r="P890" s="46"/>
      <c r="R890" s="15">
        <v>0.04</v>
      </c>
      <c r="S890" s="18">
        <f>(Tabela22[[#This Row],[FRETE]]+Tabela22[[#This Row],[DESPESAS]]+Tabela22[[#This Row],[IPI]]+Tabela22[[#This Row],[Vl. Produto]])*Tabela22[[#This Row],[Aliq.%]]</f>
        <v>0</v>
      </c>
    </row>
    <row r="891" spans="13:19" x14ac:dyDescent="0.25">
      <c r="M891" s="46"/>
      <c r="N891" s="46"/>
      <c r="O891" s="46"/>
      <c r="P891" s="46"/>
      <c r="R891" s="15">
        <v>0.04</v>
      </c>
      <c r="S891" s="18">
        <f>(Tabela22[[#This Row],[FRETE]]+Tabela22[[#This Row],[DESPESAS]]+Tabela22[[#This Row],[IPI]]+Tabela22[[#This Row],[Vl. Produto]])*Tabela22[[#This Row],[Aliq.%]]</f>
        <v>0</v>
      </c>
    </row>
    <row r="892" spans="13:19" x14ac:dyDescent="0.25">
      <c r="M892" s="46"/>
      <c r="N892" s="46"/>
      <c r="O892" s="46"/>
      <c r="P892" s="46"/>
      <c r="R892" s="15">
        <v>0.04</v>
      </c>
      <c r="S892" s="18">
        <f>(Tabela22[[#This Row],[FRETE]]+Tabela22[[#This Row],[DESPESAS]]+Tabela22[[#This Row],[IPI]]+Tabela22[[#This Row],[Vl. Produto]])*Tabela22[[#This Row],[Aliq.%]]</f>
        <v>0</v>
      </c>
    </row>
    <row r="893" spans="13:19" x14ac:dyDescent="0.25">
      <c r="M893" s="46"/>
      <c r="N893" s="46"/>
      <c r="O893" s="46"/>
      <c r="P893" s="46"/>
      <c r="R893" s="15">
        <v>0.04</v>
      </c>
      <c r="S893" s="18">
        <f>(Tabela22[[#This Row],[FRETE]]+Tabela22[[#This Row],[DESPESAS]]+Tabela22[[#This Row],[IPI]]+Tabela22[[#This Row],[Vl. Produto]])*Tabela22[[#This Row],[Aliq.%]]</f>
        <v>0</v>
      </c>
    </row>
    <row r="894" spans="13:19" x14ac:dyDescent="0.25">
      <c r="M894" s="46"/>
      <c r="N894" s="46"/>
      <c r="O894" s="46"/>
      <c r="P894" s="46"/>
      <c r="R894" s="15">
        <v>0.04</v>
      </c>
      <c r="S894" s="18">
        <f>(Tabela22[[#This Row],[FRETE]]+Tabela22[[#This Row],[DESPESAS]]+Tabela22[[#This Row],[IPI]]+Tabela22[[#This Row],[Vl. Produto]])*Tabela22[[#This Row],[Aliq.%]]</f>
        <v>0</v>
      </c>
    </row>
    <row r="895" spans="13:19" x14ac:dyDescent="0.25">
      <c r="M895" s="46"/>
      <c r="N895" s="46"/>
      <c r="O895" s="46"/>
      <c r="P895" s="46"/>
      <c r="R895" s="15">
        <v>0.04</v>
      </c>
      <c r="S895" s="18">
        <f>(Tabela22[[#This Row],[FRETE]]+Tabela22[[#This Row],[DESPESAS]]+Tabela22[[#This Row],[IPI]]+Tabela22[[#This Row],[Vl. Produto]])*Tabela22[[#This Row],[Aliq.%]]</f>
        <v>0</v>
      </c>
    </row>
    <row r="896" spans="13:19" x14ac:dyDescent="0.25">
      <c r="M896" s="46"/>
      <c r="N896" s="46"/>
      <c r="O896" s="46"/>
      <c r="P896" s="46"/>
      <c r="R896" s="15">
        <v>0.04</v>
      </c>
      <c r="S896" s="18">
        <f>(Tabela22[[#This Row],[FRETE]]+Tabela22[[#This Row],[DESPESAS]]+Tabela22[[#This Row],[IPI]]+Tabela22[[#This Row],[Vl. Produto]])*Tabela22[[#This Row],[Aliq.%]]</f>
        <v>0</v>
      </c>
    </row>
    <row r="897" spans="13:19" x14ac:dyDescent="0.25">
      <c r="M897" s="46"/>
      <c r="N897" s="46"/>
      <c r="O897" s="46"/>
      <c r="P897" s="46"/>
      <c r="R897" s="15">
        <v>0.04</v>
      </c>
      <c r="S897" s="18">
        <f>(Tabela22[[#This Row],[FRETE]]+Tabela22[[#This Row],[DESPESAS]]+Tabela22[[#This Row],[IPI]]+Tabela22[[#This Row],[Vl. Produto]])*Tabela22[[#This Row],[Aliq.%]]</f>
        <v>0</v>
      </c>
    </row>
    <row r="898" spans="13:19" x14ac:dyDescent="0.25">
      <c r="M898" s="46"/>
      <c r="N898" s="46"/>
      <c r="O898" s="46"/>
      <c r="P898" s="46"/>
      <c r="R898" s="15">
        <v>0.04</v>
      </c>
      <c r="S898" s="18">
        <f>(Tabela22[[#This Row],[FRETE]]+Tabela22[[#This Row],[DESPESAS]]+Tabela22[[#This Row],[IPI]]+Tabela22[[#This Row],[Vl. Produto]])*Tabela22[[#This Row],[Aliq.%]]</f>
        <v>0</v>
      </c>
    </row>
    <row r="899" spans="13:19" x14ac:dyDescent="0.25">
      <c r="M899" s="46"/>
      <c r="N899" s="46"/>
      <c r="O899" s="46"/>
      <c r="P899" s="46"/>
      <c r="R899" s="15">
        <v>0.04</v>
      </c>
      <c r="S899" s="18">
        <f>(Tabela22[[#This Row],[FRETE]]+Tabela22[[#This Row],[DESPESAS]]+Tabela22[[#This Row],[IPI]]+Tabela22[[#This Row],[Vl. Produto]])*Tabela22[[#This Row],[Aliq.%]]</f>
        <v>0</v>
      </c>
    </row>
    <row r="900" spans="13:19" x14ac:dyDescent="0.25">
      <c r="M900" s="46"/>
      <c r="N900" s="46"/>
      <c r="O900" s="46"/>
      <c r="P900" s="46"/>
      <c r="R900" s="15">
        <v>0.04</v>
      </c>
      <c r="S900" s="18">
        <f>(Tabela22[[#This Row],[FRETE]]+Tabela22[[#This Row],[DESPESAS]]+Tabela22[[#This Row],[IPI]]+Tabela22[[#This Row],[Vl. Produto]])*Tabela22[[#This Row],[Aliq.%]]</f>
        <v>0</v>
      </c>
    </row>
    <row r="901" spans="13:19" x14ac:dyDescent="0.25">
      <c r="M901" s="46"/>
      <c r="N901" s="46"/>
      <c r="O901" s="46"/>
      <c r="P901" s="46"/>
      <c r="R901" s="15">
        <v>0.04</v>
      </c>
      <c r="S901" s="18">
        <f>(Tabela22[[#This Row],[FRETE]]+Tabela22[[#This Row],[DESPESAS]]+Tabela22[[#This Row],[IPI]]+Tabela22[[#This Row],[Vl. Produto]])*Tabela22[[#This Row],[Aliq.%]]</f>
        <v>0</v>
      </c>
    </row>
    <row r="902" spans="13:19" x14ac:dyDescent="0.25">
      <c r="M902" s="46"/>
      <c r="N902" s="46"/>
      <c r="O902" s="46"/>
      <c r="P902" s="46"/>
      <c r="R902" s="15">
        <v>0.04</v>
      </c>
      <c r="S902" s="18">
        <f>(Tabela22[[#This Row],[FRETE]]+Tabela22[[#This Row],[DESPESAS]]+Tabela22[[#This Row],[IPI]]+Tabela22[[#This Row],[Vl. Produto]])*Tabela22[[#This Row],[Aliq.%]]</f>
        <v>0</v>
      </c>
    </row>
    <row r="903" spans="13:19" x14ac:dyDescent="0.25">
      <c r="M903" s="46"/>
      <c r="N903" s="46"/>
      <c r="O903" s="46"/>
      <c r="P903" s="46"/>
      <c r="R903" s="15">
        <v>0.04</v>
      </c>
      <c r="S903" s="18">
        <f>(Tabela22[[#This Row],[FRETE]]+Tabela22[[#This Row],[DESPESAS]]+Tabela22[[#This Row],[IPI]]+Tabela22[[#This Row],[Vl. Produto]])*Tabela22[[#This Row],[Aliq.%]]</f>
        <v>0</v>
      </c>
    </row>
    <row r="904" spans="13:19" x14ac:dyDescent="0.25">
      <c r="M904" s="46"/>
      <c r="N904" s="46"/>
      <c r="O904" s="46"/>
      <c r="P904" s="46"/>
      <c r="R904" s="15">
        <v>0.04</v>
      </c>
      <c r="S904" s="18">
        <f>(Tabela22[[#This Row],[FRETE]]+Tabela22[[#This Row],[DESPESAS]]+Tabela22[[#This Row],[IPI]]+Tabela22[[#This Row],[Vl. Produto]])*Tabela22[[#This Row],[Aliq.%]]</f>
        <v>0</v>
      </c>
    </row>
    <row r="905" spans="13:19" x14ac:dyDescent="0.25">
      <c r="M905" s="46"/>
      <c r="N905" s="46"/>
      <c r="O905" s="46"/>
      <c r="P905" s="46"/>
      <c r="R905" s="15">
        <v>0.04</v>
      </c>
      <c r="S905" s="18">
        <f>(Tabela22[[#This Row],[FRETE]]+Tabela22[[#This Row],[DESPESAS]]+Tabela22[[#This Row],[IPI]]+Tabela22[[#This Row],[Vl. Produto]])*Tabela22[[#This Row],[Aliq.%]]</f>
        <v>0</v>
      </c>
    </row>
    <row r="906" spans="13:19" x14ac:dyDescent="0.25">
      <c r="M906" s="46"/>
      <c r="N906" s="46"/>
      <c r="O906" s="46"/>
      <c r="P906" s="46"/>
      <c r="R906" s="15">
        <v>0.04</v>
      </c>
      <c r="S906" s="18">
        <f>(Tabela22[[#This Row],[FRETE]]+Tabela22[[#This Row],[DESPESAS]]+Tabela22[[#This Row],[IPI]]+Tabela22[[#This Row],[Vl. Produto]])*Tabela22[[#This Row],[Aliq.%]]</f>
        <v>0</v>
      </c>
    </row>
    <row r="907" spans="13:19" x14ac:dyDescent="0.25">
      <c r="M907" s="46"/>
      <c r="N907" s="46"/>
      <c r="O907" s="46"/>
      <c r="P907" s="46"/>
      <c r="R907" s="15">
        <v>0.04</v>
      </c>
      <c r="S907" s="18">
        <f>(Tabela22[[#This Row],[FRETE]]+Tabela22[[#This Row],[DESPESAS]]+Tabela22[[#This Row],[IPI]]+Tabela22[[#This Row],[Vl. Produto]])*Tabela22[[#This Row],[Aliq.%]]</f>
        <v>0</v>
      </c>
    </row>
    <row r="908" spans="13:19" x14ac:dyDescent="0.25">
      <c r="M908" s="46"/>
      <c r="N908" s="46"/>
      <c r="O908" s="46"/>
      <c r="P908" s="46"/>
      <c r="R908" s="15">
        <v>0.04</v>
      </c>
      <c r="S908" s="18">
        <f>(Tabela22[[#This Row],[FRETE]]+Tabela22[[#This Row],[DESPESAS]]+Tabela22[[#This Row],[IPI]]+Tabela22[[#This Row],[Vl. Produto]])*Tabela22[[#This Row],[Aliq.%]]</f>
        <v>0</v>
      </c>
    </row>
    <row r="909" spans="13:19" x14ac:dyDescent="0.25">
      <c r="M909" s="46"/>
      <c r="N909" s="46"/>
      <c r="O909" s="46"/>
      <c r="P909" s="46"/>
      <c r="R909" s="15">
        <v>0.04</v>
      </c>
      <c r="S909" s="18">
        <f>(Tabela22[[#This Row],[FRETE]]+Tabela22[[#This Row],[DESPESAS]]+Tabela22[[#This Row],[IPI]]+Tabela22[[#This Row],[Vl. Produto]])*Tabela22[[#This Row],[Aliq.%]]</f>
        <v>0</v>
      </c>
    </row>
    <row r="910" spans="13:19" x14ac:dyDescent="0.25">
      <c r="M910" s="46"/>
      <c r="N910" s="46"/>
      <c r="O910" s="46"/>
      <c r="P910" s="46"/>
      <c r="R910" s="15">
        <v>0.04</v>
      </c>
      <c r="S910" s="18">
        <f>(Tabela22[[#This Row],[FRETE]]+Tabela22[[#This Row],[DESPESAS]]+Tabela22[[#This Row],[IPI]]+Tabela22[[#This Row],[Vl. Produto]])*Tabela22[[#This Row],[Aliq.%]]</f>
        <v>0</v>
      </c>
    </row>
    <row r="911" spans="13:19" x14ac:dyDescent="0.25">
      <c r="M911" s="46"/>
      <c r="N911" s="46"/>
      <c r="O911" s="46"/>
      <c r="P911" s="46"/>
      <c r="R911" s="15">
        <v>0.04</v>
      </c>
      <c r="S911" s="18">
        <f>(Tabela22[[#This Row],[FRETE]]+Tabela22[[#This Row],[DESPESAS]]+Tabela22[[#This Row],[IPI]]+Tabela22[[#This Row],[Vl. Produto]])*Tabela22[[#This Row],[Aliq.%]]</f>
        <v>0</v>
      </c>
    </row>
    <row r="912" spans="13:19" x14ac:dyDescent="0.25">
      <c r="M912" s="46"/>
      <c r="N912" s="46"/>
      <c r="O912" s="46"/>
      <c r="P912" s="46"/>
      <c r="R912" s="15">
        <v>0.04</v>
      </c>
      <c r="S912" s="18">
        <f>(Tabela22[[#This Row],[FRETE]]+Tabela22[[#This Row],[DESPESAS]]+Tabela22[[#This Row],[IPI]]+Tabela22[[#This Row],[Vl. Produto]])*Tabela22[[#This Row],[Aliq.%]]</f>
        <v>0</v>
      </c>
    </row>
    <row r="913" spans="13:19" x14ac:dyDescent="0.25">
      <c r="M913" s="46"/>
      <c r="N913" s="46"/>
      <c r="O913" s="46"/>
      <c r="P913" s="46"/>
      <c r="R913" s="15">
        <v>0.04</v>
      </c>
      <c r="S913" s="18">
        <f>(Tabela22[[#This Row],[FRETE]]+Tabela22[[#This Row],[DESPESAS]]+Tabela22[[#This Row],[IPI]]+Tabela22[[#This Row],[Vl. Produto]])*Tabela22[[#This Row],[Aliq.%]]</f>
        <v>0</v>
      </c>
    </row>
    <row r="914" spans="13:19" x14ac:dyDescent="0.25">
      <c r="M914" s="46"/>
      <c r="N914" s="46"/>
      <c r="O914" s="46"/>
      <c r="P914" s="46"/>
      <c r="R914" s="15">
        <v>0.04</v>
      </c>
      <c r="S914" s="18">
        <f>(Tabela22[[#This Row],[FRETE]]+Tabela22[[#This Row],[DESPESAS]]+Tabela22[[#This Row],[IPI]]+Tabela22[[#This Row],[Vl. Produto]])*Tabela22[[#This Row],[Aliq.%]]</f>
        <v>0</v>
      </c>
    </row>
    <row r="915" spans="13:19" x14ac:dyDescent="0.25">
      <c r="M915" s="46"/>
      <c r="N915" s="46"/>
      <c r="O915" s="46"/>
      <c r="P915" s="46"/>
      <c r="R915" s="15">
        <v>0.04</v>
      </c>
      <c r="S915" s="18">
        <f>(Tabela22[[#This Row],[FRETE]]+Tabela22[[#This Row],[DESPESAS]]+Tabela22[[#This Row],[IPI]]+Tabela22[[#This Row],[Vl. Produto]])*Tabela22[[#This Row],[Aliq.%]]</f>
        <v>0</v>
      </c>
    </row>
    <row r="916" spans="13:19" x14ac:dyDescent="0.25">
      <c r="M916" s="46"/>
      <c r="N916" s="46"/>
      <c r="O916" s="46"/>
      <c r="P916" s="46"/>
      <c r="R916" s="15">
        <v>0.04</v>
      </c>
      <c r="S916" s="18">
        <f>(Tabela22[[#This Row],[FRETE]]+Tabela22[[#This Row],[DESPESAS]]+Tabela22[[#This Row],[IPI]]+Tabela22[[#This Row],[Vl. Produto]])*Tabela22[[#This Row],[Aliq.%]]</f>
        <v>0</v>
      </c>
    </row>
    <row r="917" spans="13:19" x14ac:dyDescent="0.25">
      <c r="M917" s="46"/>
      <c r="N917" s="46"/>
      <c r="O917" s="46"/>
      <c r="P917" s="46"/>
      <c r="R917" s="15">
        <v>0.04</v>
      </c>
      <c r="S917" s="18">
        <f>(Tabela22[[#This Row],[FRETE]]+Tabela22[[#This Row],[DESPESAS]]+Tabela22[[#This Row],[IPI]]+Tabela22[[#This Row],[Vl. Produto]])*Tabela22[[#This Row],[Aliq.%]]</f>
        <v>0</v>
      </c>
    </row>
    <row r="918" spans="13:19" x14ac:dyDescent="0.25">
      <c r="M918" s="46"/>
      <c r="N918" s="46"/>
      <c r="O918" s="46"/>
      <c r="P918" s="46"/>
      <c r="R918" s="15">
        <v>0.04</v>
      </c>
      <c r="S918" s="18">
        <f>(Tabela22[[#This Row],[FRETE]]+Tabela22[[#This Row],[DESPESAS]]+Tabela22[[#This Row],[IPI]]+Tabela22[[#This Row],[Vl. Produto]])*Tabela22[[#This Row],[Aliq.%]]</f>
        <v>0</v>
      </c>
    </row>
    <row r="919" spans="13:19" x14ac:dyDescent="0.25">
      <c r="M919" s="46"/>
      <c r="N919" s="46"/>
      <c r="O919" s="46"/>
      <c r="P919" s="46"/>
      <c r="R919" s="15">
        <v>0.04</v>
      </c>
      <c r="S919" s="18">
        <f>(Tabela22[[#This Row],[FRETE]]+Tabela22[[#This Row],[DESPESAS]]+Tabela22[[#This Row],[IPI]]+Tabela22[[#This Row],[Vl. Produto]])*Tabela22[[#This Row],[Aliq.%]]</f>
        <v>0</v>
      </c>
    </row>
    <row r="920" spans="13:19" x14ac:dyDescent="0.25">
      <c r="M920" s="46"/>
      <c r="N920" s="46"/>
      <c r="O920" s="46"/>
      <c r="P920" s="46"/>
      <c r="R920" s="15">
        <v>0.04</v>
      </c>
      <c r="S920" s="18">
        <f>(Tabela22[[#This Row],[FRETE]]+Tabela22[[#This Row],[DESPESAS]]+Tabela22[[#This Row],[IPI]]+Tabela22[[#This Row],[Vl. Produto]])*Tabela22[[#This Row],[Aliq.%]]</f>
        <v>0</v>
      </c>
    </row>
    <row r="921" spans="13:19" x14ac:dyDescent="0.25">
      <c r="M921" s="46"/>
      <c r="N921" s="46"/>
      <c r="O921" s="46"/>
      <c r="P921" s="46"/>
      <c r="R921" s="15">
        <v>0.04</v>
      </c>
      <c r="S921" s="18">
        <f>(Tabela22[[#This Row],[FRETE]]+Tabela22[[#This Row],[DESPESAS]]+Tabela22[[#This Row],[IPI]]+Tabela22[[#This Row],[Vl. Produto]])*Tabela22[[#This Row],[Aliq.%]]</f>
        <v>0</v>
      </c>
    </row>
    <row r="922" spans="13:19" x14ac:dyDescent="0.25">
      <c r="M922" s="46"/>
      <c r="N922" s="46"/>
      <c r="O922" s="46"/>
      <c r="P922" s="46"/>
      <c r="R922" s="15">
        <v>0.04</v>
      </c>
      <c r="S922" s="18">
        <f>(Tabela22[[#This Row],[FRETE]]+Tabela22[[#This Row],[DESPESAS]]+Tabela22[[#This Row],[IPI]]+Tabela22[[#This Row],[Vl. Produto]])*Tabela22[[#This Row],[Aliq.%]]</f>
        <v>0</v>
      </c>
    </row>
    <row r="923" spans="13:19" x14ac:dyDescent="0.25">
      <c r="M923" s="46"/>
      <c r="N923" s="46"/>
      <c r="O923" s="46"/>
      <c r="P923" s="46"/>
      <c r="R923" s="15">
        <v>0.04</v>
      </c>
      <c r="S923" s="18">
        <f>(Tabela22[[#This Row],[FRETE]]+Tabela22[[#This Row],[DESPESAS]]+Tabela22[[#This Row],[IPI]]+Tabela22[[#This Row],[Vl. Produto]])*Tabela22[[#This Row],[Aliq.%]]</f>
        <v>0</v>
      </c>
    </row>
    <row r="924" spans="13:19" x14ac:dyDescent="0.25">
      <c r="M924" s="46"/>
      <c r="N924" s="46"/>
      <c r="O924" s="46"/>
      <c r="P924" s="46"/>
      <c r="R924" s="15">
        <v>0.04</v>
      </c>
      <c r="S924" s="18">
        <f>(Tabela22[[#This Row],[FRETE]]+Tabela22[[#This Row],[DESPESAS]]+Tabela22[[#This Row],[IPI]]+Tabela22[[#This Row],[Vl. Produto]])*Tabela22[[#This Row],[Aliq.%]]</f>
        <v>0</v>
      </c>
    </row>
    <row r="925" spans="13:19" x14ac:dyDescent="0.25">
      <c r="M925" s="46"/>
      <c r="N925" s="46"/>
      <c r="O925" s="46"/>
      <c r="P925" s="46"/>
      <c r="R925" s="15">
        <v>0.04</v>
      </c>
      <c r="S925" s="18">
        <f>(Tabela22[[#This Row],[FRETE]]+Tabela22[[#This Row],[DESPESAS]]+Tabela22[[#This Row],[IPI]]+Tabela22[[#This Row],[Vl. Produto]])*Tabela22[[#This Row],[Aliq.%]]</f>
        <v>0</v>
      </c>
    </row>
    <row r="926" spans="13:19" x14ac:dyDescent="0.25">
      <c r="M926" s="46"/>
      <c r="N926" s="46"/>
      <c r="O926" s="46"/>
      <c r="P926" s="46"/>
      <c r="R926" s="15">
        <v>0.04</v>
      </c>
      <c r="S926" s="18">
        <f>(Tabela22[[#This Row],[FRETE]]+Tabela22[[#This Row],[DESPESAS]]+Tabela22[[#This Row],[IPI]]+Tabela22[[#This Row],[Vl. Produto]])*Tabela22[[#This Row],[Aliq.%]]</f>
        <v>0</v>
      </c>
    </row>
    <row r="927" spans="13:19" x14ac:dyDescent="0.25">
      <c r="M927" s="46"/>
      <c r="N927" s="46"/>
      <c r="O927" s="46"/>
      <c r="P927" s="46"/>
      <c r="R927" s="15">
        <v>0.04</v>
      </c>
      <c r="S927" s="18">
        <f>(Tabela22[[#This Row],[FRETE]]+Tabela22[[#This Row],[DESPESAS]]+Tabela22[[#This Row],[IPI]]+Tabela22[[#This Row],[Vl. Produto]])*Tabela22[[#This Row],[Aliq.%]]</f>
        <v>0</v>
      </c>
    </row>
    <row r="928" spans="13:19" x14ac:dyDescent="0.25">
      <c r="M928" s="46"/>
      <c r="N928" s="46"/>
      <c r="O928" s="46"/>
      <c r="P928" s="46"/>
      <c r="R928" s="15">
        <v>0.04</v>
      </c>
      <c r="S928" s="18">
        <f>(Tabela22[[#This Row],[FRETE]]+Tabela22[[#This Row],[DESPESAS]]+Tabela22[[#This Row],[IPI]]+Tabela22[[#This Row],[Vl. Produto]])*Tabela22[[#This Row],[Aliq.%]]</f>
        <v>0</v>
      </c>
    </row>
    <row r="929" spans="13:19" x14ac:dyDescent="0.25">
      <c r="M929" s="46"/>
      <c r="N929" s="46"/>
      <c r="O929" s="46"/>
      <c r="P929" s="46"/>
      <c r="R929" s="15">
        <v>0.04</v>
      </c>
      <c r="S929" s="18">
        <f>(Tabela22[[#This Row],[FRETE]]+Tabela22[[#This Row],[DESPESAS]]+Tabela22[[#This Row],[IPI]]+Tabela22[[#This Row],[Vl. Produto]])*Tabela22[[#This Row],[Aliq.%]]</f>
        <v>0</v>
      </c>
    </row>
    <row r="930" spans="13:19" x14ac:dyDescent="0.25">
      <c r="M930" s="46"/>
      <c r="N930" s="46"/>
      <c r="O930" s="46"/>
      <c r="P930" s="46"/>
      <c r="R930" s="15">
        <v>0.04</v>
      </c>
      <c r="S930" s="18">
        <f>(Tabela22[[#This Row],[FRETE]]+Tabela22[[#This Row],[DESPESAS]]+Tabela22[[#This Row],[IPI]]+Tabela22[[#This Row],[Vl. Produto]])*Tabela22[[#This Row],[Aliq.%]]</f>
        <v>0</v>
      </c>
    </row>
    <row r="931" spans="13:19" x14ac:dyDescent="0.25">
      <c r="M931" s="46"/>
      <c r="N931" s="46"/>
      <c r="O931" s="46"/>
      <c r="P931" s="46"/>
      <c r="R931" s="15">
        <v>0.04</v>
      </c>
      <c r="S931" s="18">
        <f>(Tabela22[[#This Row],[FRETE]]+Tabela22[[#This Row],[DESPESAS]]+Tabela22[[#This Row],[IPI]]+Tabela22[[#This Row],[Vl. Produto]])*Tabela22[[#This Row],[Aliq.%]]</f>
        <v>0</v>
      </c>
    </row>
    <row r="932" spans="13:19" x14ac:dyDescent="0.25">
      <c r="M932" s="46"/>
      <c r="N932" s="46"/>
      <c r="O932" s="46"/>
      <c r="P932" s="46"/>
      <c r="R932" s="15">
        <v>0.04</v>
      </c>
      <c r="S932" s="18">
        <f>(Tabela22[[#This Row],[FRETE]]+Tabela22[[#This Row],[DESPESAS]]+Tabela22[[#This Row],[IPI]]+Tabela22[[#This Row],[Vl. Produto]])*Tabela22[[#This Row],[Aliq.%]]</f>
        <v>0</v>
      </c>
    </row>
    <row r="933" spans="13:19" x14ac:dyDescent="0.25">
      <c r="M933" s="46"/>
      <c r="N933" s="46"/>
      <c r="O933" s="46"/>
      <c r="P933" s="46"/>
      <c r="R933" s="15">
        <v>0.04</v>
      </c>
      <c r="S933" s="18">
        <f>(Tabela22[[#This Row],[FRETE]]+Tabela22[[#This Row],[DESPESAS]]+Tabela22[[#This Row],[IPI]]+Tabela22[[#This Row],[Vl. Produto]])*Tabela22[[#This Row],[Aliq.%]]</f>
        <v>0</v>
      </c>
    </row>
    <row r="934" spans="13:19" x14ac:dyDescent="0.25">
      <c r="M934" s="46"/>
      <c r="N934" s="46"/>
      <c r="O934" s="46"/>
      <c r="P934" s="46"/>
      <c r="R934" s="15">
        <v>0.04</v>
      </c>
      <c r="S934" s="18">
        <f>(Tabela22[[#This Row],[FRETE]]+Tabela22[[#This Row],[DESPESAS]]+Tabela22[[#This Row],[IPI]]+Tabela22[[#This Row],[Vl. Produto]])*Tabela22[[#This Row],[Aliq.%]]</f>
        <v>0</v>
      </c>
    </row>
    <row r="935" spans="13:19" x14ac:dyDescent="0.25">
      <c r="M935" s="46"/>
      <c r="N935" s="46"/>
      <c r="O935" s="46"/>
      <c r="P935" s="46"/>
      <c r="R935" s="15">
        <v>0.04</v>
      </c>
      <c r="S935" s="18">
        <f>(Tabela22[[#This Row],[FRETE]]+Tabela22[[#This Row],[DESPESAS]]+Tabela22[[#This Row],[IPI]]+Tabela22[[#This Row],[Vl. Produto]])*Tabela22[[#This Row],[Aliq.%]]</f>
        <v>0</v>
      </c>
    </row>
    <row r="936" spans="13:19" x14ac:dyDescent="0.25">
      <c r="M936" s="46"/>
      <c r="N936" s="46"/>
      <c r="O936" s="46"/>
      <c r="P936" s="46"/>
      <c r="R936" s="15">
        <v>0.04</v>
      </c>
      <c r="S936" s="18">
        <f>(Tabela22[[#This Row],[FRETE]]+Tabela22[[#This Row],[DESPESAS]]+Tabela22[[#This Row],[IPI]]+Tabela22[[#This Row],[Vl. Produto]])*Tabela22[[#This Row],[Aliq.%]]</f>
        <v>0</v>
      </c>
    </row>
    <row r="937" spans="13:19" x14ac:dyDescent="0.25">
      <c r="M937" s="46"/>
      <c r="N937" s="46"/>
      <c r="O937" s="46"/>
      <c r="P937" s="46"/>
      <c r="R937" s="15">
        <v>0.04</v>
      </c>
      <c r="S937" s="18">
        <f>(Tabela22[[#This Row],[FRETE]]+Tabela22[[#This Row],[DESPESAS]]+Tabela22[[#This Row],[IPI]]+Tabela22[[#This Row],[Vl. Produto]])*Tabela22[[#This Row],[Aliq.%]]</f>
        <v>0</v>
      </c>
    </row>
    <row r="938" spans="13:19" x14ac:dyDescent="0.25">
      <c r="M938" s="46"/>
      <c r="N938" s="46"/>
      <c r="O938" s="46"/>
      <c r="P938" s="46"/>
      <c r="R938" s="15">
        <v>0.04</v>
      </c>
      <c r="S938" s="18">
        <f>(Tabela22[[#This Row],[FRETE]]+Tabela22[[#This Row],[DESPESAS]]+Tabela22[[#This Row],[IPI]]+Tabela22[[#This Row],[Vl. Produto]])*Tabela22[[#This Row],[Aliq.%]]</f>
        <v>0</v>
      </c>
    </row>
    <row r="939" spans="13:19" x14ac:dyDescent="0.25">
      <c r="M939" s="46"/>
      <c r="N939" s="46"/>
      <c r="O939" s="46"/>
      <c r="P939" s="46"/>
      <c r="R939" s="15">
        <v>0.04</v>
      </c>
      <c r="S939" s="18">
        <f>(Tabela22[[#This Row],[FRETE]]+Tabela22[[#This Row],[DESPESAS]]+Tabela22[[#This Row],[IPI]]+Tabela22[[#This Row],[Vl. Produto]])*Tabela22[[#This Row],[Aliq.%]]</f>
        <v>0</v>
      </c>
    </row>
    <row r="940" spans="13:19" x14ac:dyDescent="0.25">
      <c r="M940" s="46"/>
      <c r="N940" s="46"/>
      <c r="O940" s="46"/>
      <c r="P940" s="46"/>
      <c r="R940" s="15">
        <v>0.04</v>
      </c>
      <c r="S940" s="18">
        <f>(Tabela22[[#This Row],[FRETE]]+Tabela22[[#This Row],[DESPESAS]]+Tabela22[[#This Row],[IPI]]+Tabela22[[#This Row],[Vl. Produto]])*Tabela22[[#This Row],[Aliq.%]]</f>
        <v>0</v>
      </c>
    </row>
    <row r="941" spans="13:19" x14ac:dyDescent="0.25">
      <c r="M941" s="46"/>
      <c r="N941" s="46"/>
      <c r="O941" s="46"/>
      <c r="P941" s="46"/>
      <c r="R941" s="15">
        <v>0.04</v>
      </c>
      <c r="S941" s="18">
        <f>(Tabela22[[#This Row],[FRETE]]+Tabela22[[#This Row],[DESPESAS]]+Tabela22[[#This Row],[IPI]]+Tabela22[[#This Row],[Vl. Produto]])*Tabela22[[#This Row],[Aliq.%]]</f>
        <v>0</v>
      </c>
    </row>
    <row r="942" spans="13:19" x14ac:dyDescent="0.25">
      <c r="M942" s="46"/>
      <c r="N942" s="46"/>
      <c r="O942" s="46"/>
      <c r="P942" s="46"/>
      <c r="R942" s="15">
        <v>0.04</v>
      </c>
      <c r="S942" s="18">
        <f>(Tabela22[[#This Row],[FRETE]]+Tabela22[[#This Row],[DESPESAS]]+Tabela22[[#This Row],[IPI]]+Tabela22[[#This Row],[Vl. Produto]])*Tabela22[[#This Row],[Aliq.%]]</f>
        <v>0</v>
      </c>
    </row>
    <row r="943" spans="13:19" x14ac:dyDescent="0.25">
      <c r="M943" s="46"/>
      <c r="N943" s="46"/>
      <c r="O943" s="46"/>
      <c r="P943" s="46"/>
      <c r="R943" s="15">
        <v>0.04</v>
      </c>
      <c r="S943" s="18">
        <f>(Tabela22[[#This Row],[FRETE]]+Tabela22[[#This Row],[DESPESAS]]+Tabela22[[#This Row],[IPI]]+Tabela22[[#This Row],[Vl. Produto]])*Tabela22[[#This Row],[Aliq.%]]</f>
        <v>0</v>
      </c>
    </row>
    <row r="944" spans="13:19" x14ac:dyDescent="0.25">
      <c r="M944" s="46"/>
      <c r="N944" s="46"/>
      <c r="O944" s="46"/>
      <c r="P944" s="46"/>
      <c r="R944" s="15">
        <v>0.04</v>
      </c>
      <c r="S944" s="18">
        <f>(Tabela22[[#This Row],[FRETE]]+Tabela22[[#This Row],[DESPESAS]]+Tabela22[[#This Row],[IPI]]+Tabela22[[#This Row],[Vl. Produto]])*Tabela22[[#This Row],[Aliq.%]]</f>
        <v>0</v>
      </c>
    </row>
    <row r="945" spans="13:19" x14ac:dyDescent="0.25">
      <c r="M945" s="46"/>
      <c r="N945" s="46"/>
      <c r="O945" s="46"/>
      <c r="P945" s="46"/>
      <c r="R945" s="15">
        <v>0.04</v>
      </c>
      <c r="S945" s="18">
        <f>(Tabela22[[#This Row],[FRETE]]+Tabela22[[#This Row],[DESPESAS]]+Tabela22[[#This Row],[IPI]]+Tabela22[[#This Row],[Vl. Produto]])*Tabela22[[#This Row],[Aliq.%]]</f>
        <v>0</v>
      </c>
    </row>
    <row r="946" spans="13:19" x14ac:dyDescent="0.25">
      <c r="M946" s="46"/>
      <c r="N946" s="46"/>
      <c r="O946" s="46"/>
      <c r="P946" s="46"/>
      <c r="R946" s="15">
        <v>0.04</v>
      </c>
      <c r="S946" s="18">
        <f>(Tabela22[[#This Row],[FRETE]]+Tabela22[[#This Row],[DESPESAS]]+Tabela22[[#This Row],[IPI]]+Tabela22[[#This Row],[Vl. Produto]])*Tabela22[[#This Row],[Aliq.%]]</f>
        <v>0</v>
      </c>
    </row>
    <row r="947" spans="13:19" x14ac:dyDescent="0.25">
      <c r="M947" s="46"/>
      <c r="N947" s="46"/>
      <c r="O947" s="46"/>
      <c r="P947" s="46"/>
      <c r="R947" s="15">
        <v>0.04</v>
      </c>
      <c r="S947" s="18">
        <f>(Tabela22[[#This Row],[FRETE]]+Tabela22[[#This Row],[DESPESAS]]+Tabela22[[#This Row],[IPI]]+Tabela22[[#This Row],[Vl. Produto]])*Tabela22[[#This Row],[Aliq.%]]</f>
        <v>0</v>
      </c>
    </row>
    <row r="948" spans="13:19" x14ac:dyDescent="0.25">
      <c r="M948" s="46"/>
      <c r="N948" s="46"/>
      <c r="O948" s="46"/>
      <c r="P948" s="46"/>
      <c r="R948" s="15">
        <v>0.04</v>
      </c>
      <c r="S948" s="18">
        <f>(Tabela22[[#This Row],[FRETE]]+Tabela22[[#This Row],[DESPESAS]]+Tabela22[[#This Row],[IPI]]+Tabela22[[#This Row],[Vl. Produto]])*Tabela22[[#This Row],[Aliq.%]]</f>
        <v>0</v>
      </c>
    </row>
    <row r="949" spans="13:19" x14ac:dyDescent="0.25">
      <c r="M949" s="46"/>
      <c r="N949" s="46"/>
      <c r="O949" s="46"/>
      <c r="P949" s="46"/>
      <c r="R949" s="15">
        <v>0.04</v>
      </c>
      <c r="S949" s="18">
        <f>(Tabela22[[#This Row],[FRETE]]+Tabela22[[#This Row],[DESPESAS]]+Tabela22[[#This Row],[IPI]]+Tabela22[[#This Row],[Vl. Produto]])*Tabela22[[#This Row],[Aliq.%]]</f>
        <v>0</v>
      </c>
    </row>
    <row r="950" spans="13:19" x14ac:dyDescent="0.25">
      <c r="M950" s="46"/>
      <c r="N950" s="46"/>
      <c r="O950" s="46"/>
      <c r="P950" s="46"/>
      <c r="R950" s="15">
        <v>0.04</v>
      </c>
      <c r="S950" s="18">
        <f>(Tabela22[[#This Row],[FRETE]]+Tabela22[[#This Row],[DESPESAS]]+Tabela22[[#This Row],[IPI]]+Tabela22[[#This Row],[Vl. Produto]])*Tabela22[[#This Row],[Aliq.%]]</f>
        <v>0</v>
      </c>
    </row>
    <row r="951" spans="13:19" x14ac:dyDescent="0.25">
      <c r="M951" s="46"/>
      <c r="N951" s="46"/>
      <c r="O951" s="46"/>
      <c r="P951" s="46"/>
      <c r="R951" s="15">
        <v>0.04</v>
      </c>
      <c r="S951" s="18">
        <f>(Tabela22[[#This Row],[FRETE]]+Tabela22[[#This Row],[DESPESAS]]+Tabela22[[#This Row],[IPI]]+Tabela22[[#This Row],[Vl. Produto]])*Tabela22[[#This Row],[Aliq.%]]</f>
        <v>0</v>
      </c>
    </row>
    <row r="952" spans="13:19" x14ac:dyDescent="0.25">
      <c r="M952" s="46"/>
      <c r="N952" s="46"/>
      <c r="O952" s="46"/>
      <c r="P952" s="46"/>
      <c r="R952" s="15">
        <v>0.04</v>
      </c>
      <c r="S952" s="18">
        <f>(Tabela22[[#This Row],[FRETE]]+Tabela22[[#This Row],[DESPESAS]]+Tabela22[[#This Row],[IPI]]+Tabela22[[#This Row],[Vl. Produto]])*Tabela22[[#This Row],[Aliq.%]]</f>
        <v>0</v>
      </c>
    </row>
    <row r="953" spans="13:19" x14ac:dyDescent="0.25">
      <c r="M953" s="46"/>
      <c r="N953" s="46"/>
      <c r="O953" s="46"/>
      <c r="P953" s="46"/>
      <c r="R953" s="15">
        <v>0.04</v>
      </c>
      <c r="S953" s="18">
        <f>(Tabela22[[#This Row],[FRETE]]+Tabela22[[#This Row],[DESPESAS]]+Tabela22[[#This Row],[IPI]]+Tabela22[[#This Row],[Vl. Produto]])*Tabela22[[#This Row],[Aliq.%]]</f>
        <v>0</v>
      </c>
    </row>
    <row r="954" spans="13:19" x14ac:dyDescent="0.25">
      <c r="M954" s="46"/>
      <c r="N954" s="46"/>
      <c r="O954" s="46"/>
      <c r="P954" s="46"/>
      <c r="R954" s="15">
        <v>0.04</v>
      </c>
      <c r="S954" s="18">
        <f>(Tabela22[[#This Row],[FRETE]]+Tabela22[[#This Row],[DESPESAS]]+Tabela22[[#This Row],[IPI]]+Tabela22[[#This Row],[Vl. Produto]])*Tabela22[[#This Row],[Aliq.%]]</f>
        <v>0</v>
      </c>
    </row>
    <row r="955" spans="13:19" x14ac:dyDescent="0.25">
      <c r="M955" s="46"/>
      <c r="N955" s="46"/>
      <c r="O955" s="46"/>
      <c r="P955" s="46"/>
      <c r="R955" s="15">
        <v>0.04</v>
      </c>
      <c r="S955" s="18">
        <f>(Tabela22[[#This Row],[FRETE]]+Tabela22[[#This Row],[DESPESAS]]+Tabela22[[#This Row],[IPI]]+Tabela22[[#This Row],[Vl. Produto]])*Tabela22[[#This Row],[Aliq.%]]</f>
        <v>0</v>
      </c>
    </row>
    <row r="956" spans="13:19" x14ac:dyDescent="0.25">
      <c r="M956" s="46"/>
      <c r="N956" s="46"/>
      <c r="O956" s="46"/>
      <c r="P956" s="46"/>
      <c r="R956" s="15">
        <v>0.04</v>
      </c>
      <c r="S956" s="18">
        <f>(Tabela22[[#This Row],[FRETE]]+Tabela22[[#This Row],[DESPESAS]]+Tabela22[[#This Row],[IPI]]+Tabela22[[#This Row],[Vl. Produto]])*Tabela22[[#This Row],[Aliq.%]]</f>
        <v>0</v>
      </c>
    </row>
    <row r="957" spans="13:19" x14ac:dyDescent="0.25">
      <c r="M957" s="46"/>
      <c r="N957" s="46"/>
      <c r="O957" s="46"/>
      <c r="P957" s="46"/>
      <c r="R957" s="15">
        <v>0.04</v>
      </c>
      <c r="S957" s="18">
        <f>(Tabela22[[#This Row],[FRETE]]+Tabela22[[#This Row],[DESPESAS]]+Tabela22[[#This Row],[IPI]]+Tabela22[[#This Row],[Vl. Produto]])*Tabela22[[#This Row],[Aliq.%]]</f>
        <v>0</v>
      </c>
    </row>
    <row r="958" spans="13:19" x14ac:dyDescent="0.25">
      <c r="M958" s="46"/>
      <c r="N958" s="46"/>
      <c r="O958" s="46"/>
      <c r="P958" s="46"/>
      <c r="R958" s="15">
        <v>0.04</v>
      </c>
      <c r="S958" s="18">
        <f>(Tabela22[[#This Row],[FRETE]]+Tabela22[[#This Row],[DESPESAS]]+Tabela22[[#This Row],[IPI]]+Tabela22[[#This Row],[Vl. Produto]])*Tabela22[[#This Row],[Aliq.%]]</f>
        <v>0</v>
      </c>
    </row>
    <row r="959" spans="13:19" x14ac:dyDescent="0.25">
      <c r="M959" s="46"/>
      <c r="N959" s="46"/>
      <c r="O959" s="46"/>
      <c r="P959" s="46"/>
      <c r="R959" s="15">
        <v>0.04</v>
      </c>
      <c r="S959" s="18">
        <f>(Tabela22[[#This Row],[FRETE]]+Tabela22[[#This Row],[DESPESAS]]+Tabela22[[#This Row],[IPI]]+Tabela22[[#This Row],[Vl. Produto]])*Tabela22[[#This Row],[Aliq.%]]</f>
        <v>0</v>
      </c>
    </row>
    <row r="960" spans="13:19" x14ac:dyDescent="0.25">
      <c r="M960" s="46"/>
      <c r="N960" s="46"/>
      <c r="O960" s="46"/>
      <c r="P960" s="46"/>
      <c r="R960" s="15">
        <v>0.04</v>
      </c>
      <c r="S960" s="18">
        <f>(Tabela22[[#This Row],[FRETE]]+Tabela22[[#This Row],[DESPESAS]]+Tabela22[[#This Row],[IPI]]+Tabela22[[#This Row],[Vl. Produto]])*Tabela22[[#This Row],[Aliq.%]]</f>
        <v>0</v>
      </c>
    </row>
    <row r="961" spans="13:19" x14ac:dyDescent="0.25">
      <c r="M961" s="46"/>
      <c r="N961" s="46"/>
      <c r="O961" s="46"/>
      <c r="P961" s="46"/>
      <c r="R961" s="15">
        <v>0.04</v>
      </c>
      <c r="S961" s="18">
        <f>(Tabela22[[#This Row],[FRETE]]+Tabela22[[#This Row],[DESPESAS]]+Tabela22[[#This Row],[IPI]]+Tabela22[[#This Row],[Vl. Produto]])*Tabela22[[#This Row],[Aliq.%]]</f>
        <v>0</v>
      </c>
    </row>
    <row r="962" spans="13:19" x14ac:dyDescent="0.25">
      <c r="M962" s="46"/>
      <c r="N962" s="46"/>
      <c r="O962" s="46"/>
      <c r="P962" s="46"/>
      <c r="R962" s="15">
        <v>0.04</v>
      </c>
      <c r="S962" s="18">
        <f>(Tabela22[[#This Row],[FRETE]]+Tabela22[[#This Row],[DESPESAS]]+Tabela22[[#This Row],[IPI]]+Tabela22[[#This Row],[Vl. Produto]])*Tabela22[[#This Row],[Aliq.%]]</f>
        <v>0</v>
      </c>
    </row>
    <row r="963" spans="13:19" x14ac:dyDescent="0.25">
      <c r="M963" s="46"/>
      <c r="N963" s="46"/>
      <c r="O963" s="46"/>
      <c r="P963" s="46"/>
      <c r="R963" s="15">
        <v>0.04</v>
      </c>
      <c r="S963" s="18">
        <f>(Tabela22[[#This Row],[FRETE]]+Tabela22[[#This Row],[DESPESAS]]+Tabela22[[#This Row],[IPI]]+Tabela22[[#This Row],[Vl. Produto]])*Tabela22[[#This Row],[Aliq.%]]</f>
        <v>0</v>
      </c>
    </row>
    <row r="964" spans="13:19" x14ac:dyDescent="0.25">
      <c r="M964" s="46"/>
      <c r="N964" s="46"/>
      <c r="O964" s="46"/>
      <c r="P964" s="46"/>
      <c r="R964" s="15">
        <v>0.04</v>
      </c>
      <c r="S964" s="18">
        <f>(Tabela22[[#This Row],[FRETE]]+Tabela22[[#This Row],[DESPESAS]]+Tabela22[[#This Row],[IPI]]+Tabela22[[#This Row],[Vl. Produto]])*Tabela22[[#This Row],[Aliq.%]]</f>
        <v>0</v>
      </c>
    </row>
    <row r="965" spans="13:19" x14ac:dyDescent="0.25">
      <c r="M965" s="46"/>
      <c r="N965" s="46"/>
      <c r="O965" s="46"/>
      <c r="P965" s="46"/>
      <c r="R965" s="15">
        <v>0.04</v>
      </c>
      <c r="S965" s="18">
        <f>(Tabela22[[#This Row],[FRETE]]+Tabela22[[#This Row],[DESPESAS]]+Tabela22[[#This Row],[IPI]]+Tabela22[[#This Row],[Vl. Produto]])*Tabela22[[#This Row],[Aliq.%]]</f>
        <v>0</v>
      </c>
    </row>
    <row r="966" spans="13:19" x14ac:dyDescent="0.25">
      <c r="M966" s="46"/>
      <c r="N966" s="46"/>
      <c r="O966" s="46"/>
      <c r="P966" s="46"/>
      <c r="R966" s="15">
        <v>0.04</v>
      </c>
      <c r="S966" s="18">
        <f>(Tabela22[[#This Row],[FRETE]]+Tabela22[[#This Row],[DESPESAS]]+Tabela22[[#This Row],[IPI]]+Tabela22[[#This Row],[Vl. Produto]])*Tabela22[[#This Row],[Aliq.%]]</f>
        <v>0</v>
      </c>
    </row>
    <row r="967" spans="13:19" x14ac:dyDescent="0.25">
      <c r="M967" s="46"/>
      <c r="N967" s="46"/>
      <c r="O967" s="46"/>
      <c r="P967" s="46"/>
      <c r="R967" s="15">
        <v>0.04</v>
      </c>
      <c r="S967" s="18">
        <f>(Tabela22[[#This Row],[FRETE]]+Tabela22[[#This Row],[DESPESAS]]+Tabela22[[#This Row],[IPI]]+Tabela22[[#This Row],[Vl. Produto]])*Tabela22[[#This Row],[Aliq.%]]</f>
        <v>0</v>
      </c>
    </row>
    <row r="968" spans="13:19" x14ac:dyDescent="0.25">
      <c r="M968" s="46"/>
      <c r="N968" s="46"/>
      <c r="O968" s="46"/>
      <c r="P968" s="46"/>
      <c r="R968" s="15">
        <v>0.04</v>
      </c>
      <c r="S968" s="18">
        <f>(Tabela22[[#This Row],[FRETE]]+Tabela22[[#This Row],[DESPESAS]]+Tabela22[[#This Row],[IPI]]+Tabela22[[#This Row],[Vl. Produto]])*Tabela22[[#This Row],[Aliq.%]]</f>
        <v>0</v>
      </c>
    </row>
    <row r="969" spans="13:19" x14ac:dyDescent="0.25">
      <c r="M969" s="46"/>
      <c r="N969" s="46"/>
      <c r="O969" s="46"/>
      <c r="P969" s="46"/>
      <c r="R969" s="15">
        <v>0.04</v>
      </c>
      <c r="S969" s="18">
        <f>(Tabela22[[#This Row],[FRETE]]+Tabela22[[#This Row],[DESPESAS]]+Tabela22[[#This Row],[IPI]]+Tabela22[[#This Row],[Vl. Produto]])*Tabela22[[#This Row],[Aliq.%]]</f>
        <v>0</v>
      </c>
    </row>
    <row r="970" spans="13:19" x14ac:dyDescent="0.25">
      <c r="M970" s="46"/>
      <c r="N970" s="46"/>
      <c r="O970" s="46"/>
      <c r="P970" s="46"/>
      <c r="R970" s="15">
        <v>0.04</v>
      </c>
      <c r="S970" s="18">
        <f>(Tabela22[[#This Row],[FRETE]]+Tabela22[[#This Row],[DESPESAS]]+Tabela22[[#This Row],[IPI]]+Tabela22[[#This Row],[Vl. Produto]])*Tabela22[[#This Row],[Aliq.%]]</f>
        <v>0</v>
      </c>
    </row>
    <row r="971" spans="13:19" x14ac:dyDescent="0.25">
      <c r="M971" s="46"/>
      <c r="N971" s="46"/>
      <c r="O971" s="46"/>
      <c r="P971" s="46"/>
      <c r="R971" s="15">
        <v>0.04</v>
      </c>
      <c r="S971" s="18">
        <f>(Tabela22[[#This Row],[FRETE]]+Tabela22[[#This Row],[DESPESAS]]+Tabela22[[#This Row],[IPI]]+Tabela22[[#This Row],[Vl. Produto]])*Tabela22[[#This Row],[Aliq.%]]</f>
        <v>0</v>
      </c>
    </row>
    <row r="972" spans="13:19" x14ac:dyDescent="0.25">
      <c r="M972" s="46"/>
      <c r="N972" s="46"/>
      <c r="O972" s="46"/>
      <c r="P972" s="46"/>
      <c r="R972" s="15">
        <v>0.04</v>
      </c>
      <c r="S972" s="18">
        <f>(Tabela22[[#This Row],[FRETE]]+Tabela22[[#This Row],[DESPESAS]]+Tabela22[[#This Row],[IPI]]+Tabela22[[#This Row],[Vl. Produto]])*Tabela22[[#This Row],[Aliq.%]]</f>
        <v>0</v>
      </c>
    </row>
    <row r="973" spans="13:19" x14ac:dyDescent="0.25">
      <c r="M973" s="46"/>
      <c r="N973" s="46"/>
      <c r="O973" s="46"/>
      <c r="P973" s="46"/>
      <c r="R973" s="15">
        <v>0.04</v>
      </c>
      <c r="S973" s="18">
        <f>(Tabela22[[#This Row],[FRETE]]+Tabela22[[#This Row],[DESPESAS]]+Tabela22[[#This Row],[IPI]]+Tabela22[[#This Row],[Vl. Produto]])*Tabela22[[#This Row],[Aliq.%]]</f>
        <v>0</v>
      </c>
    </row>
    <row r="974" spans="13:19" x14ac:dyDescent="0.25">
      <c r="M974" s="46"/>
      <c r="N974" s="46"/>
      <c r="O974" s="46"/>
      <c r="P974" s="46"/>
      <c r="R974" s="15">
        <v>0.04</v>
      </c>
      <c r="S974" s="18">
        <f>(Tabela22[[#This Row],[FRETE]]+Tabela22[[#This Row],[DESPESAS]]+Tabela22[[#This Row],[IPI]]+Tabela22[[#This Row],[Vl. Produto]])*Tabela22[[#This Row],[Aliq.%]]</f>
        <v>0</v>
      </c>
    </row>
    <row r="975" spans="13:19" x14ac:dyDescent="0.25">
      <c r="M975" s="46"/>
      <c r="N975" s="46"/>
      <c r="O975" s="46"/>
      <c r="P975" s="46"/>
      <c r="R975" s="15">
        <v>0.04</v>
      </c>
      <c r="S975" s="18">
        <f>(Tabela22[[#This Row],[FRETE]]+Tabela22[[#This Row],[DESPESAS]]+Tabela22[[#This Row],[IPI]]+Tabela22[[#This Row],[Vl. Produto]])*Tabela22[[#This Row],[Aliq.%]]</f>
        <v>0</v>
      </c>
    </row>
    <row r="976" spans="13:19" x14ac:dyDescent="0.25">
      <c r="M976" s="46"/>
      <c r="N976" s="46"/>
      <c r="O976" s="46"/>
      <c r="P976" s="46"/>
      <c r="R976" s="15">
        <v>0.04</v>
      </c>
      <c r="S976" s="18">
        <f>(Tabela22[[#This Row],[FRETE]]+Tabela22[[#This Row],[DESPESAS]]+Tabela22[[#This Row],[IPI]]+Tabela22[[#This Row],[Vl. Produto]])*Tabela22[[#This Row],[Aliq.%]]</f>
        <v>0</v>
      </c>
    </row>
    <row r="977" spans="13:19" x14ac:dyDescent="0.25">
      <c r="M977" s="46"/>
      <c r="N977" s="46"/>
      <c r="O977" s="46"/>
      <c r="P977" s="46"/>
      <c r="R977" s="15">
        <v>0.04</v>
      </c>
      <c r="S977" s="18">
        <f>(Tabela22[[#This Row],[FRETE]]+Tabela22[[#This Row],[DESPESAS]]+Tabela22[[#This Row],[IPI]]+Tabela22[[#This Row],[Vl. Produto]])*Tabela22[[#This Row],[Aliq.%]]</f>
        <v>0</v>
      </c>
    </row>
    <row r="978" spans="13:19" x14ac:dyDescent="0.25">
      <c r="M978" s="46"/>
      <c r="N978" s="46"/>
      <c r="O978" s="46"/>
      <c r="P978" s="46"/>
      <c r="R978" s="15">
        <v>0.04</v>
      </c>
      <c r="S978" s="18">
        <f>(Tabela22[[#This Row],[FRETE]]+Tabela22[[#This Row],[DESPESAS]]+Tabela22[[#This Row],[IPI]]+Tabela22[[#This Row],[Vl. Produto]])*Tabela22[[#This Row],[Aliq.%]]</f>
        <v>0</v>
      </c>
    </row>
    <row r="979" spans="13:19" x14ac:dyDescent="0.25">
      <c r="M979" s="46"/>
      <c r="N979" s="46"/>
      <c r="O979" s="46"/>
      <c r="P979" s="46"/>
      <c r="R979" s="15">
        <v>0.04</v>
      </c>
      <c r="S979" s="18">
        <f>(Tabela22[[#This Row],[FRETE]]+Tabela22[[#This Row],[DESPESAS]]+Tabela22[[#This Row],[IPI]]+Tabela22[[#This Row],[Vl. Produto]])*Tabela22[[#This Row],[Aliq.%]]</f>
        <v>0</v>
      </c>
    </row>
    <row r="980" spans="13:19" x14ac:dyDescent="0.25">
      <c r="M980" s="46"/>
      <c r="N980" s="46"/>
      <c r="O980" s="46"/>
      <c r="P980" s="46"/>
      <c r="R980" s="15">
        <v>0.04</v>
      </c>
      <c r="S980" s="18">
        <f>(Tabela22[[#This Row],[FRETE]]+Tabela22[[#This Row],[DESPESAS]]+Tabela22[[#This Row],[IPI]]+Tabela22[[#This Row],[Vl. Produto]])*Tabela22[[#This Row],[Aliq.%]]</f>
        <v>0</v>
      </c>
    </row>
    <row r="981" spans="13:19" x14ac:dyDescent="0.25">
      <c r="M981" s="46"/>
      <c r="N981" s="46"/>
      <c r="O981" s="46"/>
      <c r="P981" s="46"/>
      <c r="R981" s="15">
        <v>0.04</v>
      </c>
      <c r="S981" s="18">
        <f>(Tabela22[[#This Row],[FRETE]]+Tabela22[[#This Row],[DESPESAS]]+Tabela22[[#This Row],[IPI]]+Tabela22[[#This Row],[Vl. Produto]])*Tabela22[[#This Row],[Aliq.%]]</f>
        <v>0</v>
      </c>
    </row>
    <row r="982" spans="13:19" x14ac:dyDescent="0.25">
      <c r="M982" s="46"/>
      <c r="N982" s="46"/>
      <c r="O982" s="46"/>
      <c r="P982" s="46"/>
      <c r="R982" s="15">
        <v>0.04</v>
      </c>
      <c r="S982" s="18">
        <f>(Tabela22[[#This Row],[FRETE]]+Tabela22[[#This Row],[DESPESAS]]+Tabela22[[#This Row],[IPI]]+Tabela22[[#This Row],[Vl. Produto]])*Tabela22[[#This Row],[Aliq.%]]</f>
        <v>0</v>
      </c>
    </row>
    <row r="983" spans="13:19" x14ac:dyDescent="0.25">
      <c r="M983" s="46"/>
      <c r="N983" s="46"/>
      <c r="O983" s="46"/>
      <c r="P983" s="46"/>
      <c r="R983" s="15">
        <v>0.04</v>
      </c>
      <c r="S983" s="18">
        <f>(Tabela22[[#This Row],[FRETE]]+Tabela22[[#This Row],[DESPESAS]]+Tabela22[[#This Row],[IPI]]+Tabela22[[#This Row],[Vl. Produto]])*Tabela22[[#This Row],[Aliq.%]]</f>
        <v>0</v>
      </c>
    </row>
    <row r="984" spans="13:19" x14ac:dyDescent="0.25">
      <c r="M984" s="46"/>
      <c r="N984" s="46"/>
      <c r="O984" s="46"/>
      <c r="P984" s="46"/>
      <c r="R984" s="15">
        <v>0.04</v>
      </c>
      <c r="S984" s="18">
        <f>(Tabela22[[#This Row],[FRETE]]+Tabela22[[#This Row],[DESPESAS]]+Tabela22[[#This Row],[IPI]]+Tabela22[[#This Row],[Vl. Produto]])*Tabela22[[#This Row],[Aliq.%]]</f>
        <v>0</v>
      </c>
    </row>
    <row r="985" spans="13:19" x14ac:dyDescent="0.25">
      <c r="M985" s="46"/>
      <c r="N985" s="46"/>
      <c r="O985" s="46"/>
      <c r="P985" s="46"/>
      <c r="R985" s="15">
        <v>0.04</v>
      </c>
      <c r="S985" s="18">
        <f>(Tabela22[[#This Row],[FRETE]]+Tabela22[[#This Row],[DESPESAS]]+Tabela22[[#This Row],[IPI]]+Tabela22[[#This Row],[Vl. Produto]])*Tabela22[[#This Row],[Aliq.%]]</f>
        <v>0</v>
      </c>
    </row>
    <row r="986" spans="13:19" x14ac:dyDescent="0.25">
      <c r="M986" s="46"/>
      <c r="N986" s="46"/>
      <c r="O986" s="46"/>
      <c r="P986" s="46"/>
      <c r="R986" s="15">
        <v>0.04</v>
      </c>
      <c r="S986" s="18">
        <f>(Tabela22[[#This Row],[FRETE]]+Tabela22[[#This Row],[DESPESAS]]+Tabela22[[#This Row],[IPI]]+Tabela22[[#This Row],[Vl. Produto]])*Tabela22[[#This Row],[Aliq.%]]</f>
        <v>0</v>
      </c>
    </row>
    <row r="987" spans="13:19" x14ac:dyDescent="0.25">
      <c r="M987" s="46"/>
      <c r="N987" s="46"/>
      <c r="O987" s="46"/>
      <c r="P987" s="46"/>
      <c r="R987" s="15">
        <v>0.04</v>
      </c>
      <c r="S987" s="18">
        <f>(Tabela22[[#This Row],[FRETE]]+Tabela22[[#This Row],[DESPESAS]]+Tabela22[[#This Row],[IPI]]+Tabela22[[#This Row],[Vl. Produto]])*Tabela22[[#This Row],[Aliq.%]]</f>
        <v>0</v>
      </c>
    </row>
    <row r="988" spans="13:19" x14ac:dyDescent="0.25">
      <c r="M988" s="46"/>
      <c r="N988" s="46"/>
      <c r="O988" s="46"/>
      <c r="P988" s="46"/>
      <c r="R988" s="15">
        <v>0.04</v>
      </c>
      <c r="S988" s="18">
        <f>(Tabela22[[#This Row],[FRETE]]+Tabela22[[#This Row],[DESPESAS]]+Tabela22[[#This Row],[IPI]]+Tabela22[[#This Row],[Vl. Produto]])*Tabela22[[#This Row],[Aliq.%]]</f>
        <v>0</v>
      </c>
    </row>
    <row r="989" spans="13:19" x14ac:dyDescent="0.25">
      <c r="M989" s="46"/>
      <c r="N989" s="46"/>
      <c r="O989" s="46"/>
      <c r="P989" s="46"/>
      <c r="R989" s="15">
        <v>0.04</v>
      </c>
      <c r="S989" s="18">
        <f>(Tabela22[[#This Row],[FRETE]]+Tabela22[[#This Row],[DESPESAS]]+Tabela22[[#This Row],[IPI]]+Tabela22[[#This Row],[Vl. Produto]])*Tabela22[[#This Row],[Aliq.%]]</f>
        <v>0</v>
      </c>
    </row>
    <row r="990" spans="13:19" x14ac:dyDescent="0.25">
      <c r="M990" s="46"/>
      <c r="N990" s="46"/>
      <c r="O990" s="46"/>
      <c r="P990" s="46"/>
      <c r="R990" s="15">
        <v>0.04</v>
      </c>
      <c r="S990" s="18">
        <f>(Tabela22[[#This Row],[FRETE]]+Tabela22[[#This Row],[DESPESAS]]+Tabela22[[#This Row],[IPI]]+Tabela22[[#This Row],[Vl. Produto]])*Tabela22[[#This Row],[Aliq.%]]</f>
        <v>0</v>
      </c>
    </row>
    <row r="991" spans="13:19" x14ac:dyDescent="0.25">
      <c r="M991" s="46"/>
      <c r="N991" s="46"/>
      <c r="O991" s="46"/>
      <c r="P991" s="46"/>
      <c r="R991" s="15">
        <v>0.04</v>
      </c>
      <c r="S991" s="18">
        <f>(Tabela22[[#This Row],[FRETE]]+Tabela22[[#This Row],[DESPESAS]]+Tabela22[[#This Row],[IPI]]+Tabela22[[#This Row],[Vl. Produto]])*Tabela22[[#This Row],[Aliq.%]]</f>
        <v>0</v>
      </c>
    </row>
    <row r="992" spans="13:19" x14ac:dyDescent="0.25">
      <c r="M992" s="46"/>
      <c r="N992" s="46"/>
      <c r="O992" s="46"/>
      <c r="P992" s="46"/>
      <c r="R992" s="15">
        <v>0.04</v>
      </c>
      <c r="S992" s="18">
        <f>(Tabela22[[#This Row],[FRETE]]+Tabela22[[#This Row],[DESPESAS]]+Tabela22[[#This Row],[IPI]]+Tabela22[[#This Row],[Vl. Produto]])*Tabela22[[#This Row],[Aliq.%]]</f>
        <v>0</v>
      </c>
    </row>
    <row r="993" spans="13:19" x14ac:dyDescent="0.25">
      <c r="M993" s="46"/>
      <c r="N993" s="46"/>
      <c r="O993" s="46"/>
      <c r="P993" s="46"/>
      <c r="R993" s="15">
        <v>0.04</v>
      </c>
      <c r="S993" s="18">
        <f>(Tabela22[[#This Row],[FRETE]]+Tabela22[[#This Row],[DESPESAS]]+Tabela22[[#This Row],[IPI]]+Tabela22[[#This Row],[Vl. Produto]])*Tabela22[[#This Row],[Aliq.%]]</f>
        <v>0</v>
      </c>
    </row>
    <row r="994" spans="13:19" x14ac:dyDescent="0.25">
      <c r="M994" s="46"/>
      <c r="N994" s="46"/>
      <c r="O994" s="46"/>
      <c r="P994" s="46"/>
      <c r="R994" s="15">
        <v>0.04</v>
      </c>
      <c r="S994" s="18">
        <f>(Tabela22[[#This Row],[FRETE]]+Tabela22[[#This Row],[DESPESAS]]+Tabela22[[#This Row],[IPI]]+Tabela22[[#This Row],[Vl. Produto]])*Tabela22[[#This Row],[Aliq.%]]</f>
        <v>0</v>
      </c>
    </row>
    <row r="995" spans="13:19" x14ac:dyDescent="0.25">
      <c r="M995" s="46"/>
      <c r="N995" s="46"/>
      <c r="O995" s="46"/>
      <c r="P995" s="46"/>
      <c r="R995" s="15">
        <v>0.04</v>
      </c>
      <c r="S995" s="18">
        <f>(Tabela22[[#This Row],[FRETE]]+Tabela22[[#This Row],[DESPESAS]]+Tabela22[[#This Row],[IPI]]+Tabela22[[#This Row],[Vl. Produto]])*Tabela22[[#This Row],[Aliq.%]]</f>
        <v>0</v>
      </c>
    </row>
    <row r="996" spans="13:19" x14ac:dyDescent="0.25">
      <c r="M996" s="46"/>
      <c r="N996" s="46"/>
      <c r="O996" s="46"/>
      <c r="P996" s="46"/>
      <c r="R996" s="15">
        <v>0.04</v>
      </c>
      <c r="S996" s="18">
        <f>(Tabela22[[#This Row],[FRETE]]+Tabela22[[#This Row],[DESPESAS]]+Tabela22[[#This Row],[IPI]]+Tabela22[[#This Row],[Vl. Produto]])*Tabela22[[#This Row],[Aliq.%]]</f>
        <v>0</v>
      </c>
    </row>
    <row r="997" spans="13:19" x14ac:dyDescent="0.25">
      <c r="M997" s="46"/>
      <c r="N997" s="46"/>
      <c r="O997" s="46"/>
      <c r="P997" s="46"/>
      <c r="R997" s="15">
        <v>0.04</v>
      </c>
      <c r="S997" s="18">
        <f>(Tabela22[[#This Row],[FRETE]]+Tabela22[[#This Row],[DESPESAS]]+Tabela22[[#This Row],[IPI]]+Tabela22[[#This Row],[Vl. Produto]])*Tabela22[[#This Row],[Aliq.%]]</f>
        <v>0</v>
      </c>
    </row>
    <row r="998" spans="13:19" x14ac:dyDescent="0.25">
      <c r="M998" s="46"/>
      <c r="N998" s="46"/>
      <c r="O998" s="46"/>
      <c r="P998" s="46"/>
      <c r="R998" s="15">
        <v>0.04</v>
      </c>
      <c r="S998" s="18">
        <f>(Tabela22[[#This Row],[FRETE]]+Tabela22[[#This Row],[DESPESAS]]+Tabela22[[#This Row],[IPI]]+Tabela22[[#This Row],[Vl. Produto]])*Tabela22[[#This Row],[Aliq.%]]</f>
        <v>0</v>
      </c>
    </row>
    <row r="999" spans="13:19" x14ac:dyDescent="0.25">
      <c r="M999" s="46"/>
      <c r="N999" s="46"/>
      <c r="O999" s="46"/>
      <c r="P999" s="46"/>
      <c r="R999" s="15">
        <v>0.04</v>
      </c>
      <c r="S999" s="18">
        <f>(Tabela22[[#This Row],[FRETE]]+Tabela22[[#This Row],[DESPESAS]]+Tabela22[[#This Row],[IPI]]+Tabela22[[#This Row],[Vl. Produto]])*Tabela22[[#This Row],[Aliq.%]]</f>
        <v>0</v>
      </c>
    </row>
    <row r="1000" spans="13:19" x14ac:dyDescent="0.25">
      <c r="M1000" s="46"/>
      <c r="N1000" s="46"/>
      <c r="O1000" s="46"/>
      <c r="P1000" s="46"/>
      <c r="R1000" s="15">
        <v>0.04</v>
      </c>
      <c r="S1000" s="18">
        <f>(Tabela22[[#This Row],[FRETE]]+Tabela22[[#This Row],[DESPESAS]]+Tabela22[[#This Row],[IPI]]+Tabela22[[#This Row],[Vl. Produto]])*Tabela22[[#This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B1:U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7" width="10.7109375" style="17" customWidth="1"/>
    <col min="18" max="18" width="10.7109375" style="3" customWidth="1"/>
    <col min="19" max="19" width="20.7109375" style="4" customWidth="1"/>
    <col min="20" max="20" width="1.85546875" style="1" customWidth="1"/>
    <col min="21" max="21" width="10.7109375" style="1" customWidth="1"/>
    <col min="22" max="16384" width="9.140625" style="1"/>
  </cols>
  <sheetData>
    <row r="1" spans="2:21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34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35</v>
      </c>
      <c r="R1" s="13" t="s">
        <v>1</v>
      </c>
      <c r="S1" s="14" t="s">
        <v>2</v>
      </c>
      <c r="U1" s="47">
        <f>SUBTOTAL(109,Tabela224[ICMS ST a Recolher])</f>
        <v>0</v>
      </c>
    </row>
    <row r="2" spans="2:21" x14ac:dyDescent="0.25">
      <c r="B2" s="9"/>
      <c r="C2" s="6"/>
      <c r="M2" s="46"/>
      <c r="N2" s="46"/>
      <c r="O2" s="46"/>
      <c r="P2" s="46"/>
      <c r="R2" s="15">
        <v>7.0000000000000007E-2</v>
      </c>
      <c r="S2" s="18">
        <f>(Tabela224[[#This Row],[FRETE]]+Tabela224[[#This Row],[DESPESAS]]+Tabela224[[#This Row],[IPI]]+Tabela224[[#This Row],[Vl. Produto]])*Tabela224[[#This Row],[Aliq.%]]</f>
        <v>0</v>
      </c>
    </row>
    <row r="3" spans="2:21" x14ac:dyDescent="0.25">
      <c r="B3" s="9"/>
      <c r="C3" s="6"/>
      <c r="M3" s="46"/>
      <c r="N3" s="46"/>
      <c r="O3" s="46"/>
      <c r="P3" s="46"/>
      <c r="R3" s="15">
        <v>7.0000000000000007E-2</v>
      </c>
      <c r="S3" s="18">
        <f>(Tabela224[[#This Row],[FRETE]]+Tabela224[[#This Row],[DESPESAS]]+Tabela224[[#This Row],[IPI]]+Tabela224[[#This Row],[Vl. Produto]])*Tabela224[[#This Row],[Aliq.%]]</f>
        <v>0</v>
      </c>
    </row>
    <row r="4" spans="2:21" x14ac:dyDescent="0.25">
      <c r="B4" s="9"/>
      <c r="C4" s="6"/>
      <c r="M4" s="46"/>
      <c r="N4" s="46"/>
      <c r="O4" s="46"/>
      <c r="P4" s="46"/>
      <c r="R4" s="15">
        <v>7.0000000000000007E-2</v>
      </c>
      <c r="S4" s="18">
        <f>(Tabela224[[#This Row],[FRETE]]+Tabela224[[#This Row],[DESPESAS]]+Tabela224[[#This Row],[IPI]]+Tabela224[[#This Row],[Vl. Produto]])*Tabela224[[#This Row],[Aliq.%]]</f>
        <v>0</v>
      </c>
    </row>
    <row r="5" spans="2:21" x14ac:dyDescent="0.25">
      <c r="B5" s="9"/>
      <c r="C5" s="6"/>
      <c r="M5" s="46"/>
      <c r="N5" s="46"/>
      <c r="O5" s="46"/>
      <c r="P5" s="46"/>
      <c r="R5" s="15">
        <v>7.0000000000000007E-2</v>
      </c>
      <c r="S5" s="18">
        <f>(Tabela224[[#This Row],[FRETE]]+Tabela224[[#This Row],[DESPESAS]]+Tabela224[[#This Row],[IPI]]+Tabela224[[#This Row],[Vl. Produto]])*Tabela224[[#This Row],[Aliq.%]]</f>
        <v>0</v>
      </c>
    </row>
    <row r="6" spans="2:21" x14ac:dyDescent="0.25">
      <c r="B6" s="9"/>
      <c r="C6" s="6"/>
      <c r="M6" s="46"/>
      <c r="N6" s="46"/>
      <c r="O6" s="46"/>
      <c r="P6" s="46"/>
      <c r="R6" s="15">
        <v>7.0000000000000007E-2</v>
      </c>
      <c r="S6" s="18">
        <f>(Tabela224[[#This Row],[FRETE]]+Tabela224[[#This Row],[DESPESAS]]+Tabela224[[#This Row],[IPI]]+Tabela224[[#This Row],[Vl. Produto]])*Tabela224[[#This Row],[Aliq.%]]</f>
        <v>0</v>
      </c>
    </row>
    <row r="7" spans="2:21" x14ac:dyDescent="0.25">
      <c r="B7" s="9"/>
      <c r="C7" s="6"/>
      <c r="M7" s="46"/>
      <c r="N7" s="46"/>
      <c r="O7" s="46"/>
      <c r="P7" s="46"/>
      <c r="R7" s="15">
        <v>7.0000000000000007E-2</v>
      </c>
      <c r="S7" s="18">
        <f>(Tabela224[[#This Row],[FRETE]]+Tabela224[[#This Row],[DESPESAS]]+Tabela224[[#This Row],[IPI]]+Tabela224[[#This Row],[Vl. Produto]])*Tabela224[[#This Row],[Aliq.%]]</f>
        <v>0</v>
      </c>
    </row>
    <row r="8" spans="2:21" x14ac:dyDescent="0.25">
      <c r="B8" s="9"/>
      <c r="C8" s="6"/>
      <c r="M8" s="46"/>
      <c r="N8" s="46"/>
      <c r="O8" s="46"/>
      <c r="P8" s="46"/>
      <c r="R8" s="15">
        <v>7.0000000000000007E-2</v>
      </c>
      <c r="S8" s="18">
        <f>(Tabela224[[#This Row],[FRETE]]+Tabela224[[#This Row],[DESPESAS]]+Tabela224[[#This Row],[IPI]]+Tabela224[[#This Row],[Vl. Produto]])*Tabela224[[#This Row],[Aliq.%]]</f>
        <v>0</v>
      </c>
    </row>
    <row r="9" spans="2:21" x14ac:dyDescent="0.25">
      <c r="B9" s="62" t="s">
        <v>16</v>
      </c>
      <c r="C9" s="6"/>
      <c r="M9" s="46"/>
      <c r="N9" s="46"/>
      <c r="O9" s="46"/>
      <c r="P9" s="46"/>
      <c r="R9" s="15">
        <v>7.0000000000000007E-2</v>
      </c>
      <c r="S9" s="18">
        <f>(Tabela224[[#This Row],[FRETE]]+Tabela224[[#This Row],[DESPESAS]]+Tabela224[[#This Row],[IPI]]+Tabela224[[#This Row],[Vl. Produto]])*Tabela224[[#This Row],[Aliq.%]]</f>
        <v>0</v>
      </c>
    </row>
    <row r="10" spans="2:21" x14ac:dyDescent="0.25">
      <c r="B10" s="62"/>
      <c r="C10" s="6"/>
      <c r="M10" s="46"/>
      <c r="N10" s="46"/>
      <c r="O10" s="46"/>
      <c r="P10" s="46"/>
      <c r="R10" s="15">
        <v>7.0000000000000007E-2</v>
      </c>
      <c r="S10" s="18">
        <f>(Tabela224[[#This Row],[FRETE]]+Tabela224[[#This Row],[DESPESAS]]+Tabela224[[#This Row],[IPI]]+Tabela224[[#This Row],[Vl. Produto]])*Tabela224[[#This Row],[Aliq.%]]</f>
        <v>0</v>
      </c>
    </row>
    <row r="11" spans="2:21" x14ac:dyDescent="0.25">
      <c r="B11" s="62"/>
      <c r="C11" s="6"/>
      <c r="M11" s="46"/>
      <c r="N11" s="46"/>
      <c r="O11" s="46"/>
      <c r="P11" s="46"/>
      <c r="R11" s="15">
        <v>7.0000000000000007E-2</v>
      </c>
      <c r="S11" s="18">
        <f>(Tabela224[[#This Row],[FRETE]]+Tabela224[[#This Row],[DESPESAS]]+Tabela224[[#This Row],[IPI]]+Tabela224[[#This Row],[Vl. Produto]])*Tabela224[[#This Row],[Aliq.%]]</f>
        <v>0</v>
      </c>
    </row>
    <row r="12" spans="2:21" x14ac:dyDescent="0.25">
      <c r="B12" s="62"/>
      <c r="C12" s="6"/>
      <c r="M12" s="46"/>
      <c r="N12" s="46"/>
      <c r="O12" s="46"/>
      <c r="P12" s="46"/>
      <c r="R12" s="15">
        <v>7.0000000000000007E-2</v>
      </c>
      <c r="S12" s="18">
        <f>(Tabela224[[#This Row],[FRETE]]+Tabela224[[#This Row],[DESPESAS]]+Tabela224[[#This Row],[IPI]]+Tabela224[[#This Row],[Vl. Produto]])*Tabela224[[#This Row],[Aliq.%]]</f>
        <v>0</v>
      </c>
    </row>
    <row r="13" spans="2:21" x14ac:dyDescent="0.25">
      <c r="B13" s="62"/>
      <c r="C13" s="6"/>
      <c r="M13" s="46"/>
      <c r="N13" s="46"/>
      <c r="O13" s="46"/>
      <c r="P13" s="46"/>
      <c r="R13" s="15">
        <v>7.0000000000000007E-2</v>
      </c>
      <c r="S13" s="18">
        <f>(Tabela224[[#This Row],[FRETE]]+Tabela224[[#This Row],[DESPESAS]]+Tabela224[[#This Row],[IPI]]+Tabela224[[#This Row],[Vl. Produto]])*Tabela224[[#This Row],[Aliq.%]]</f>
        <v>0</v>
      </c>
    </row>
    <row r="14" spans="2:21" x14ac:dyDescent="0.25">
      <c r="B14" s="62"/>
      <c r="C14" s="6"/>
      <c r="M14" s="46"/>
      <c r="N14" s="46"/>
      <c r="O14" s="46"/>
      <c r="P14" s="46"/>
      <c r="R14" s="15">
        <v>7.0000000000000007E-2</v>
      </c>
      <c r="S14" s="18">
        <f>(Tabela224[[#This Row],[FRETE]]+Tabela224[[#This Row],[DESPESAS]]+Tabela224[[#This Row],[IPI]]+Tabela224[[#This Row],[Vl. Produto]])*Tabela224[[#This Row],[Aliq.%]]</f>
        <v>0</v>
      </c>
    </row>
    <row r="15" spans="2:21" x14ac:dyDescent="0.25">
      <c r="B15" s="62"/>
      <c r="C15" s="6"/>
      <c r="M15" s="46"/>
      <c r="N15" s="46"/>
      <c r="O15" s="46"/>
      <c r="P15" s="46"/>
      <c r="R15" s="15">
        <v>7.0000000000000007E-2</v>
      </c>
      <c r="S15" s="18">
        <f>(Tabela224[[#This Row],[FRETE]]+Tabela224[[#This Row],[DESPESAS]]+Tabela224[[#This Row],[IPI]]+Tabela224[[#This Row],[Vl. Produto]])*Tabela224[[#This Row],[Aliq.%]]</f>
        <v>0</v>
      </c>
    </row>
    <row r="16" spans="2:21" x14ac:dyDescent="0.25">
      <c r="B16" s="62"/>
      <c r="C16" s="6"/>
      <c r="M16" s="46"/>
      <c r="N16" s="46"/>
      <c r="O16" s="46"/>
      <c r="P16" s="46"/>
      <c r="R16" s="15">
        <v>7.0000000000000007E-2</v>
      </c>
      <c r="S16" s="18">
        <f>(Tabela224[[#This Row],[FRETE]]+Tabela224[[#This Row],[DESPESAS]]+Tabela224[[#This Row],[IPI]]+Tabela224[[#This Row],[Vl. Produto]])*Tabela224[[#This Row],[Aliq.%]]</f>
        <v>0</v>
      </c>
    </row>
    <row r="17" spans="2:19" x14ac:dyDescent="0.25">
      <c r="B17" s="62"/>
      <c r="C17" s="6"/>
      <c r="M17" s="46"/>
      <c r="N17" s="46"/>
      <c r="O17" s="46"/>
      <c r="P17" s="46"/>
      <c r="R17" s="15">
        <v>7.0000000000000007E-2</v>
      </c>
      <c r="S17" s="18">
        <f>(Tabela224[[#This Row],[FRETE]]+Tabela224[[#This Row],[DESPESAS]]+Tabela224[[#This Row],[IPI]]+Tabela224[[#This Row],[Vl. Produto]])*Tabela224[[#This Row],[Aliq.%]]</f>
        <v>0</v>
      </c>
    </row>
    <row r="18" spans="2:19" x14ac:dyDescent="0.25">
      <c r="B18" s="9"/>
      <c r="C18" s="6"/>
      <c r="M18" s="46"/>
      <c r="N18" s="46"/>
      <c r="O18" s="46"/>
      <c r="P18" s="46"/>
      <c r="R18" s="15">
        <v>7.0000000000000007E-2</v>
      </c>
      <c r="S18" s="18">
        <f>(Tabela224[[#This Row],[FRETE]]+Tabela224[[#This Row],[DESPESAS]]+Tabela224[[#This Row],[IPI]]+Tabela224[[#This Row],[Vl. Produto]])*Tabela224[[#This Row],[Aliq.%]]</f>
        <v>0</v>
      </c>
    </row>
    <row r="19" spans="2:19" x14ac:dyDescent="0.25">
      <c r="B19" s="9"/>
      <c r="C19" s="6"/>
      <c r="M19" s="46"/>
      <c r="N19" s="46"/>
      <c r="O19" s="46"/>
      <c r="P19" s="46"/>
      <c r="R19" s="15">
        <v>7.0000000000000007E-2</v>
      </c>
      <c r="S19" s="18">
        <f>(Tabela224[[#This Row],[FRETE]]+Tabela224[[#This Row],[DESPESAS]]+Tabela224[[#This Row],[IPI]]+Tabela224[[#This Row],[Vl. Produto]])*Tabela224[[#This Row],[Aliq.%]]</f>
        <v>0</v>
      </c>
    </row>
    <row r="20" spans="2:19" x14ac:dyDescent="0.25">
      <c r="B20" s="9"/>
      <c r="C20" s="6"/>
      <c r="M20" s="46"/>
      <c r="N20" s="46"/>
      <c r="O20" s="46"/>
      <c r="P20" s="46"/>
      <c r="R20" s="15">
        <v>7.0000000000000007E-2</v>
      </c>
      <c r="S20" s="18">
        <f>(Tabela224[[#This Row],[FRETE]]+Tabela224[[#This Row],[DESPESAS]]+Tabela224[[#This Row],[IPI]]+Tabela224[[#This Row],[Vl. Produto]])*Tabela224[[#This Row],[Aliq.%]]</f>
        <v>0</v>
      </c>
    </row>
    <row r="21" spans="2:19" x14ac:dyDescent="0.25">
      <c r="B21" s="9"/>
      <c r="C21" s="6"/>
      <c r="M21" s="46"/>
      <c r="N21" s="46"/>
      <c r="O21" s="46"/>
      <c r="P21" s="46"/>
      <c r="R21" s="15">
        <v>7.0000000000000007E-2</v>
      </c>
      <c r="S21" s="18">
        <f>(Tabela224[[#This Row],[FRETE]]+Tabela224[[#This Row],[DESPESAS]]+Tabela224[[#This Row],[IPI]]+Tabela224[[#This Row],[Vl. Produto]])*Tabela224[[#This Row],[Aliq.%]]</f>
        <v>0</v>
      </c>
    </row>
    <row r="22" spans="2:19" x14ac:dyDescent="0.25">
      <c r="B22" s="9"/>
      <c r="C22" s="6"/>
      <c r="M22" s="46"/>
      <c r="N22" s="46"/>
      <c r="O22" s="46"/>
      <c r="P22" s="46"/>
      <c r="R22" s="15">
        <v>7.0000000000000007E-2</v>
      </c>
      <c r="S22" s="18">
        <f>(Tabela224[[#This Row],[FRETE]]+Tabela224[[#This Row],[DESPESAS]]+Tabela224[[#This Row],[IPI]]+Tabela224[[#This Row],[Vl. Produto]])*Tabela224[[#This Row],[Aliq.%]]</f>
        <v>0</v>
      </c>
    </row>
    <row r="23" spans="2:19" x14ac:dyDescent="0.25">
      <c r="B23" s="9"/>
      <c r="C23" s="6"/>
      <c r="M23" s="46"/>
      <c r="N23" s="46"/>
      <c r="O23" s="46"/>
      <c r="P23" s="46"/>
      <c r="R23" s="15">
        <v>7.0000000000000007E-2</v>
      </c>
      <c r="S23" s="18">
        <f>(Tabela224[[#This Row],[FRETE]]+Tabela224[[#This Row],[DESPESAS]]+Tabela224[[#This Row],[IPI]]+Tabela224[[#This Row],[Vl. Produto]])*Tabela224[[#This Row],[Aliq.%]]</f>
        <v>0</v>
      </c>
    </row>
    <row r="24" spans="2:19" x14ac:dyDescent="0.25">
      <c r="B24" s="9"/>
      <c r="C24" s="6"/>
      <c r="M24" s="46"/>
      <c r="N24" s="46"/>
      <c r="O24" s="46"/>
      <c r="P24" s="46"/>
      <c r="R24" s="15">
        <v>7.0000000000000007E-2</v>
      </c>
      <c r="S24" s="18">
        <f>(Tabela224[[#This Row],[FRETE]]+Tabela224[[#This Row],[DESPESAS]]+Tabela224[[#This Row],[IPI]]+Tabela224[[#This Row],[Vl. Produto]])*Tabela224[[#This Row],[Aliq.%]]</f>
        <v>0</v>
      </c>
    </row>
    <row r="25" spans="2:19" x14ac:dyDescent="0.25">
      <c r="B25" s="9"/>
      <c r="C25" s="6"/>
      <c r="M25" s="46"/>
      <c r="N25" s="46"/>
      <c r="O25" s="46"/>
      <c r="P25" s="46"/>
      <c r="R25" s="15">
        <v>7.0000000000000007E-2</v>
      </c>
      <c r="S25" s="18">
        <f>(Tabela224[[#This Row],[FRETE]]+Tabela224[[#This Row],[DESPESAS]]+Tabela224[[#This Row],[IPI]]+Tabela224[[#This Row],[Vl. Produto]])*Tabela224[[#This Row],[Aliq.%]]</f>
        <v>0</v>
      </c>
    </row>
    <row r="26" spans="2:19" x14ac:dyDescent="0.25">
      <c r="B26" s="9"/>
      <c r="C26" s="6"/>
      <c r="M26" s="46"/>
      <c r="N26" s="46"/>
      <c r="O26" s="46"/>
      <c r="P26" s="46"/>
      <c r="R26" s="15">
        <v>7.0000000000000007E-2</v>
      </c>
      <c r="S26" s="18">
        <f>(Tabela224[[#This Row],[FRETE]]+Tabela224[[#This Row],[DESPESAS]]+Tabela224[[#This Row],[IPI]]+Tabela224[[#This Row],[Vl. Produto]])*Tabela224[[#This Row],[Aliq.%]]</f>
        <v>0</v>
      </c>
    </row>
    <row r="27" spans="2:19" x14ac:dyDescent="0.25">
      <c r="B27" s="9"/>
      <c r="C27" s="6"/>
      <c r="M27" s="46"/>
      <c r="N27" s="46"/>
      <c r="O27" s="46"/>
      <c r="P27" s="46"/>
      <c r="R27" s="15">
        <v>7.0000000000000007E-2</v>
      </c>
      <c r="S27" s="18">
        <f>(Tabela224[[#This Row],[FRETE]]+Tabela224[[#This Row],[DESPESAS]]+Tabela224[[#This Row],[IPI]]+Tabela224[[#This Row],[Vl. Produto]])*Tabela224[[#This Row],[Aliq.%]]</f>
        <v>0</v>
      </c>
    </row>
    <row r="28" spans="2:19" x14ac:dyDescent="0.25">
      <c r="M28" s="46"/>
      <c r="N28" s="46"/>
      <c r="O28" s="46"/>
      <c r="P28" s="46"/>
      <c r="R28" s="15">
        <v>7.0000000000000007E-2</v>
      </c>
      <c r="S28" s="18">
        <f>(Tabela224[[#This Row],[FRETE]]+Tabela224[[#This Row],[DESPESAS]]+Tabela224[[#This Row],[IPI]]+Tabela224[[#This Row],[Vl. Produto]])*Tabela224[[#This Row],[Aliq.%]]</f>
        <v>0</v>
      </c>
    </row>
    <row r="29" spans="2:19" x14ac:dyDescent="0.25">
      <c r="M29" s="46"/>
      <c r="N29" s="46"/>
      <c r="O29" s="46"/>
      <c r="P29" s="46"/>
      <c r="R29" s="15">
        <v>7.0000000000000007E-2</v>
      </c>
      <c r="S29" s="18">
        <f>(Tabela224[[#This Row],[FRETE]]+Tabela224[[#This Row],[DESPESAS]]+Tabela224[[#This Row],[IPI]]+Tabela224[[#This Row],[Vl. Produto]])*Tabela224[[#This Row],[Aliq.%]]</f>
        <v>0</v>
      </c>
    </row>
    <row r="30" spans="2:19" x14ac:dyDescent="0.25">
      <c r="M30" s="46"/>
      <c r="N30" s="46"/>
      <c r="O30" s="46"/>
      <c r="P30" s="46"/>
      <c r="R30" s="15">
        <v>7.0000000000000007E-2</v>
      </c>
      <c r="S30" s="18">
        <f>(Tabela224[[#This Row],[FRETE]]+Tabela224[[#This Row],[DESPESAS]]+Tabela224[[#This Row],[IPI]]+Tabela224[[#This Row],[Vl. Produto]])*Tabela224[[#This Row],[Aliq.%]]</f>
        <v>0</v>
      </c>
    </row>
    <row r="31" spans="2:19" x14ac:dyDescent="0.25">
      <c r="M31" s="46"/>
      <c r="N31" s="46"/>
      <c r="O31" s="46"/>
      <c r="P31" s="46"/>
      <c r="R31" s="15">
        <v>7.0000000000000007E-2</v>
      </c>
      <c r="S31" s="18">
        <f>(Tabela224[[#This Row],[FRETE]]+Tabela224[[#This Row],[DESPESAS]]+Tabela224[[#This Row],[IPI]]+Tabela224[[#This Row],[Vl. Produto]])*Tabela224[[#This Row],[Aliq.%]]</f>
        <v>0</v>
      </c>
    </row>
    <row r="32" spans="2:19" x14ac:dyDescent="0.25">
      <c r="M32" s="46"/>
      <c r="N32" s="46"/>
      <c r="O32" s="46"/>
      <c r="P32" s="46"/>
      <c r="R32" s="15">
        <v>7.0000000000000007E-2</v>
      </c>
      <c r="S32" s="18">
        <f>(Tabela224[[#This Row],[FRETE]]+Tabela224[[#This Row],[DESPESAS]]+Tabela224[[#This Row],[IPI]]+Tabela224[[#This Row],[Vl. Produto]])*Tabela224[[#This Row],[Aliq.%]]</f>
        <v>0</v>
      </c>
    </row>
    <row r="33" spans="13:19" x14ac:dyDescent="0.25">
      <c r="M33" s="46"/>
      <c r="N33" s="46"/>
      <c r="O33" s="46"/>
      <c r="P33" s="46"/>
      <c r="R33" s="15">
        <v>7.0000000000000007E-2</v>
      </c>
      <c r="S33" s="18">
        <f>(Tabela224[[#This Row],[FRETE]]+Tabela224[[#This Row],[DESPESAS]]+Tabela224[[#This Row],[IPI]]+Tabela224[[#This Row],[Vl. Produto]])*Tabela224[[#This Row],[Aliq.%]]</f>
        <v>0</v>
      </c>
    </row>
    <row r="34" spans="13:19" x14ac:dyDescent="0.25">
      <c r="M34" s="46"/>
      <c r="N34" s="46"/>
      <c r="O34" s="46"/>
      <c r="P34" s="46"/>
      <c r="R34" s="15">
        <v>7.0000000000000007E-2</v>
      </c>
      <c r="S34" s="18">
        <f>(Tabela224[[#This Row],[FRETE]]+Tabela224[[#This Row],[DESPESAS]]+Tabela224[[#This Row],[IPI]]+Tabela224[[#This Row],[Vl. Produto]])*Tabela224[[#This Row],[Aliq.%]]</f>
        <v>0</v>
      </c>
    </row>
    <row r="35" spans="13:19" x14ac:dyDescent="0.25">
      <c r="M35" s="46"/>
      <c r="N35" s="46"/>
      <c r="O35" s="46"/>
      <c r="P35" s="46"/>
      <c r="R35" s="15">
        <v>7.0000000000000007E-2</v>
      </c>
      <c r="S35" s="18">
        <f>(Tabela224[[#This Row],[FRETE]]+Tabela224[[#This Row],[DESPESAS]]+Tabela224[[#This Row],[IPI]]+Tabela224[[#This Row],[Vl. Produto]])*Tabela224[[#This Row],[Aliq.%]]</f>
        <v>0</v>
      </c>
    </row>
    <row r="36" spans="13:19" x14ac:dyDescent="0.25">
      <c r="M36" s="46"/>
      <c r="N36" s="46"/>
      <c r="O36" s="46"/>
      <c r="P36" s="46"/>
      <c r="R36" s="15">
        <v>7.0000000000000007E-2</v>
      </c>
      <c r="S36" s="18">
        <f>(Tabela224[[#This Row],[FRETE]]+Tabela224[[#This Row],[DESPESAS]]+Tabela224[[#This Row],[IPI]]+Tabela224[[#This Row],[Vl. Produto]])*Tabela224[[#This Row],[Aliq.%]]</f>
        <v>0</v>
      </c>
    </row>
    <row r="37" spans="13:19" x14ac:dyDescent="0.25">
      <c r="M37" s="46"/>
      <c r="N37" s="46"/>
      <c r="O37" s="46"/>
      <c r="P37" s="46"/>
      <c r="R37" s="15">
        <v>7.0000000000000007E-2</v>
      </c>
      <c r="S37" s="18">
        <f>(Tabela224[[#This Row],[FRETE]]+Tabela224[[#This Row],[DESPESAS]]+Tabela224[[#This Row],[IPI]]+Tabela224[[#This Row],[Vl. Produto]])*Tabela224[[#This Row],[Aliq.%]]</f>
        <v>0</v>
      </c>
    </row>
    <row r="38" spans="13:19" x14ac:dyDescent="0.25">
      <c r="M38" s="46"/>
      <c r="N38" s="46"/>
      <c r="O38" s="46"/>
      <c r="P38" s="46"/>
      <c r="R38" s="15">
        <v>7.0000000000000007E-2</v>
      </c>
      <c r="S38" s="18">
        <f>(Tabela224[[#This Row],[FRETE]]+Tabela224[[#This Row],[DESPESAS]]+Tabela224[[#This Row],[IPI]]+Tabela224[[#This Row],[Vl. Produto]])*Tabela224[[#This Row],[Aliq.%]]</f>
        <v>0</v>
      </c>
    </row>
    <row r="39" spans="13:19" x14ac:dyDescent="0.25">
      <c r="M39" s="46"/>
      <c r="N39" s="46"/>
      <c r="O39" s="46"/>
      <c r="P39" s="46"/>
      <c r="R39" s="15">
        <v>7.0000000000000007E-2</v>
      </c>
      <c r="S39" s="18">
        <f>(Tabela224[[#This Row],[FRETE]]+Tabela224[[#This Row],[DESPESAS]]+Tabela224[[#This Row],[IPI]]+Tabela224[[#This Row],[Vl. Produto]])*Tabela224[[#This Row],[Aliq.%]]</f>
        <v>0</v>
      </c>
    </row>
    <row r="40" spans="13:19" x14ac:dyDescent="0.25">
      <c r="M40" s="46"/>
      <c r="N40" s="46"/>
      <c r="O40" s="46"/>
      <c r="P40" s="46"/>
      <c r="R40" s="15">
        <v>7.0000000000000007E-2</v>
      </c>
      <c r="S40" s="18">
        <f>(Tabela224[[#This Row],[FRETE]]+Tabela224[[#This Row],[DESPESAS]]+Tabela224[[#This Row],[IPI]]+Tabela224[[#This Row],[Vl. Produto]])*Tabela224[[#This Row],[Aliq.%]]</f>
        <v>0</v>
      </c>
    </row>
    <row r="41" spans="13:19" x14ac:dyDescent="0.25">
      <c r="M41" s="46"/>
      <c r="N41" s="46"/>
      <c r="O41" s="46"/>
      <c r="P41" s="46"/>
      <c r="R41" s="15">
        <v>7.0000000000000007E-2</v>
      </c>
      <c r="S41" s="18">
        <f>(Tabela224[[#This Row],[FRETE]]+Tabela224[[#This Row],[DESPESAS]]+Tabela224[[#This Row],[IPI]]+Tabela224[[#This Row],[Vl. Produto]])*Tabela224[[#This Row],[Aliq.%]]</f>
        <v>0</v>
      </c>
    </row>
    <row r="42" spans="13:19" x14ac:dyDescent="0.25">
      <c r="M42" s="46"/>
      <c r="N42" s="46"/>
      <c r="O42" s="46"/>
      <c r="P42" s="46"/>
      <c r="R42" s="15">
        <v>7.0000000000000007E-2</v>
      </c>
      <c r="S42" s="18">
        <f>(Tabela224[[#This Row],[FRETE]]+Tabela224[[#This Row],[DESPESAS]]+Tabela224[[#This Row],[IPI]]+Tabela224[[#This Row],[Vl. Produto]])*Tabela224[[#This Row],[Aliq.%]]</f>
        <v>0</v>
      </c>
    </row>
    <row r="43" spans="13:19" x14ac:dyDescent="0.25">
      <c r="M43" s="46"/>
      <c r="N43" s="46"/>
      <c r="O43" s="46"/>
      <c r="P43" s="46"/>
      <c r="R43" s="15">
        <v>7.0000000000000007E-2</v>
      </c>
      <c r="S43" s="18">
        <f>(Tabela224[[#This Row],[FRETE]]+Tabela224[[#This Row],[DESPESAS]]+Tabela224[[#This Row],[IPI]]+Tabela224[[#This Row],[Vl. Produto]])*Tabela224[[#This Row],[Aliq.%]]</f>
        <v>0</v>
      </c>
    </row>
    <row r="44" spans="13:19" x14ac:dyDescent="0.25">
      <c r="M44" s="46"/>
      <c r="N44" s="46"/>
      <c r="O44" s="46"/>
      <c r="P44" s="46"/>
      <c r="R44" s="15">
        <v>7.0000000000000007E-2</v>
      </c>
      <c r="S44" s="18">
        <f>(Tabela224[[#This Row],[FRETE]]+Tabela224[[#This Row],[DESPESAS]]+Tabela224[[#This Row],[IPI]]+Tabela224[[#This Row],[Vl. Produto]])*Tabela224[[#This Row],[Aliq.%]]</f>
        <v>0</v>
      </c>
    </row>
    <row r="45" spans="13:19" x14ac:dyDescent="0.25">
      <c r="M45" s="46"/>
      <c r="N45" s="46"/>
      <c r="O45" s="46"/>
      <c r="P45" s="46"/>
      <c r="R45" s="15">
        <v>7.0000000000000007E-2</v>
      </c>
      <c r="S45" s="18">
        <f>(Tabela224[[#This Row],[FRETE]]+Tabela224[[#This Row],[DESPESAS]]+Tabela224[[#This Row],[IPI]]+Tabela224[[#This Row],[Vl. Produto]])*Tabela224[[#This Row],[Aliq.%]]</f>
        <v>0</v>
      </c>
    </row>
    <row r="46" spans="13:19" x14ac:dyDescent="0.25">
      <c r="M46" s="46"/>
      <c r="N46" s="46"/>
      <c r="O46" s="46"/>
      <c r="P46" s="46"/>
      <c r="R46" s="15">
        <v>7.0000000000000007E-2</v>
      </c>
      <c r="S46" s="18">
        <f>(Tabela224[[#This Row],[FRETE]]+Tabela224[[#This Row],[DESPESAS]]+Tabela224[[#This Row],[IPI]]+Tabela224[[#This Row],[Vl. Produto]])*Tabela224[[#This Row],[Aliq.%]]</f>
        <v>0</v>
      </c>
    </row>
    <row r="47" spans="13:19" x14ac:dyDescent="0.25">
      <c r="M47" s="46"/>
      <c r="N47" s="46"/>
      <c r="O47" s="46"/>
      <c r="P47" s="46"/>
      <c r="R47" s="15">
        <v>7.0000000000000007E-2</v>
      </c>
      <c r="S47" s="18">
        <f>(Tabela224[[#This Row],[FRETE]]+Tabela224[[#This Row],[DESPESAS]]+Tabela224[[#This Row],[IPI]]+Tabela224[[#This Row],[Vl. Produto]])*Tabela224[[#This Row],[Aliq.%]]</f>
        <v>0</v>
      </c>
    </row>
    <row r="48" spans="13:19" x14ac:dyDescent="0.25">
      <c r="M48" s="46"/>
      <c r="N48" s="46"/>
      <c r="O48" s="46"/>
      <c r="P48" s="46"/>
      <c r="R48" s="15">
        <v>7.0000000000000007E-2</v>
      </c>
      <c r="S48" s="18">
        <f>(Tabela224[[#This Row],[FRETE]]+Tabela224[[#This Row],[DESPESAS]]+Tabela224[[#This Row],[IPI]]+Tabela224[[#This Row],[Vl. Produto]])*Tabela224[[#This Row],[Aliq.%]]</f>
        <v>0</v>
      </c>
    </row>
    <row r="49" spans="13:19" x14ac:dyDescent="0.25">
      <c r="M49" s="46"/>
      <c r="N49" s="46"/>
      <c r="O49" s="46"/>
      <c r="P49" s="46"/>
      <c r="R49" s="15">
        <v>7.0000000000000007E-2</v>
      </c>
      <c r="S49" s="18">
        <f>(Tabela224[[#This Row],[FRETE]]+Tabela224[[#This Row],[DESPESAS]]+Tabela224[[#This Row],[IPI]]+Tabela224[[#This Row],[Vl. Produto]])*Tabela224[[#This Row],[Aliq.%]]</f>
        <v>0</v>
      </c>
    </row>
    <row r="50" spans="13:19" x14ac:dyDescent="0.25">
      <c r="M50" s="46"/>
      <c r="N50" s="46"/>
      <c r="O50" s="46"/>
      <c r="P50" s="46"/>
      <c r="R50" s="15">
        <v>7.0000000000000007E-2</v>
      </c>
      <c r="S50" s="18">
        <f>(Tabela224[[#This Row],[FRETE]]+Tabela224[[#This Row],[DESPESAS]]+Tabela224[[#This Row],[IPI]]+Tabela224[[#This Row],[Vl. Produto]])*Tabela224[[#This Row],[Aliq.%]]</f>
        <v>0</v>
      </c>
    </row>
    <row r="51" spans="13:19" x14ac:dyDescent="0.25">
      <c r="M51" s="46"/>
      <c r="N51" s="46"/>
      <c r="O51" s="46"/>
      <c r="P51" s="46"/>
      <c r="R51" s="15">
        <v>7.0000000000000007E-2</v>
      </c>
      <c r="S51" s="18">
        <f>(Tabela224[[#This Row],[FRETE]]+Tabela224[[#This Row],[DESPESAS]]+Tabela224[[#This Row],[IPI]]+Tabela224[[#This Row],[Vl. Produto]])*Tabela224[[#This Row],[Aliq.%]]</f>
        <v>0</v>
      </c>
    </row>
    <row r="52" spans="13:19" x14ac:dyDescent="0.25">
      <c r="M52" s="46"/>
      <c r="N52" s="46"/>
      <c r="O52" s="46"/>
      <c r="P52" s="46"/>
      <c r="R52" s="15">
        <v>7.0000000000000007E-2</v>
      </c>
      <c r="S52" s="18">
        <f>(Tabela224[[#This Row],[FRETE]]+Tabela224[[#This Row],[DESPESAS]]+Tabela224[[#This Row],[IPI]]+Tabela224[[#This Row],[Vl. Produto]])*Tabela224[[#This Row],[Aliq.%]]</f>
        <v>0</v>
      </c>
    </row>
    <row r="53" spans="13:19" x14ac:dyDescent="0.25">
      <c r="M53" s="46"/>
      <c r="N53" s="46"/>
      <c r="O53" s="46"/>
      <c r="P53" s="46"/>
      <c r="R53" s="15">
        <v>7.0000000000000007E-2</v>
      </c>
      <c r="S53" s="18">
        <f>(Tabela224[[#This Row],[FRETE]]+Tabela224[[#This Row],[DESPESAS]]+Tabela224[[#This Row],[IPI]]+Tabela224[[#This Row],[Vl. Produto]])*Tabela224[[#This Row],[Aliq.%]]</f>
        <v>0</v>
      </c>
    </row>
    <row r="54" spans="13:19" x14ac:dyDescent="0.25">
      <c r="M54" s="46"/>
      <c r="N54" s="46"/>
      <c r="O54" s="46"/>
      <c r="P54" s="46"/>
      <c r="R54" s="15">
        <v>7.0000000000000007E-2</v>
      </c>
      <c r="S54" s="18">
        <f>(Tabela224[[#This Row],[FRETE]]+Tabela224[[#This Row],[DESPESAS]]+Tabela224[[#This Row],[IPI]]+Tabela224[[#This Row],[Vl. Produto]])*Tabela224[[#This Row],[Aliq.%]]</f>
        <v>0</v>
      </c>
    </row>
    <row r="55" spans="13:19" x14ac:dyDescent="0.25">
      <c r="M55" s="46"/>
      <c r="N55" s="46"/>
      <c r="O55" s="46"/>
      <c r="P55" s="46"/>
      <c r="R55" s="15">
        <v>7.0000000000000007E-2</v>
      </c>
      <c r="S55" s="18">
        <f>(Tabela224[[#This Row],[FRETE]]+Tabela224[[#This Row],[DESPESAS]]+Tabela224[[#This Row],[IPI]]+Tabela224[[#This Row],[Vl. Produto]])*Tabela224[[#This Row],[Aliq.%]]</f>
        <v>0</v>
      </c>
    </row>
    <row r="56" spans="13:19" x14ac:dyDescent="0.25">
      <c r="M56" s="46"/>
      <c r="N56" s="46"/>
      <c r="O56" s="46"/>
      <c r="P56" s="46"/>
      <c r="R56" s="15">
        <v>7.0000000000000007E-2</v>
      </c>
      <c r="S56" s="18">
        <f>(Tabela224[[#This Row],[FRETE]]+Tabela224[[#This Row],[DESPESAS]]+Tabela224[[#This Row],[IPI]]+Tabela224[[#This Row],[Vl. Produto]])*Tabela224[[#This Row],[Aliq.%]]</f>
        <v>0</v>
      </c>
    </row>
    <row r="57" spans="13:19" x14ac:dyDescent="0.25">
      <c r="M57" s="46"/>
      <c r="N57" s="46"/>
      <c r="O57" s="46"/>
      <c r="P57" s="46"/>
      <c r="R57" s="15">
        <v>7.0000000000000007E-2</v>
      </c>
      <c r="S57" s="18">
        <f>(Tabela224[[#This Row],[FRETE]]+Tabela224[[#This Row],[DESPESAS]]+Tabela224[[#This Row],[IPI]]+Tabela224[[#This Row],[Vl. Produto]])*Tabela224[[#This Row],[Aliq.%]]</f>
        <v>0</v>
      </c>
    </row>
    <row r="58" spans="13:19" x14ac:dyDescent="0.25">
      <c r="M58" s="46"/>
      <c r="N58" s="46"/>
      <c r="O58" s="46"/>
      <c r="P58" s="46"/>
      <c r="R58" s="15">
        <v>7.0000000000000007E-2</v>
      </c>
      <c r="S58" s="18">
        <f>(Tabela224[[#This Row],[FRETE]]+Tabela224[[#This Row],[DESPESAS]]+Tabela224[[#This Row],[IPI]]+Tabela224[[#This Row],[Vl. Produto]])*Tabela224[[#This Row],[Aliq.%]]</f>
        <v>0</v>
      </c>
    </row>
    <row r="59" spans="13:19" x14ac:dyDescent="0.25">
      <c r="M59" s="46"/>
      <c r="N59" s="46"/>
      <c r="O59" s="46"/>
      <c r="P59" s="46"/>
      <c r="R59" s="15">
        <v>7.0000000000000007E-2</v>
      </c>
      <c r="S59" s="18">
        <f>(Tabela224[[#This Row],[FRETE]]+Tabela224[[#This Row],[DESPESAS]]+Tabela224[[#This Row],[IPI]]+Tabela224[[#This Row],[Vl. Produto]])*Tabela224[[#This Row],[Aliq.%]]</f>
        <v>0</v>
      </c>
    </row>
    <row r="60" spans="13:19" x14ac:dyDescent="0.25">
      <c r="M60" s="46"/>
      <c r="N60" s="46"/>
      <c r="O60" s="46"/>
      <c r="P60" s="46"/>
      <c r="R60" s="15">
        <v>7.0000000000000007E-2</v>
      </c>
      <c r="S60" s="18">
        <f>(Tabela224[[#This Row],[FRETE]]+Tabela224[[#This Row],[DESPESAS]]+Tabela224[[#This Row],[IPI]]+Tabela224[[#This Row],[Vl. Produto]])*Tabela224[[#This Row],[Aliq.%]]</f>
        <v>0</v>
      </c>
    </row>
    <row r="61" spans="13:19" x14ac:dyDescent="0.25">
      <c r="M61" s="46"/>
      <c r="N61" s="46"/>
      <c r="O61" s="46"/>
      <c r="P61" s="46"/>
      <c r="R61" s="15">
        <v>7.0000000000000007E-2</v>
      </c>
      <c r="S61" s="18">
        <f>(Tabela224[[#This Row],[FRETE]]+Tabela224[[#This Row],[DESPESAS]]+Tabela224[[#This Row],[IPI]]+Tabela224[[#This Row],[Vl. Produto]])*Tabela224[[#This Row],[Aliq.%]]</f>
        <v>0</v>
      </c>
    </row>
    <row r="62" spans="13:19" x14ac:dyDescent="0.25">
      <c r="M62" s="46"/>
      <c r="N62" s="46"/>
      <c r="O62" s="46"/>
      <c r="P62" s="46"/>
      <c r="R62" s="15">
        <v>7.0000000000000007E-2</v>
      </c>
      <c r="S62" s="18">
        <f>(Tabela224[[#This Row],[FRETE]]+Tabela224[[#This Row],[DESPESAS]]+Tabela224[[#This Row],[IPI]]+Tabela224[[#This Row],[Vl. Produto]])*Tabela224[[#This Row],[Aliq.%]]</f>
        <v>0</v>
      </c>
    </row>
    <row r="63" spans="13:19" x14ac:dyDescent="0.25">
      <c r="M63" s="46"/>
      <c r="N63" s="46"/>
      <c r="O63" s="46"/>
      <c r="P63" s="46"/>
      <c r="R63" s="15">
        <v>7.0000000000000007E-2</v>
      </c>
      <c r="S63" s="18">
        <f>(Tabela224[[#This Row],[FRETE]]+Tabela224[[#This Row],[DESPESAS]]+Tabela224[[#This Row],[IPI]]+Tabela224[[#This Row],[Vl. Produto]])*Tabela224[[#This Row],[Aliq.%]]</f>
        <v>0</v>
      </c>
    </row>
    <row r="64" spans="13:19" x14ac:dyDescent="0.25">
      <c r="M64" s="46"/>
      <c r="N64" s="46"/>
      <c r="O64" s="46"/>
      <c r="P64" s="46"/>
      <c r="R64" s="15">
        <v>7.0000000000000007E-2</v>
      </c>
      <c r="S64" s="18">
        <f>(Tabela224[[#This Row],[FRETE]]+Tabela224[[#This Row],[DESPESAS]]+Tabela224[[#This Row],[IPI]]+Tabela224[[#This Row],[Vl. Produto]])*Tabela224[[#This Row],[Aliq.%]]</f>
        <v>0</v>
      </c>
    </row>
    <row r="65" spans="13:19" x14ac:dyDescent="0.25">
      <c r="M65" s="46"/>
      <c r="N65" s="46"/>
      <c r="O65" s="46"/>
      <c r="P65" s="46"/>
      <c r="R65" s="15">
        <v>7.0000000000000007E-2</v>
      </c>
      <c r="S65" s="18">
        <f>(Tabela224[[#This Row],[FRETE]]+Tabela224[[#This Row],[DESPESAS]]+Tabela224[[#This Row],[IPI]]+Tabela224[[#This Row],[Vl. Produto]])*Tabela224[[#This Row],[Aliq.%]]</f>
        <v>0</v>
      </c>
    </row>
    <row r="66" spans="13:19" x14ac:dyDescent="0.25">
      <c r="M66" s="46"/>
      <c r="N66" s="46"/>
      <c r="O66" s="46"/>
      <c r="P66" s="46"/>
      <c r="R66" s="15">
        <v>7.0000000000000007E-2</v>
      </c>
      <c r="S66" s="18">
        <f>(Tabela224[[#This Row],[FRETE]]+Tabela224[[#This Row],[DESPESAS]]+Tabela224[[#This Row],[IPI]]+Tabela224[[#This Row],[Vl. Produto]])*Tabela224[[#This Row],[Aliq.%]]</f>
        <v>0</v>
      </c>
    </row>
    <row r="67" spans="13:19" x14ac:dyDescent="0.25">
      <c r="M67" s="46"/>
      <c r="N67" s="46"/>
      <c r="O67" s="46"/>
      <c r="P67" s="46"/>
      <c r="R67" s="15">
        <v>7.0000000000000007E-2</v>
      </c>
      <c r="S67" s="18">
        <f>(Tabela224[[#This Row],[FRETE]]+Tabela224[[#This Row],[DESPESAS]]+Tabela224[[#This Row],[IPI]]+Tabela224[[#This Row],[Vl. Produto]])*Tabela224[[#This Row],[Aliq.%]]</f>
        <v>0</v>
      </c>
    </row>
    <row r="68" spans="13:19" x14ac:dyDescent="0.25">
      <c r="M68" s="46"/>
      <c r="N68" s="46"/>
      <c r="O68" s="46"/>
      <c r="P68" s="46"/>
      <c r="R68" s="15">
        <v>7.0000000000000007E-2</v>
      </c>
      <c r="S68" s="18">
        <f>(Tabela224[[#This Row],[FRETE]]+Tabela224[[#This Row],[DESPESAS]]+Tabela224[[#This Row],[IPI]]+Tabela224[[#This Row],[Vl. Produto]])*Tabela224[[#This Row],[Aliq.%]]</f>
        <v>0</v>
      </c>
    </row>
    <row r="69" spans="13:19" x14ac:dyDescent="0.25">
      <c r="M69" s="46"/>
      <c r="N69" s="46"/>
      <c r="O69" s="46"/>
      <c r="P69" s="46"/>
      <c r="R69" s="15">
        <v>7.0000000000000007E-2</v>
      </c>
      <c r="S69" s="18">
        <f>(Tabela224[[#This Row],[FRETE]]+Tabela224[[#This Row],[DESPESAS]]+Tabela224[[#This Row],[IPI]]+Tabela224[[#This Row],[Vl. Produto]])*Tabela224[[#This Row],[Aliq.%]]</f>
        <v>0</v>
      </c>
    </row>
    <row r="70" spans="13:19" x14ac:dyDescent="0.25">
      <c r="M70" s="46"/>
      <c r="N70" s="46"/>
      <c r="O70" s="46"/>
      <c r="P70" s="46"/>
      <c r="R70" s="15">
        <v>7.0000000000000007E-2</v>
      </c>
      <c r="S70" s="18">
        <f>(Tabela224[[#This Row],[FRETE]]+Tabela224[[#This Row],[DESPESAS]]+Tabela224[[#This Row],[IPI]]+Tabela224[[#This Row],[Vl. Produto]])*Tabela224[[#This Row],[Aliq.%]]</f>
        <v>0</v>
      </c>
    </row>
    <row r="71" spans="13:19" x14ac:dyDescent="0.25">
      <c r="M71" s="46"/>
      <c r="N71" s="46"/>
      <c r="O71" s="46"/>
      <c r="P71" s="46"/>
      <c r="R71" s="15">
        <v>7.0000000000000007E-2</v>
      </c>
      <c r="S71" s="18">
        <f>(Tabela224[[#This Row],[FRETE]]+Tabela224[[#This Row],[DESPESAS]]+Tabela224[[#This Row],[IPI]]+Tabela224[[#This Row],[Vl. Produto]])*Tabela224[[#This Row],[Aliq.%]]</f>
        <v>0</v>
      </c>
    </row>
    <row r="72" spans="13:19" x14ac:dyDescent="0.25">
      <c r="M72" s="46"/>
      <c r="N72" s="46"/>
      <c r="O72" s="46"/>
      <c r="P72" s="46"/>
      <c r="R72" s="15">
        <v>7.0000000000000007E-2</v>
      </c>
      <c r="S72" s="18">
        <f>(Tabela224[[#This Row],[FRETE]]+Tabela224[[#This Row],[DESPESAS]]+Tabela224[[#This Row],[IPI]]+Tabela224[[#This Row],[Vl. Produto]])*Tabela224[[#This Row],[Aliq.%]]</f>
        <v>0</v>
      </c>
    </row>
    <row r="73" spans="13:19" x14ac:dyDescent="0.25">
      <c r="M73" s="46"/>
      <c r="N73" s="46"/>
      <c r="O73" s="46"/>
      <c r="P73" s="46"/>
      <c r="R73" s="15">
        <v>7.0000000000000007E-2</v>
      </c>
      <c r="S73" s="18">
        <f>(Tabela224[[#This Row],[FRETE]]+Tabela224[[#This Row],[DESPESAS]]+Tabela224[[#This Row],[IPI]]+Tabela224[[#This Row],[Vl. Produto]])*Tabela224[[#This Row],[Aliq.%]]</f>
        <v>0</v>
      </c>
    </row>
    <row r="74" spans="13:19" x14ac:dyDescent="0.25">
      <c r="M74" s="46"/>
      <c r="N74" s="46"/>
      <c r="O74" s="46"/>
      <c r="P74" s="46"/>
      <c r="R74" s="15">
        <v>7.0000000000000007E-2</v>
      </c>
      <c r="S74" s="18">
        <f>(Tabela224[[#This Row],[FRETE]]+Tabela224[[#This Row],[DESPESAS]]+Tabela224[[#This Row],[IPI]]+Tabela224[[#This Row],[Vl. Produto]])*Tabela224[[#This Row],[Aliq.%]]</f>
        <v>0</v>
      </c>
    </row>
    <row r="75" spans="13:19" x14ac:dyDescent="0.25">
      <c r="M75" s="46"/>
      <c r="N75" s="46"/>
      <c r="O75" s="46"/>
      <c r="P75" s="46"/>
      <c r="R75" s="15">
        <v>7.0000000000000007E-2</v>
      </c>
      <c r="S75" s="18">
        <f>(Tabela224[[#This Row],[FRETE]]+Tabela224[[#This Row],[DESPESAS]]+Tabela224[[#This Row],[IPI]]+Tabela224[[#This Row],[Vl. Produto]])*Tabela224[[#This Row],[Aliq.%]]</f>
        <v>0</v>
      </c>
    </row>
    <row r="76" spans="13:19" x14ac:dyDescent="0.25">
      <c r="M76" s="46"/>
      <c r="N76" s="46"/>
      <c r="O76" s="46"/>
      <c r="P76" s="46"/>
      <c r="R76" s="15">
        <v>7.0000000000000007E-2</v>
      </c>
      <c r="S76" s="18">
        <f>(Tabela224[[#This Row],[FRETE]]+Tabela224[[#This Row],[DESPESAS]]+Tabela224[[#This Row],[IPI]]+Tabela224[[#This Row],[Vl. Produto]])*Tabela224[[#This Row],[Aliq.%]]</f>
        <v>0</v>
      </c>
    </row>
    <row r="77" spans="13:19" x14ac:dyDescent="0.25">
      <c r="M77" s="46"/>
      <c r="N77" s="46"/>
      <c r="O77" s="46"/>
      <c r="P77" s="46"/>
      <c r="R77" s="15">
        <v>7.0000000000000007E-2</v>
      </c>
      <c r="S77" s="18">
        <f>(Tabela224[[#This Row],[FRETE]]+Tabela224[[#This Row],[DESPESAS]]+Tabela224[[#This Row],[IPI]]+Tabela224[[#This Row],[Vl. Produto]])*Tabela224[[#This Row],[Aliq.%]]</f>
        <v>0</v>
      </c>
    </row>
    <row r="78" spans="13:19" x14ac:dyDescent="0.25">
      <c r="M78" s="46"/>
      <c r="N78" s="46"/>
      <c r="O78" s="46"/>
      <c r="P78" s="46"/>
      <c r="R78" s="15">
        <v>7.0000000000000007E-2</v>
      </c>
      <c r="S78" s="18">
        <f>(Tabela224[[#This Row],[FRETE]]+Tabela224[[#This Row],[DESPESAS]]+Tabela224[[#This Row],[IPI]]+Tabela224[[#This Row],[Vl. Produto]])*Tabela224[[#This Row],[Aliq.%]]</f>
        <v>0</v>
      </c>
    </row>
    <row r="79" spans="13:19" x14ac:dyDescent="0.25">
      <c r="M79" s="46"/>
      <c r="N79" s="46"/>
      <c r="O79" s="46"/>
      <c r="P79" s="46"/>
      <c r="R79" s="15">
        <v>7.0000000000000007E-2</v>
      </c>
      <c r="S79" s="18">
        <f>(Tabela224[[#This Row],[FRETE]]+Tabela224[[#This Row],[DESPESAS]]+Tabela224[[#This Row],[IPI]]+Tabela224[[#This Row],[Vl. Produto]])*Tabela224[[#This Row],[Aliq.%]]</f>
        <v>0</v>
      </c>
    </row>
    <row r="80" spans="13:19" x14ac:dyDescent="0.25">
      <c r="M80" s="46"/>
      <c r="N80" s="46"/>
      <c r="O80" s="46"/>
      <c r="P80" s="46"/>
      <c r="R80" s="15">
        <v>7.0000000000000007E-2</v>
      </c>
      <c r="S80" s="18">
        <f>(Tabela224[[#This Row],[FRETE]]+Tabela224[[#This Row],[DESPESAS]]+Tabela224[[#This Row],[IPI]]+Tabela224[[#This Row],[Vl. Produto]])*Tabela224[[#This Row],[Aliq.%]]</f>
        <v>0</v>
      </c>
    </row>
    <row r="81" spans="13:19" x14ac:dyDescent="0.25">
      <c r="M81" s="46"/>
      <c r="N81" s="46"/>
      <c r="O81" s="46"/>
      <c r="P81" s="46"/>
      <c r="R81" s="15">
        <v>7.0000000000000007E-2</v>
      </c>
      <c r="S81" s="18">
        <f>(Tabela224[[#This Row],[FRETE]]+Tabela224[[#This Row],[DESPESAS]]+Tabela224[[#This Row],[IPI]]+Tabela224[[#This Row],[Vl. Produto]])*Tabela224[[#This Row],[Aliq.%]]</f>
        <v>0</v>
      </c>
    </row>
    <row r="82" spans="13:19" x14ac:dyDescent="0.25">
      <c r="M82" s="46"/>
      <c r="N82" s="46"/>
      <c r="O82" s="46"/>
      <c r="P82" s="46"/>
      <c r="R82" s="15">
        <v>7.0000000000000007E-2</v>
      </c>
      <c r="S82" s="18">
        <f>(Tabela224[[#This Row],[FRETE]]+Tabela224[[#This Row],[DESPESAS]]+Tabela224[[#This Row],[IPI]]+Tabela224[[#This Row],[Vl. Produto]])*Tabela224[[#This Row],[Aliq.%]]</f>
        <v>0</v>
      </c>
    </row>
    <row r="83" spans="13:19" x14ac:dyDescent="0.25">
      <c r="M83" s="46"/>
      <c r="N83" s="46"/>
      <c r="O83" s="46"/>
      <c r="P83" s="46"/>
      <c r="R83" s="15">
        <v>7.0000000000000007E-2</v>
      </c>
      <c r="S83" s="18">
        <f>(Tabela224[[#This Row],[FRETE]]+Tabela224[[#This Row],[DESPESAS]]+Tabela224[[#This Row],[IPI]]+Tabela224[[#This Row],[Vl. Produto]])*Tabela224[[#This Row],[Aliq.%]]</f>
        <v>0</v>
      </c>
    </row>
    <row r="84" spans="13:19" x14ac:dyDescent="0.25">
      <c r="M84" s="46"/>
      <c r="N84" s="46"/>
      <c r="O84" s="46"/>
      <c r="P84" s="46"/>
      <c r="R84" s="15">
        <v>7.0000000000000007E-2</v>
      </c>
      <c r="S84" s="18">
        <f>(Tabela224[[#This Row],[FRETE]]+Tabela224[[#This Row],[DESPESAS]]+Tabela224[[#This Row],[IPI]]+Tabela224[[#This Row],[Vl. Produto]])*Tabela224[[#This Row],[Aliq.%]]</f>
        <v>0</v>
      </c>
    </row>
    <row r="85" spans="13:19" x14ac:dyDescent="0.25">
      <c r="M85" s="46"/>
      <c r="N85" s="46"/>
      <c r="O85" s="46"/>
      <c r="P85" s="46"/>
      <c r="R85" s="15">
        <v>7.0000000000000007E-2</v>
      </c>
      <c r="S85" s="18">
        <f>(Tabela224[[#This Row],[FRETE]]+Tabela224[[#This Row],[DESPESAS]]+Tabela224[[#This Row],[IPI]]+Tabela224[[#This Row],[Vl. Produto]])*Tabela224[[#This Row],[Aliq.%]]</f>
        <v>0</v>
      </c>
    </row>
    <row r="86" spans="13:19" x14ac:dyDescent="0.25">
      <c r="M86" s="46"/>
      <c r="N86" s="46"/>
      <c r="O86" s="46"/>
      <c r="P86" s="46"/>
      <c r="R86" s="15">
        <v>7.0000000000000007E-2</v>
      </c>
      <c r="S86" s="18">
        <f>(Tabela224[[#This Row],[FRETE]]+Tabela224[[#This Row],[DESPESAS]]+Tabela224[[#This Row],[IPI]]+Tabela224[[#This Row],[Vl. Produto]])*Tabela224[[#This Row],[Aliq.%]]</f>
        <v>0</v>
      </c>
    </row>
    <row r="87" spans="13:19" x14ac:dyDescent="0.25">
      <c r="M87" s="46"/>
      <c r="N87" s="46"/>
      <c r="O87" s="46"/>
      <c r="P87" s="46"/>
      <c r="R87" s="15">
        <v>7.0000000000000007E-2</v>
      </c>
      <c r="S87" s="18">
        <f>(Tabela224[[#This Row],[FRETE]]+Tabela224[[#This Row],[DESPESAS]]+Tabela224[[#This Row],[IPI]]+Tabela224[[#This Row],[Vl. Produto]])*Tabela224[[#This Row],[Aliq.%]]</f>
        <v>0</v>
      </c>
    </row>
    <row r="88" spans="13:19" x14ac:dyDescent="0.25">
      <c r="M88" s="46"/>
      <c r="N88" s="46"/>
      <c r="O88" s="46"/>
      <c r="P88" s="46"/>
      <c r="R88" s="15">
        <v>7.0000000000000007E-2</v>
      </c>
      <c r="S88" s="18">
        <f>(Tabela224[[#This Row],[FRETE]]+Tabela224[[#This Row],[DESPESAS]]+Tabela224[[#This Row],[IPI]]+Tabela224[[#This Row],[Vl. Produto]])*Tabela224[[#This Row],[Aliq.%]]</f>
        <v>0</v>
      </c>
    </row>
    <row r="89" spans="13:19" x14ac:dyDescent="0.25">
      <c r="M89" s="46"/>
      <c r="N89" s="46"/>
      <c r="O89" s="46"/>
      <c r="P89" s="46"/>
      <c r="R89" s="15">
        <v>7.0000000000000007E-2</v>
      </c>
      <c r="S89" s="18">
        <f>(Tabela224[[#This Row],[FRETE]]+Tabela224[[#This Row],[DESPESAS]]+Tabela224[[#This Row],[IPI]]+Tabela224[[#This Row],[Vl. Produto]])*Tabela224[[#This Row],[Aliq.%]]</f>
        <v>0</v>
      </c>
    </row>
    <row r="90" spans="13:19" x14ac:dyDescent="0.25">
      <c r="M90" s="46"/>
      <c r="N90" s="46"/>
      <c r="O90" s="46"/>
      <c r="P90" s="46"/>
      <c r="R90" s="15">
        <v>7.0000000000000007E-2</v>
      </c>
      <c r="S90" s="18">
        <f>(Tabela224[[#This Row],[FRETE]]+Tabela224[[#This Row],[DESPESAS]]+Tabela224[[#This Row],[IPI]]+Tabela224[[#This Row],[Vl. Produto]])*Tabela224[[#This Row],[Aliq.%]]</f>
        <v>0</v>
      </c>
    </row>
    <row r="91" spans="13:19" x14ac:dyDescent="0.25">
      <c r="M91" s="46"/>
      <c r="N91" s="46"/>
      <c r="O91" s="46"/>
      <c r="P91" s="46"/>
      <c r="R91" s="15">
        <v>7.0000000000000007E-2</v>
      </c>
      <c r="S91" s="18">
        <f>(Tabela224[[#This Row],[FRETE]]+Tabela224[[#This Row],[DESPESAS]]+Tabela224[[#This Row],[IPI]]+Tabela224[[#This Row],[Vl. Produto]])*Tabela224[[#This Row],[Aliq.%]]</f>
        <v>0</v>
      </c>
    </row>
    <row r="92" spans="13:19" x14ac:dyDescent="0.25">
      <c r="M92" s="46"/>
      <c r="N92" s="46"/>
      <c r="O92" s="46"/>
      <c r="P92" s="46"/>
      <c r="R92" s="15">
        <v>7.0000000000000007E-2</v>
      </c>
      <c r="S92" s="18">
        <f>(Tabela224[[#This Row],[FRETE]]+Tabela224[[#This Row],[DESPESAS]]+Tabela224[[#This Row],[IPI]]+Tabela224[[#This Row],[Vl. Produto]])*Tabela224[[#This Row],[Aliq.%]]</f>
        <v>0</v>
      </c>
    </row>
    <row r="93" spans="13:19" x14ac:dyDescent="0.25">
      <c r="M93" s="46"/>
      <c r="N93" s="46"/>
      <c r="O93" s="46"/>
      <c r="P93" s="46"/>
      <c r="R93" s="15">
        <v>7.0000000000000007E-2</v>
      </c>
      <c r="S93" s="18">
        <f>(Tabela224[[#This Row],[FRETE]]+Tabela224[[#This Row],[DESPESAS]]+Tabela224[[#This Row],[IPI]]+Tabela224[[#This Row],[Vl. Produto]])*Tabela224[[#This Row],[Aliq.%]]</f>
        <v>0</v>
      </c>
    </row>
    <row r="94" spans="13:19" x14ac:dyDescent="0.25">
      <c r="M94" s="46"/>
      <c r="N94" s="46"/>
      <c r="O94" s="46"/>
      <c r="P94" s="46"/>
      <c r="R94" s="15">
        <v>7.0000000000000007E-2</v>
      </c>
      <c r="S94" s="18">
        <f>(Tabela224[[#This Row],[FRETE]]+Tabela224[[#This Row],[DESPESAS]]+Tabela224[[#This Row],[IPI]]+Tabela224[[#This Row],[Vl. Produto]])*Tabela224[[#This Row],[Aliq.%]]</f>
        <v>0</v>
      </c>
    </row>
    <row r="95" spans="13:19" x14ac:dyDescent="0.25">
      <c r="M95" s="46"/>
      <c r="N95" s="46"/>
      <c r="O95" s="46"/>
      <c r="P95" s="46"/>
      <c r="R95" s="15">
        <v>7.0000000000000007E-2</v>
      </c>
      <c r="S95" s="18">
        <f>(Tabela224[[#This Row],[FRETE]]+Tabela224[[#This Row],[DESPESAS]]+Tabela224[[#This Row],[IPI]]+Tabela224[[#This Row],[Vl. Produto]])*Tabela224[[#This Row],[Aliq.%]]</f>
        <v>0</v>
      </c>
    </row>
    <row r="96" spans="13:19" x14ac:dyDescent="0.25">
      <c r="M96" s="46"/>
      <c r="N96" s="46"/>
      <c r="O96" s="46"/>
      <c r="P96" s="46"/>
      <c r="R96" s="15">
        <v>7.0000000000000007E-2</v>
      </c>
      <c r="S96" s="18">
        <f>(Tabela224[[#This Row],[FRETE]]+Tabela224[[#This Row],[DESPESAS]]+Tabela224[[#This Row],[IPI]]+Tabela224[[#This Row],[Vl. Produto]])*Tabela224[[#This Row],[Aliq.%]]</f>
        <v>0</v>
      </c>
    </row>
    <row r="97" spans="13:19" x14ac:dyDescent="0.25">
      <c r="M97" s="46"/>
      <c r="N97" s="46"/>
      <c r="O97" s="46"/>
      <c r="P97" s="46"/>
      <c r="R97" s="15">
        <v>7.0000000000000007E-2</v>
      </c>
      <c r="S97" s="18">
        <f>(Tabela224[[#This Row],[FRETE]]+Tabela224[[#This Row],[DESPESAS]]+Tabela224[[#This Row],[IPI]]+Tabela224[[#This Row],[Vl. Produto]])*Tabela224[[#This Row],[Aliq.%]]</f>
        <v>0</v>
      </c>
    </row>
    <row r="98" spans="13:19" x14ac:dyDescent="0.25">
      <c r="M98" s="46"/>
      <c r="N98" s="46"/>
      <c r="O98" s="46"/>
      <c r="P98" s="46"/>
      <c r="R98" s="15">
        <v>7.0000000000000007E-2</v>
      </c>
      <c r="S98" s="18">
        <f>(Tabela224[[#This Row],[FRETE]]+Tabela224[[#This Row],[DESPESAS]]+Tabela224[[#This Row],[IPI]]+Tabela224[[#This Row],[Vl. Produto]])*Tabela224[[#This Row],[Aliq.%]]</f>
        <v>0</v>
      </c>
    </row>
    <row r="99" spans="13:19" x14ac:dyDescent="0.25">
      <c r="M99" s="46"/>
      <c r="N99" s="46"/>
      <c r="O99" s="46"/>
      <c r="P99" s="46"/>
      <c r="R99" s="15">
        <v>7.0000000000000007E-2</v>
      </c>
      <c r="S99" s="18">
        <f>(Tabela224[[#This Row],[FRETE]]+Tabela224[[#This Row],[DESPESAS]]+Tabela224[[#This Row],[IPI]]+Tabela224[[#This Row],[Vl. Produto]])*Tabela224[[#This Row],[Aliq.%]]</f>
        <v>0</v>
      </c>
    </row>
    <row r="100" spans="13:19" x14ac:dyDescent="0.25">
      <c r="M100" s="46"/>
      <c r="N100" s="46"/>
      <c r="O100" s="46"/>
      <c r="P100" s="46"/>
      <c r="R100" s="15">
        <v>7.0000000000000007E-2</v>
      </c>
      <c r="S100" s="18">
        <f>(Tabela224[[#This Row],[FRETE]]+Tabela224[[#This Row],[DESPESAS]]+Tabela224[[#This Row],[IPI]]+Tabela224[[#This Row],[Vl. Produto]])*Tabela224[[#This Row],[Aliq.%]]</f>
        <v>0</v>
      </c>
    </row>
    <row r="101" spans="13:19" x14ac:dyDescent="0.25">
      <c r="M101" s="46"/>
      <c r="N101" s="46"/>
      <c r="O101" s="46"/>
      <c r="P101" s="46"/>
      <c r="R101" s="15">
        <v>7.0000000000000007E-2</v>
      </c>
      <c r="S101" s="18">
        <f>(Tabela224[[#This Row],[FRETE]]+Tabela224[[#This Row],[DESPESAS]]+Tabela224[[#This Row],[IPI]]+Tabela224[[#This Row],[Vl. Produto]])*Tabela224[[#This Row],[Aliq.%]]</f>
        <v>0</v>
      </c>
    </row>
    <row r="102" spans="13:19" x14ac:dyDescent="0.25">
      <c r="M102" s="46"/>
      <c r="N102" s="46"/>
      <c r="O102" s="46"/>
      <c r="P102" s="46"/>
      <c r="R102" s="15">
        <v>7.0000000000000007E-2</v>
      </c>
      <c r="S102" s="18">
        <f>(Tabela224[[#This Row],[FRETE]]+Tabela224[[#This Row],[DESPESAS]]+Tabela224[[#This Row],[IPI]]+Tabela224[[#This Row],[Vl. Produto]])*Tabela224[[#This Row],[Aliq.%]]</f>
        <v>0</v>
      </c>
    </row>
    <row r="103" spans="13:19" x14ac:dyDescent="0.25">
      <c r="M103" s="46"/>
      <c r="N103" s="46"/>
      <c r="O103" s="46"/>
      <c r="P103" s="46"/>
      <c r="R103" s="15">
        <v>7.0000000000000007E-2</v>
      </c>
      <c r="S103" s="18">
        <f>(Tabela224[[#This Row],[FRETE]]+Tabela224[[#This Row],[DESPESAS]]+Tabela224[[#This Row],[IPI]]+Tabela224[[#This Row],[Vl. Produto]])*Tabela224[[#This Row],[Aliq.%]]</f>
        <v>0</v>
      </c>
    </row>
    <row r="104" spans="13:19" x14ac:dyDescent="0.25">
      <c r="M104" s="46"/>
      <c r="N104" s="46"/>
      <c r="O104" s="46"/>
      <c r="P104" s="46"/>
      <c r="R104" s="15">
        <v>7.0000000000000007E-2</v>
      </c>
      <c r="S104" s="18">
        <f>(Tabela224[[#This Row],[FRETE]]+Tabela224[[#This Row],[DESPESAS]]+Tabela224[[#This Row],[IPI]]+Tabela224[[#This Row],[Vl. Produto]])*Tabela224[[#This Row],[Aliq.%]]</f>
        <v>0</v>
      </c>
    </row>
    <row r="105" spans="13:19" x14ac:dyDescent="0.25">
      <c r="M105" s="46"/>
      <c r="N105" s="46"/>
      <c r="O105" s="46"/>
      <c r="P105" s="46"/>
      <c r="R105" s="15">
        <v>7.0000000000000007E-2</v>
      </c>
      <c r="S105" s="18">
        <f>(Tabela224[[#This Row],[FRETE]]+Tabela224[[#This Row],[DESPESAS]]+Tabela224[[#This Row],[IPI]]+Tabela224[[#This Row],[Vl. Produto]])*Tabela224[[#This Row],[Aliq.%]]</f>
        <v>0</v>
      </c>
    </row>
    <row r="106" spans="13:19" x14ac:dyDescent="0.25">
      <c r="M106" s="46"/>
      <c r="N106" s="46"/>
      <c r="O106" s="46"/>
      <c r="P106" s="46"/>
      <c r="R106" s="15">
        <v>7.0000000000000007E-2</v>
      </c>
      <c r="S106" s="18">
        <f>(Tabela224[[#This Row],[FRETE]]+Tabela224[[#This Row],[DESPESAS]]+Tabela224[[#This Row],[IPI]]+Tabela224[[#This Row],[Vl. Produto]])*Tabela224[[#This Row],[Aliq.%]]</f>
        <v>0</v>
      </c>
    </row>
    <row r="107" spans="13:19" x14ac:dyDescent="0.25">
      <c r="M107" s="46"/>
      <c r="N107" s="46"/>
      <c r="O107" s="46"/>
      <c r="P107" s="46"/>
      <c r="R107" s="15">
        <v>7.0000000000000007E-2</v>
      </c>
      <c r="S107" s="18">
        <f>(Tabela224[[#This Row],[FRETE]]+Tabela224[[#This Row],[DESPESAS]]+Tabela224[[#This Row],[IPI]]+Tabela224[[#This Row],[Vl. Produto]])*Tabela224[[#This Row],[Aliq.%]]</f>
        <v>0</v>
      </c>
    </row>
    <row r="108" spans="13:19" x14ac:dyDescent="0.25">
      <c r="M108" s="46"/>
      <c r="N108" s="46"/>
      <c r="O108" s="46"/>
      <c r="P108" s="46"/>
      <c r="R108" s="15">
        <v>7.0000000000000007E-2</v>
      </c>
      <c r="S108" s="18">
        <f>(Tabela224[[#This Row],[FRETE]]+Tabela224[[#This Row],[DESPESAS]]+Tabela224[[#This Row],[IPI]]+Tabela224[[#This Row],[Vl. Produto]])*Tabela224[[#This Row],[Aliq.%]]</f>
        <v>0</v>
      </c>
    </row>
    <row r="109" spans="13:19" x14ac:dyDescent="0.25">
      <c r="M109" s="46"/>
      <c r="N109" s="46"/>
      <c r="O109" s="46"/>
      <c r="P109" s="46"/>
      <c r="R109" s="15">
        <v>7.0000000000000007E-2</v>
      </c>
      <c r="S109" s="18">
        <f>(Tabela224[[#This Row],[FRETE]]+Tabela224[[#This Row],[DESPESAS]]+Tabela224[[#This Row],[IPI]]+Tabela224[[#This Row],[Vl. Produto]])*Tabela224[[#This Row],[Aliq.%]]</f>
        <v>0</v>
      </c>
    </row>
    <row r="110" spans="13:19" x14ac:dyDescent="0.25">
      <c r="M110" s="46"/>
      <c r="N110" s="46"/>
      <c r="O110" s="46"/>
      <c r="P110" s="46"/>
      <c r="R110" s="15">
        <v>7.0000000000000007E-2</v>
      </c>
      <c r="S110" s="18">
        <f>(Tabela224[[#This Row],[FRETE]]+Tabela224[[#This Row],[DESPESAS]]+Tabela224[[#This Row],[IPI]]+Tabela224[[#This Row],[Vl. Produto]])*Tabela224[[#This Row],[Aliq.%]]</f>
        <v>0</v>
      </c>
    </row>
    <row r="111" spans="13:19" x14ac:dyDescent="0.25">
      <c r="M111" s="46"/>
      <c r="N111" s="46"/>
      <c r="O111" s="46"/>
      <c r="P111" s="46"/>
      <c r="R111" s="15">
        <v>7.0000000000000007E-2</v>
      </c>
      <c r="S111" s="18">
        <f>(Tabela224[[#This Row],[FRETE]]+Tabela224[[#This Row],[DESPESAS]]+Tabela224[[#This Row],[IPI]]+Tabela224[[#This Row],[Vl. Produto]])*Tabela224[[#This Row],[Aliq.%]]</f>
        <v>0</v>
      </c>
    </row>
    <row r="112" spans="13:19" x14ac:dyDescent="0.25">
      <c r="M112" s="46"/>
      <c r="N112" s="46"/>
      <c r="O112" s="46"/>
      <c r="P112" s="46"/>
      <c r="R112" s="15">
        <v>7.0000000000000007E-2</v>
      </c>
      <c r="S112" s="18">
        <f>(Tabela224[[#This Row],[FRETE]]+Tabela224[[#This Row],[DESPESAS]]+Tabela224[[#This Row],[IPI]]+Tabela224[[#This Row],[Vl. Produto]])*Tabela224[[#This Row],[Aliq.%]]</f>
        <v>0</v>
      </c>
    </row>
    <row r="113" spans="13:19" x14ac:dyDescent="0.25">
      <c r="M113" s="46"/>
      <c r="N113" s="46"/>
      <c r="O113" s="46"/>
      <c r="P113" s="46"/>
      <c r="R113" s="15">
        <v>7.0000000000000007E-2</v>
      </c>
      <c r="S113" s="18">
        <f>(Tabela224[[#This Row],[FRETE]]+Tabela224[[#This Row],[DESPESAS]]+Tabela224[[#This Row],[IPI]]+Tabela224[[#This Row],[Vl. Produto]])*Tabela224[[#This Row],[Aliq.%]]</f>
        <v>0</v>
      </c>
    </row>
    <row r="114" spans="13:19" x14ac:dyDescent="0.25">
      <c r="M114" s="46"/>
      <c r="N114" s="46"/>
      <c r="O114" s="46"/>
      <c r="P114" s="46"/>
      <c r="R114" s="15">
        <v>7.0000000000000007E-2</v>
      </c>
      <c r="S114" s="18">
        <f>(Tabela224[[#This Row],[FRETE]]+Tabela224[[#This Row],[DESPESAS]]+Tabela224[[#This Row],[IPI]]+Tabela224[[#This Row],[Vl. Produto]])*Tabela224[[#This Row],[Aliq.%]]</f>
        <v>0</v>
      </c>
    </row>
    <row r="115" spans="13:19" x14ac:dyDescent="0.25">
      <c r="M115" s="46"/>
      <c r="N115" s="46"/>
      <c r="O115" s="46"/>
      <c r="P115" s="46"/>
      <c r="R115" s="15">
        <v>7.0000000000000007E-2</v>
      </c>
      <c r="S115" s="18">
        <f>(Tabela224[[#This Row],[FRETE]]+Tabela224[[#This Row],[DESPESAS]]+Tabela224[[#This Row],[IPI]]+Tabela224[[#This Row],[Vl. Produto]])*Tabela224[[#This Row],[Aliq.%]]</f>
        <v>0</v>
      </c>
    </row>
    <row r="116" spans="13:19" x14ac:dyDescent="0.25">
      <c r="M116" s="46"/>
      <c r="N116" s="46"/>
      <c r="O116" s="46"/>
      <c r="P116" s="46"/>
      <c r="R116" s="15">
        <v>7.0000000000000007E-2</v>
      </c>
      <c r="S116" s="18">
        <f>(Tabela224[[#This Row],[FRETE]]+Tabela224[[#This Row],[DESPESAS]]+Tabela224[[#This Row],[IPI]]+Tabela224[[#This Row],[Vl. Produto]])*Tabela224[[#This Row],[Aliq.%]]</f>
        <v>0</v>
      </c>
    </row>
    <row r="117" spans="13:19" x14ac:dyDescent="0.25">
      <c r="M117" s="46"/>
      <c r="N117" s="46"/>
      <c r="O117" s="46"/>
      <c r="P117" s="46"/>
      <c r="R117" s="15">
        <v>7.0000000000000007E-2</v>
      </c>
      <c r="S117" s="18">
        <f>(Tabela224[[#This Row],[FRETE]]+Tabela224[[#This Row],[DESPESAS]]+Tabela224[[#This Row],[IPI]]+Tabela224[[#This Row],[Vl. Produto]])*Tabela224[[#This Row],[Aliq.%]]</f>
        <v>0</v>
      </c>
    </row>
    <row r="118" spans="13:19" x14ac:dyDescent="0.25">
      <c r="M118" s="46"/>
      <c r="N118" s="46"/>
      <c r="O118" s="46"/>
      <c r="P118" s="46"/>
      <c r="R118" s="15">
        <v>7.0000000000000007E-2</v>
      </c>
      <c r="S118" s="18">
        <f>(Tabela224[[#This Row],[FRETE]]+Tabela224[[#This Row],[DESPESAS]]+Tabela224[[#This Row],[IPI]]+Tabela224[[#This Row],[Vl. Produto]])*Tabela224[[#This Row],[Aliq.%]]</f>
        <v>0</v>
      </c>
    </row>
    <row r="119" spans="13:19" x14ac:dyDescent="0.25">
      <c r="M119" s="46"/>
      <c r="N119" s="46"/>
      <c r="O119" s="46"/>
      <c r="P119" s="46"/>
      <c r="R119" s="15">
        <v>7.0000000000000007E-2</v>
      </c>
      <c r="S119" s="18">
        <f>(Tabela224[[#This Row],[FRETE]]+Tabela224[[#This Row],[DESPESAS]]+Tabela224[[#This Row],[IPI]]+Tabela224[[#This Row],[Vl. Produto]])*Tabela224[[#This Row],[Aliq.%]]</f>
        <v>0</v>
      </c>
    </row>
    <row r="120" spans="13:19" x14ac:dyDescent="0.25">
      <c r="M120" s="46"/>
      <c r="N120" s="46"/>
      <c r="O120" s="46"/>
      <c r="P120" s="46"/>
      <c r="R120" s="15">
        <v>7.0000000000000007E-2</v>
      </c>
      <c r="S120" s="18">
        <f>(Tabela224[[#This Row],[FRETE]]+Tabela224[[#This Row],[DESPESAS]]+Tabela224[[#This Row],[IPI]]+Tabela224[[#This Row],[Vl. Produto]])*Tabela224[[#This Row],[Aliq.%]]</f>
        <v>0</v>
      </c>
    </row>
    <row r="121" spans="13:19" x14ac:dyDescent="0.25">
      <c r="M121" s="46"/>
      <c r="N121" s="46"/>
      <c r="O121" s="46"/>
      <c r="P121" s="46"/>
      <c r="R121" s="15">
        <v>7.0000000000000007E-2</v>
      </c>
      <c r="S121" s="18">
        <f>(Tabela224[[#This Row],[FRETE]]+Tabela224[[#This Row],[DESPESAS]]+Tabela224[[#This Row],[IPI]]+Tabela224[[#This Row],[Vl. Produto]])*Tabela224[[#This Row],[Aliq.%]]</f>
        <v>0</v>
      </c>
    </row>
    <row r="122" spans="13:19" x14ac:dyDescent="0.25">
      <c r="M122" s="46"/>
      <c r="N122" s="46"/>
      <c r="O122" s="46"/>
      <c r="P122" s="46"/>
      <c r="R122" s="15">
        <v>7.0000000000000007E-2</v>
      </c>
      <c r="S122" s="18">
        <f>(Tabela224[[#This Row],[FRETE]]+Tabela224[[#This Row],[DESPESAS]]+Tabela224[[#This Row],[IPI]]+Tabela224[[#This Row],[Vl. Produto]])*Tabela224[[#This Row],[Aliq.%]]</f>
        <v>0</v>
      </c>
    </row>
    <row r="123" spans="13:19" x14ac:dyDescent="0.25">
      <c r="M123" s="46"/>
      <c r="N123" s="46"/>
      <c r="O123" s="46"/>
      <c r="P123" s="46"/>
      <c r="R123" s="15">
        <v>7.0000000000000007E-2</v>
      </c>
      <c r="S123" s="18">
        <f>(Tabela224[[#This Row],[FRETE]]+Tabela224[[#This Row],[DESPESAS]]+Tabela224[[#This Row],[IPI]]+Tabela224[[#This Row],[Vl. Produto]])*Tabela224[[#This Row],[Aliq.%]]</f>
        <v>0</v>
      </c>
    </row>
    <row r="124" spans="13:19" x14ac:dyDescent="0.25">
      <c r="M124" s="46"/>
      <c r="N124" s="46"/>
      <c r="O124" s="46"/>
      <c r="P124" s="46"/>
      <c r="R124" s="15">
        <v>7.0000000000000007E-2</v>
      </c>
      <c r="S124" s="18">
        <f>(Tabela224[[#This Row],[FRETE]]+Tabela224[[#This Row],[DESPESAS]]+Tabela224[[#This Row],[IPI]]+Tabela224[[#This Row],[Vl. Produto]])*Tabela224[[#This Row],[Aliq.%]]</f>
        <v>0</v>
      </c>
    </row>
    <row r="125" spans="13:19" x14ac:dyDescent="0.25">
      <c r="M125" s="46"/>
      <c r="N125" s="46"/>
      <c r="O125" s="46"/>
      <c r="P125" s="46"/>
      <c r="R125" s="15">
        <v>7.0000000000000007E-2</v>
      </c>
      <c r="S125" s="18">
        <f>(Tabela224[[#This Row],[FRETE]]+Tabela224[[#This Row],[DESPESAS]]+Tabela224[[#This Row],[IPI]]+Tabela224[[#This Row],[Vl. Produto]])*Tabela224[[#This Row],[Aliq.%]]</f>
        <v>0</v>
      </c>
    </row>
    <row r="126" spans="13:19" x14ac:dyDescent="0.25">
      <c r="M126" s="46"/>
      <c r="N126" s="46"/>
      <c r="O126" s="46"/>
      <c r="P126" s="46"/>
      <c r="R126" s="15">
        <v>7.0000000000000007E-2</v>
      </c>
      <c r="S126" s="18">
        <f>(Tabela224[[#This Row],[FRETE]]+Tabela224[[#This Row],[DESPESAS]]+Tabela224[[#This Row],[IPI]]+Tabela224[[#This Row],[Vl. Produto]])*Tabela224[[#This Row],[Aliq.%]]</f>
        <v>0</v>
      </c>
    </row>
    <row r="127" spans="13:19" x14ac:dyDescent="0.25">
      <c r="M127" s="46"/>
      <c r="N127" s="46"/>
      <c r="O127" s="46"/>
      <c r="P127" s="46"/>
      <c r="R127" s="15">
        <v>7.0000000000000007E-2</v>
      </c>
      <c r="S127" s="18">
        <f>(Tabela224[[#This Row],[FRETE]]+Tabela224[[#This Row],[DESPESAS]]+Tabela224[[#This Row],[IPI]]+Tabela224[[#This Row],[Vl. Produto]])*Tabela224[[#This Row],[Aliq.%]]</f>
        <v>0</v>
      </c>
    </row>
    <row r="128" spans="13:19" x14ac:dyDescent="0.25">
      <c r="M128" s="46"/>
      <c r="N128" s="46"/>
      <c r="O128" s="46"/>
      <c r="P128" s="46"/>
      <c r="R128" s="15">
        <v>7.0000000000000007E-2</v>
      </c>
      <c r="S128" s="18">
        <f>(Tabela224[[#This Row],[FRETE]]+Tabela224[[#This Row],[DESPESAS]]+Tabela224[[#This Row],[IPI]]+Tabela224[[#This Row],[Vl. Produto]])*Tabela224[[#This Row],[Aliq.%]]</f>
        <v>0</v>
      </c>
    </row>
    <row r="129" spans="13:19" x14ac:dyDescent="0.25">
      <c r="M129" s="46"/>
      <c r="N129" s="46"/>
      <c r="O129" s="46"/>
      <c r="P129" s="46"/>
      <c r="R129" s="15">
        <v>7.0000000000000007E-2</v>
      </c>
      <c r="S129" s="18">
        <f>(Tabela224[[#This Row],[FRETE]]+Tabela224[[#This Row],[DESPESAS]]+Tabela224[[#This Row],[IPI]]+Tabela224[[#This Row],[Vl. Produto]])*Tabela224[[#This Row],[Aliq.%]]</f>
        <v>0</v>
      </c>
    </row>
    <row r="130" spans="13:19" x14ac:dyDescent="0.25">
      <c r="M130" s="46"/>
      <c r="N130" s="46"/>
      <c r="O130" s="46"/>
      <c r="P130" s="46"/>
      <c r="R130" s="15">
        <v>7.0000000000000007E-2</v>
      </c>
      <c r="S130" s="18">
        <f>(Tabela224[[#This Row],[FRETE]]+Tabela224[[#This Row],[DESPESAS]]+Tabela224[[#This Row],[IPI]]+Tabela224[[#This Row],[Vl. Produto]])*Tabela224[[#This Row],[Aliq.%]]</f>
        <v>0</v>
      </c>
    </row>
    <row r="131" spans="13:19" x14ac:dyDescent="0.25">
      <c r="M131" s="46"/>
      <c r="N131" s="46"/>
      <c r="O131" s="46"/>
      <c r="P131" s="46"/>
      <c r="R131" s="15">
        <v>7.0000000000000007E-2</v>
      </c>
      <c r="S131" s="18">
        <f>(Tabela224[[#This Row],[FRETE]]+Tabela224[[#This Row],[DESPESAS]]+Tabela224[[#This Row],[IPI]]+Tabela224[[#This Row],[Vl. Produto]])*Tabela224[[#This Row],[Aliq.%]]</f>
        <v>0</v>
      </c>
    </row>
    <row r="132" spans="13:19" x14ac:dyDescent="0.25">
      <c r="M132" s="46"/>
      <c r="N132" s="46"/>
      <c r="O132" s="46"/>
      <c r="P132" s="46"/>
      <c r="R132" s="15">
        <v>7.0000000000000007E-2</v>
      </c>
      <c r="S132" s="18">
        <f>(Tabela224[[#This Row],[FRETE]]+Tabela224[[#This Row],[DESPESAS]]+Tabela224[[#This Row],[IPI]]+Tabela224[[#This Row],[Vl. Produto]])*Tabela224[[#This Row],[Aliq.%]]</f>
        <v>0</v>
      </c>
    </row>
    <row r="133" spans="13:19" x14ac:dyDescent="0.25">
      <c r="M133" s="46"/>
      <c r="N133" s="46"/>
      <c r="O133" s="46"/>
      <c r="P133" s="46"/>
      <c r="R133" s="15">
        <v>7.0000000000000007E-2</v>
      </c>
      <c r="S133" s="18">
        <f>(Tabela224[[#This Row],[FRETE]]+Tabela224[[#This Row],[DESPESAS]]+Tabela224[[#This Row],[IPI]]+Tabela224[[#This Row],[Vl. Produto]])*Tabela224[[#This Row],[Aliq.%]]</f>
        <v>0</v>
      </c>
    </row>
    <row r="134" spans="13:19" x14ac:dyDescent="0.25">
      <c r="M134" s="46"/>
      <c r="N134" s="46"/>
      <c r="O134" s="46"/>
      <c r="P134" s="46"/>
      <c r="R134" s="15">
        <v>7.0000000000000007E-2</v>
      </c>
      <c r="S134" s="18">
        <f>(Tabela224[[#This Row],[FRETE]]+Tabela224[[#This Row],[DESPESAS]]+Tabela224[[#This Row],[IPI]]+Tabela224[[#This Row],[Vl. Produto]])*Tabela224[[#This Row],[Aliq.%]]</f>
        <v>0</v>
      </c>
    </row>
    <row r="135" spans="13:19" x14ac:dyDescent="0.25">
      <c r="M135" s="46"/>
      <c r="N135" s="46"/>
      <c r="O135" s="46"/>
      <c r="P135" s="46"/>
      <c r="R135" s="15">
        <v>7.0000000000000007E-2</v>
      </c>
      <c r="S135" s="18">
        <f>(Tabela224[[#This Row],[FRETE]]+Tabela224[[#This Row],[DESPESAS]]+Tabela224[[#This Row],[IPI]]+Tabela224[[#This Row],[Vl. Produto]])*Tabela224[[#This Row],[Aliq.%]]</f>
        <v>0</v>
      </c>
    </row>
    <row r="136" spans="13:19" x14ac:dyDescent="0.25">
      <c r="M136" s="46"/>
      <c r="N136" s="46"/>
      <c r="O136" s="46"/>
      <c r="P136" s="46"/>
      <c r="R136" s="15">
        <v>7.0000000000000007E-2</v>
      </c>
      <c r="S136" s="18">
        <f>(Tabela224[[#This Row],[FRETE]]+Tabela224[[#This Row],[DESPESAS]]+Tabela224[[#This Row],[IPI]]+Tabela224[[#This Row],[Vl. Produto]])*Tabela224[[#This Row],[Aliq.%]]</f>
        <v>0</v>
      </c>
    </row>
    <row r="137" spans="13:19" x14ac:dyDescent="0.25">
      <c r="M137" s="46"/>
      <c r="N137" s="46"/>
      <c r="O137" s="46"/>
      <c r="P137" s="46"/>
      <c r="R137" s="15">
        <v>7.0000000000000007E-2</v>
      </c>
      <c r="S137" s="18">
        <f>(Tabela224[[#This Row],[FRETE]]+Tabela224[[#This Row],[DESPESAS]]+Tabela224[[#This Row],[IPI]]+Tabela224[[#This Row],[Vl. Produto]])*Tabela224[[#This Row],[Aliq.%]]</f>
        <v>0</v>
      </c>
    </row>
    <row r="138" spans="13:19" x14ac:dyDescent="0.25">
      <c r="M138" s="46"/>
      <c r="N138" s="46"/>
      <c r="O138" s="46"/>
      <c r="P138" s="46"/>
      <c r="R138" s="15">
        <v>7.0000000000000007E-2</v>
      </c>
      <c r="S138" s="18">
        <f>(Tabela224[[#This Row],[FRETE]]+Tabela224[[#This Row],[DESPESAS]]+Tabela224[[#This Row],[IPI]]+Tabela224[[#This Row],[Vl. Produto]])*Tabela224[[#This Row],[Aliq.%]]</f>
        <v>0</v>
      </c>
    </row>
    <row r="139" spans="13:19" x14ac:dyDescent="0.25">
      <c r="M139" s="46"/>
      <c r="N139" s="46"/>
      <c r="O139" s="46"/>
      <c r="P139" s="46"/>
      <c r="R139" s="15">
        <v>7.0000000000000007E-2</v>
      </c>
      <c r="S139" s="18">
        <f>(Tabela224[[#This Row],[FRETE]]+Tabela224[[#This Row],[DESPESAS]]+Tabela224[[#This Row],[IPI]]+Tabela224[[#This Row],[Vl. Produto]])*Tabela224[[#This Row],[Aliq.%]]</f>
        <v>0</v>
      </c>
    </row>
    <row r="140" spans="13:19" x14ac:dyDescent="0.25">
      <c r="M140" s="46"/>
      <c r="N140" s="46"/>
      <c r="O140" s="46"/>
      <c r="P140" s="46"/>
      <c r="R140" s="15">
        <v>7.0000000000000007E-2</v>
      </c>
      <c r="S140" s="18">
        <f>(Tabela224[[#This Row],[FRETE]]+Tabela224[[#This Row],[DESPESAS]]+Tabela224[[#This Row],[IPI]]+Tabela224[[#This Row],[Vl. Produto]])*Tabela224[[#This Row],[Aliq.%]]</f>
        <v>0</v>
      </c>
    </row>
    <row r="141" spans="13:19" x14ac:dyDescent="0.25">
      <c r="M141" s="46"/>
      <c r="N141" s="46"/>
      <c r="O141" s="46"/>
      <c r="P141" s="46"/>
      <c r="R141" s="15">
        <v>7.0000000000000007E-2</v>
      </c>
      <c r="S141" s="18">
        <f>(Tabela224[[#This Row],[FRETE]]+Tabela224[[#This Row],[DESPESAS]]+Tabela224[[#This Row],[IPI]]+Tabela224[[#This Row],[Vl. Produto]])*Tabela224[[#This Row],[Aliq.%]]</f>
        <v>0</v>
      </c>
    </row>
    <row r="142" spans="13:19" x14ac:dyDescent="0.25">
      <c r="M142" s="46"/>
      <c r="N142" s="46"/>
      <c r="O142" s="46"/>
      <c r="P142" s="46"/>
      <c r="R142" s="15">
        <v>7.0000000000000007E-2</v>
      </c>
      <c r="S142" s="18">
        <f>(Tabela224[[#This Row],[FRETE]]+Tabela224[[#This Row],[DESPESAS]]+Tabela224[[#This Row],[IPI]]+Tabela224[[#This Row],[Vl. Produto]])*Tabela224[[#This Row],[Aliq.%]]</f>
        <v>0</v>
      </c>
    </row>
    <row r="143" spans="13:19" x14ac:dyDescent="0.25">
      <c r="M143" s="46"/>
      <c r="N143" s="46"/>
      <c r="O143" s="46"/>
      <c r="P143" s="46"/>
      <c r="R143" s="15">
        <v>7.0000000000000007E-2</v>
      </c>
      <c r="S143" s="18">
        <f>(Tabela224[[#This Row],[FRETE]]+Tabela224[[#This Row],[DESPESAS]]+Tabela224[[#This Row],[IPI]]+Tabela224[[#This Row],[Vl. Produto]])*Tabela224[[#This Row],[Aliq.%]]</f>
        <v>0</v>
      </c>
    </row>
    <row r="144" spans="13:19" x14ac:dyDescent="0.25">
      <c r="M144" s="46"/>
      <c r="N144" s="46"/>
      <c r="O144" s="46"/>
      <c r="P144" s="46"/>
      <c r="R144" s="15">
        <v>7.0000000000000007E-2</v>
      </c>
      <c r="S144" s="18">
        <f>(Tabela224[[#This Row],[FRETE]]+Tabela224[[#This Row],[DESPESAS]]+Tabela224[[#This Row],[IPI]]+Tabela224[[#This Row],[Vl. Produto]])*Tabela224[[#This Row],[Aliq.%]]</f>
        <v>0</v>
      </c>
    </row>
    <row r="145" spans="13:19" x14ac:dyDescent="0.25">
      <c r="M145" s="46"/>
      <c r="N145" s="46"/>
      <c r="O145" s="46"/>
      <c r="P145" s="46"/>
      <c r="R145" s="15">
        <v>7.0000000000000007E-2</v>
      </c>
      <c r="S145" s="18">
        <f>(Tabela224[[#This Row],[FRETE]]+Tabela224[[#This Row],[DESPESAS]]+Tabela224[[#This Row],[IPI]]+Tabela224[[#This Row],[Vl. Produto]])*Tabela224[[#This Row],[Aliq.%]]</f>
        <v>0</v>
      </c>
    </row>
    <row r="146" spans="13:19" x14ac:dyDescent="0.25">
      <c r="M146" s="46"/>
      <c r="N146" s="46"/>
      <c r="O146" s="46"/>
      <c r="P146" s="46"/>
      <c r="R146" s="15">
        <v>7.0000000000000007E-2</v>
      </c>
      <c r="S146" s="18">
        <f>(Tabela224[[#This Row],[FRETE]]+Tabela224[[#This Row],[DESPESAS]]+Tabela224[[#This Row],[IPI]]+Tabela224[[#This Row],[Vl. Produto]])*Tabela224[[#This Row],[Aliq.%]]</f>
        <v>0</v>
      </c>
    </row>
    <row r="147" spans="13:19" x14ac:dyDescent="0.25">
      <c r="M147" s="46"/>
      <c r="N147" s="46"/>
      <c r="O147" s="46"/>
      <c r="P147" s="46"/>
      <c r="R147" s="15">
        <v>7.0000000000000007E-2</v>
      </c>
      <c r="S147" s="18">
        <f>(Tabela224[[#This Row],[FRETE]]+Tabela224[[#This Row],[DESPESAS]]+Tabela224[[#This Row],[IPI]]+Tabela224[[#This Row],[Vl. Produto]])*Tabela224[[#This Row],[Aliq.%]]</f>
        <v>0</v>
      </c>
    </row>
    <row r="148" spans="13:19" x14ac:dyDescent="0.25">
      <c r="M148" s="46"/>
      <c r="N148" s="46"/>
      <c r="O148" s="46"/>
      <c r="P148" s="46"/>
      <c r="R148" s="15">
        <v>7.0000000000000007E-2</v>
      </c>
      <c r="S148" s="18">
        <f>(Tabela224[[#This Row],[FRETE]]+Tabela224[[#This Row],[DESPESAS]]+Tabela224[[#This Row],[IPI]]+Tabela224[[#This Row],[Vl. Produto]])*Tabela224[[#This Row],[Aliq.%]]</f>
        <v>0</v>
      </c>
    </row>
    <row r="149" spans="13:19" x14ac:dyDescent="0.25">
      <c r="M149" s="46"/>
      <c r="N149" s="46"/>
      <c r="O149" s="46"/>
      <c r="P149" s="46"/>
      <c r="R149" s="15">
        <v>7.0000000000000007E-2</v>
      </c>
      <c r="S149" s="18">
        <f>(Tabela224[[#This Row],[FRETE]]+Tabela224[[#This Row],[DESPESAS]]+Tabela224[[#This Row],[IPI]]+Tabela224[[#This Row],[Vl. Produto]])*Tabela224[[#This Row],[Aliq.%]]</f>
        <v>0</v>
      </c>
    </row>
    <row r="150" spans="13:19" x14ac:dyDescent="0.25">
      <c r="M150" s="46"/>
      <c r="N150" s="46"/>
      <c r="O150" s="46"/>
      <c r="P150" s="46"/>
      <c r="R150" s="15">
        <v>7.0000000000000007E-2</v>
      </c>
      <c r="S150" s="18">
        <f>(Tabela224[[#This Row],[FRETE]]+Tabela224[[#This Row],[DESPESAS]]+Tabela224[[#This Row],[IPI]]+Tabela224[[#This Row],[Vl. Produto]])*Tabela224[[#This Row],[Aliq.%]]</f>
        <v>0</v>
      </c>
    </row>
    <row r="151" spans="13:19" x14ac:dyDescent="0.25">
      <c r="M151" s="46"/>
      <c r="N151" s="46"/>
      <c r="O151" s="46"/>
      <c r="P151" s="46"/>
      <c r="R151" s="15">
        <v>7.0000000000000007E-2</v>
      </c>
      <c r="S151" s="18">
        <f>(Tabela224[[#This Row],[FRETE]]+Tabela224[[#This Row],[DESPESAS]]+Tabela224[[#This Row],[IPI]]+Tabela224[[#This Row],[Vl. Produto]])*Tabela224[[#This Row],[Aliq.%]]</f>
        <v>0</v>
      </c>
    </row>
    <row r="152" spans="13:19" x14ac:dyDescent="0.25">
      <c r="M152" s="46"/>
      <c r="N152" s="46"/>
      <c r="O152" s="46"/>
      <c r="P152" s="46"/>
      <c r="R152" s="15">
        <v>7.0000000000000007E-2</v>
      </c>
      <c r="S152" s="18">
        <f>(Tabela224[[#This Row],[FRETE]]+Tabela224[[#This Row],[DESPESAS]]+Tabela224[[#This Row],[IPI]]+Tabela224[[#This Row],[Vl. Produto]])*Tabela224[[#This Row],[Aliq.%]]</f>
        <v>0</v>
      </c>
    </row>
    <row r="153" spans="13:19" x14ac:dyDescent="0.25">
      <c r="M153" s="46"/>
      <c r="N153" s="46"/>
      <c r="O153" s="46"/>
      <c r="P153" s="46"/>
      <c r="R153" s="15">
        <v>7.0000000000000007E-2</v>
      </c>
      <c r="S153" s="18">
        <f>(Tabela224[[#This Row],[FRETE]]+Tabela224[[#This Row],[DESPESAS]]+Tabela224[[#This Row],[IPI]]+Tabela224[[#This Row],[Vl. Produto]])*Tabela224[[#This Row],[Aliq.%]]</f>
        <v>0</v>
      </c>
    </row>
    <row r="154" spans="13:19" x14ac:dyDescent="0.25">
      <c r="M154" s="46"/>
      <c r="N154" s="46"/>
      <c r="O154" s="46"/>
      <c r="P154" s="46"/>
      <c r="R154" s="15">
        <v>7.0000000000000007E-2</v>
      </c>
      <c r="S154" s="18">
        <f>(Tabela224[[#This Row],[FRETE]]+Tabela224[[#This Row],[DESPESAS]]+Tabela224[[#This Row],[IPI]]+Tabela224[[#This Row],[Vl. Produto]])*Tabela224[[#This Row],[Aliq.%]]</f>
        <v>0</v>
      </c>
    </row>
    <row r="155" spans="13:19" x14ac:dyDescent="0.25">
      <c r="M155" s="46"/>
      <c r="N155" s="46"/>
      <c r="O155" s="46"/>
      <c r="P155" s="46"/>
      <c r="R155" s="15">
        <v>7.0000000000000007E-2</v>
      </c>
      <c r="S155" s="18">
        <f>(Tabela224[[#This Row],[FRETE]]+Tabela224[[#This Row],[DESPESAS]]+Tabela224[[#This Row],[IPI]]+Tabela224[[#This Row],[Vl. Produto]])*Tabela224[[#This Row],[Aliq.%]]</f>
        <v>0</v>
      </c>
    </row>
    <row r="156" spans="13:19" x14ac:dyDescent="0.25">
      <c r="M156" s="46"/>
      <c r="N156" s="46"/>
      <c r="O156" s="46"/>
      <c r="P156" s="46"/>
      <c r="R156" s="15">
        <v>7.0000000000000007E-2</v>
      </c>
      <c r="S156" s="18">
        <f>(Tabela224[[#This Row],[FRETE]]+Tabela224[[#This Row],[DESPESAS]]+Tabela224[[#This Row],[IPI]]+Tabela224[[#This Row],[Vl. Produto]])*Tabela224[[#This Row],[Aliq.%]]</f>
        <v>0</v>
      </c>
    </row>
    <row r="157" spans="13:19" x14ac:dyDescent="0.25">
      <c r="M157" s="46"/>
      <c r="N157" s="46"/>
      <c r="O157" s="46"/>
      <c r="P157" s="46"/>
      <c r="R157" s="15">
        <v>7.0000000000000007E-2</v>
      </c>
      <c r="S157" s="18">
        <f>(Tabela224[[#This Row],[FRETE]]+Tabela224[[#This Row],[DESPESAS]]+Tabela224[[#This Row],[IPI]]+Tabela224[[#This Row],[Vl. Produto]])*Tabela224[[#This Row],[Aliq.%]]</f>
        <v>0</v>
      </c>
    </row>
    <row r="158" spans="13:19" x14ac:dyDescent="0.25">
      <c r="M158" s="46"/>
      <c r="N158" s="46"/>
      <c r="O158" s="46"/>
      <c r="P158" s="46"/>
      <c r="R158" s="15">
        <v>7.0000000000000007E-2</v>
      </c>
      <c r="S158" s="18">
        <f>(Tabela224[[#This Row],[FRETE]]+Tabela224[[#This Row],[DESPESAS]]+Tabela224[[#This Row],[IPI]]+Tabela224[[#This Row],[Vl. Produto]])*Tabela224[[#This Row],[Aliq.%]]</f>
        <v>0</v>
      </c>
    </row>
    <row r="159" spans="13:19" x14ac:dyDescent="0.25">
      <c r="M159" s="46"/>
      <c r="N159" s="46"/>
      <c r="O159" s="46"/>
      <c r="P159" s="46"/>
      <c r="R159" s="15">
        <v>7.0000000000000007E-2</v>
      </c>
      <c r="S159" s="18">
        <f>(Tabela224[[#This Row],[FRETE]]+Tabela224[[#This Row],[DESPESAS]]+Tabela224[[#This Row],[IPI]]+Tabela224[[#This Row],[Vl. Produto]])*Tabela224[[#This Row],[Aliq.%]]</f>
        <v>0</v>
      </c>
    </row>
    <row r="160" spans="13:19" x14ac:dyDescent="0.25">
      <c r="M160" s="46"/>
      <c r="N160" s="46"/>
      <c r="O160" s="46"/>
      <c r="P160" s="46"/>
      <c r="R160" s="15">
        <v>7.0000000000000007E-2</v>
      </c>
      <c r="S160" s="18">
        <f>(Tabela224[[#This Row],[FRETE]]+Tabela224[[#This Row],[DESPESAS]]+Tabela224[[#This Row],[IPI]]+Tabela224[[#This Row],[Vl. Produto]])*Tabela224[[#This Row],[Aliq.%]]</f>
        <v>0</v>
      </c>
    </row>
    <row r="161" spans="13:19" x14ac:dyDescent="0.25">
      <c r="M161" s="46"/>
      <c r="N161" s="46"/>
      <c r="O161" s="46"/>
      <c r="P161" s="46"/>
      <c r="R161" s="15">
        <v>7.0000000000000007E-2</v>
      </c>
      <c r="S161" s="18">
        <f>(Tabela224[[#This Row],[FRETE]]+Tabela224[[#This Row],[DESPESAS]]+Tabela224[[#This Row],[IPI]]+Tabela224[[#This Row],[Vl. Produto]])*Tabela224[[#This Row],[Aliq.%]]</f>
        <v>0</v>
      </c>
    </row>
    <row r="162" spans="13:19" x14ac:dyDescent="0.25">
      <c r="M162" s="46"/>
      <c r="N162" s="46"/>
      <c r="O162" s="46"/>
      <c r="P162" s="46"/>
      <c r="R162" s="15">
        <v>7.0000000000000007E-2</v>
      </c>
      <c r="S162" s="18">
        <f>(Tabela224[[#This Row],[FRETE]]+Tabela224[[#This Row],[DESPESAS]]+Tabela224[[#This Row],[IPI]]+Tabela224[[#This Row],[Vl. Produto]])*Tabela224[[#This Row],[Aliq.%]]</f>
        <v>0</v>
      </c>
    </row>
    <row r="163" spans="13:19" x14ac:dyDescent="0.25">
      <c r="M163" s="46"/>
      <c r="N163" s="46"/>
      <c r="O163" s="46"/>
      <c r="P163" s="46"/>
      <c r="R163" s="15">
        <v>7.0000000000000007E-2</v>
      </c>
      <c r="S163" s="18">
        <f>(Tabela224[[#This Row],[FRETE]]+Tabela224[[#This Row],[DESPESAS]]+Tabela224[[#This Row],[IPI]]+Tabela224[[#This Row],[Vl. Produto]])*Tabela224[[#This Row],[Aliq.%]]</f>
        <v>0</v>
      </c>
    </row>
    <row r="164" spans="13:19" x14ac:dyDescent="0.25">
      <c r="M164" s="46"/>
      <c r="N164" s="46"/>
      <c r="O164" s="46"/>
      <c r="P164" s="46"/>
      <c r="R164" s="15">
        <v>7.0000000000000007E-2</v>
      </c>
      <c r="S164" s="18">
        <f>(Tabela224[[#This Row],[FRETE]]+Tabela224[[#This Row],[DESPESAS]]+Tabela224[[#This Row],[IPI]]+Tabela224[[#This Row],[Vl. Produto]])*Tabela224[[#This Row],[Aliq.%]]</f>
        <v>0</v>
      </c>
    </row>
    <row r="165" spans="13:19" x14ac:dyDescent="0.25">
      <c r="M165" s="46"/>
      <c r="N165" s="46"/>
      <c r="O165" s="46"/>
      <c r="P165" s="46"/>
      <c r="R165" s="15">
        <v>7.0000000000000007E-2</v>
      </c>
      <c r="S165" s="18">
        <f>(Tabela224[[#This Row],[FRETE]]+Tabela224[[#This Row],[DESPESAS]]+Tabela224[[#This Row],[IPI]]+Tabela224[[#This Row],[Vl. Produto]])*Tabela224[[#This Row],[Aliq.%]]</f>
        <v>0</v>
      </c>
    </row>
    <row r="166" spans="13:19" x14ac:dyDescent="0.25">
      <c r="M166" s="46"/>
      <c r="N166" s="46"/>
      <c r="O166" s="46"/>
      <c r="P166" s="46"/>
      <c r="R166" s="15">
        <v>7.0000000000000007E-2</v>
      </c>
      <c r="S166" s="18">
        <f>(Tabela224[[#This Row],[FRETE]]+Tabela224[[#This Row],[DESPESAS]]+Tabela224[[#This Row],[IPI]]+Tabela224[[#This Row],[Vl. Produto]])*Tabela224[[#This Row],[Aliq.%]]</f>
        <v>0</v>
      </c>
    </row>
    <row r="167" spans="13:19" x14ac:dyDescent="0.25">
      <c r="M167" s="46"/>
      <c r="N167" s="46"/>
      <c r="O167" s="46"/>
      <c r="P167" s="46"/>
      <c r="R167" s="15">
        <v>7.0000000000000007E-2</v>
      </c>
      <c r="S167" s="18">
        <f>(Tabela224[[#This Row],[FRETE]]+Tabela224[[#This Row],[DESPESAS]]+Tabela224[[#This Row],[IPI]]+Tabela224[[#This Row],[Vl. Produto]])*Tabela224[[#This Row],[Aliq.%]]</f>
        <v>0</v>
      </c>
    </row>
    <row r="168" spans="13:19" x14ac:dyDescent="0.25">
      <c r="M168" s="46"/>
      <c r="N168" s="46"/>
      <c r="O168" s="46"/>
      <c r="P168" s="46"/>
      <c r="R168" s="15">
        <v>7.0000000000000007E-2</v>
      </c>
      <c r="S168" s="18">
        <f>(Tabela224[[#This Row],[FRETE]]+Tabela224[[#This Row],[DESPESAS]]+Tabela224[[#This Row],[IPI]]+Tabela224[[#This Row],[Vl. Produto]])*Tabela224[[#This Row],[Aliq.%]]</f>
        <v>0</v>
      </c>
    </row>
    <row r="169" spans="13:19" x14ac:dyDescent="0.25">
      <c r="M169" s="46"/>
      <c r="N169" s="46"/>
      <c r="O169" s="46"/>
      <c r="P169" s="46"/>
      <c r="R169" s="15">
        <v>7.0000000000000007E-2</v>
      </c>
      <c r="S169" s="18">
        <f>(Tabela224[[#This Row],[FRETE]]+Tabela224[[#This Row],[DESPESAS]]+Tabela224[[#This Row],[IPI]]+Tabela224[[#This Row],[Vl. Produto]])*Tabela224[[#This Row],[Aliq.%]]</f>
        <v>0</v>
      </c>
    </row>
    <row r="170" spans="13:19" x14ac:dyDescent="0.25">
      <c r="M170" s="46"/>
      <c r="N170" s="46"/>
      <c r="O170" s="46"/>
      <c r="P170" s="46"/>
      <c r="R170" s="15">
        <v>7.0000000000000007E-2</v>
      </c>
      <c r="S170" s="18">
        <f>(Tabela224[[#This Row],[FRETE]]+Tabela224[[#This Row],[DESPESAS]]+Tabela224[[#This Row],[IPI]]+Tabela224[[#This Row],[Vl. Produto]])*Tabela224[[#This Row],[Aliq.%]]</f>
        <v>0</v>
      </c>
    </row>
    <row r="171" spans="13:19" x14ac:dyDescent="0.25">
      <c r="M171" s="46"/>
      <c r="N171" s="46"/>
      <c r="O171" s="46"/>
      <c r="P171" s="46"/>
      <c r="R171" s="15">
        <v>7.0000000000000007E-2</v>
      </c>
      <c r="S171" s="18">
        <f>(Tabela224[[#This Row],[FRETE]]+Tabela224[[#This Row],[DESPESAS]]+Tabela224[[#This Row],[IPI]]+Tabela224[[#This Row],[Vl. Produto]])*Tabela224[[#This Row],[Aliq.%]]</f>
        <v>0</v>
      </c>
    </row>
    <row r="172" spans="13:19" x14ac:dyDescent="0.25">
      <c r="M172" s="46"/>
      <c r="N172" s="46"/>
      <c r="O172" s="46"/>
      <c r="P172" s="46"/>
      <c r="R172" s="15">
        <v>7.0000000000000007E-2</v>
      </c>
      <c r="S172" s="18">
        <f>(Tabela224[[#This Row],[FRETE]]+Tabela224[[#This Row],[DESPESAS]]+Tabela224[[#This Row],[IPI]]+Tabela224[[#This Row],[Vl. Produto]])*Tabela224[[#This Row],[Aliq.%]]</f>
        <v>0</v>
      </c>
    </row>
    <row r="173" spans="13:19" x14ac:dyDescent="0.25">
      <c r="M173" s="46"/>
      <c r="N173" s="46"/>
      <c r="O173" s="46"/>
      <c r="P173" s="46"/>
      <c r="R173" s="15">
        <v>7.0000000000000007E-2</v>
      </c>
      <c r="S173" s="18">
        <f>(Tabela224[[#This Row],[FRETE]]+Tabela224[[#This Row],[DESPESAS]]+Tabela224[[#This Row],[IPI]]+Tabela224[[#This Row],[Vl. Produto]])*Tabela224[[#This Row],[Aliq.%]]</f>
        <v>0</v>
      </c>
    </row>
    <row r="174" spans="13:19" x14ac:dyDescent="0.25">
      <c r="M174" s="46"/>
      <c r="N174" s="46"/>
      <c r="O174" s="46"/>
      <c r="P174" s="46"/>
      <c r="R174" s="15">
        <v>7.0000000000000007E-2</v>
      </c>
      <c r="S174" s="18">
        <f>(Tabela224[[#This Row],[FRETE]]+Tabela224[[#This Row],[DESPESAS]]+Tabela224[[#This Row],[IPI]]+Tabela224[[#This Row],[Vl. Produto]])*Tabela224[[#This Row],[Aliq.%]]</f>
        <v>0</v>
      </c>
    </row>
    <row r="175" spans="13:19" x14ac:dyDescent="0.25">
      <c r="M175" s="46"/>
      <c r="N175" s="46"/>
      <c r="O175" s="46"/>
      <c r="P175" s="46"/>
      <c r="R175" s="15">
        <v>7.0000000000000007E-2</v>
      </c>
      <c r="S175" s="18">
        <f>(Tabela224[[#This Row],[FRETE]]+Tabela224[[#This Row],[DESPESAS]]+Tabela224[[#This Row],[IPI]]+Tabela224[[#This Row],[Vl. Produto]])*Tabela224[[#This Row],[Aliq.%]]</f>
        <v>0</v>
      </c>
    </row>
    <row r="176" spans="13:19" x14ac:dyDescent="0.25">
      <c r="M176" s="46"/>
      <c r="N176" s="46"/>
      <c r="O176" s="46"/>
      <c r="P176" s="46"/>
      <c r="R176" s="15">
        <v>7.0000000000000007E-2</v>
      </c>
      <c r="S176" s="18">
        <f>(Tabela224[[#This Row],[FRETE]]+Tabela224[[#This Row],[DESPESAS]]+Tabela224[[#This Row],[IPI]]+Tabela224[[#This Row],[Vl. Produto]])*Tabela224[[#This Row],[Aliq.%]]</f>
        <v>0</v>
      </c>
    </row>
    <row r="177" spans="13:19" x14ac:dyDescent="0.25">
      <c r="M177" s="46"/>
      <c r="N177" s="46"/>
      <c r="O177" s="46"/>
      <c r="P177" s="46"/>
      <c r="R177" s="15">
        <v>7.0000000000000007E-2</v>
      </c>
      <c r="S177" s="18">
        <f>(Tabela224[[#This Row],[FRETE]]+Tabela224[[#This Row],[DESPESAS]]+Tabela224[[#This Row],[IPI]]+Tabela224[[#This Row],[Vl. Produto]])*Tabela224[[#This Row],[Aliq.%]]</f>
        <v>0</v>
      </c>
    </row>
    <row r="178" spans="13:19" x14ac:dyDescent="0.25">
      <c r="M178" s="46"/>
      <c r="N178" s="46"/>
      <c r="O178" s="46"/>
      <c r="P178" s="46"/>
      <c r="R178" s="15">
        <v>7.0000000000000007E-2</v>
      </c>
      <c r="S178" s="18">
        <f>(Tabela224[[#This Row],[FRETE]]+Tabela224[[#This Row],[DESPESAS]]+Tabela224[[#This Row],[IPI]]+Tabela224[[#This Row],[Vl. Produto]])*Tabela224[[#This Row],[Aliq.%]]</f>
        <v>0</v>
      </c>
    </row>
    <row r="179" spans="13:19" x14ac:dyDescent="0.25">
      <c r="M179" s="46"/>
      <c r="N179" s="46"/>
      <c r="O179" s="46"/>
      <c r="P179" s="46"/>
      <c r="R179" s="15">
        <v>7.0000000000000007E-2</v>
      </c>
      <c r="S179" s="18">
        <f>(Tabela224[[#This Row],[FRETE]]+Tabela224[[#This Row],[DESPESAS]]+Tabela224[[#This Row],[IPI]]+Tabela224[[#This Row],[Vl. Produto]])*Tabela224[[#This Row],[Aliq.%]]</f>
        <v>0</v>
      </c>
    </row>
    <row r="180" spans="13:19" x14ac:dyDescent="0.25">
      <c r="M180" s="46"/>
      <c r="N180" s="46"/>
      <c r="O180" s="46"/>
      <c r="P180" s="46"/>
      <c r="R180" s="15">
        <v>7.0000000000000007E-2</v>
      </c>
      <c r="S180" s="18">
        <f>(Tabela224[[#This Row],[FRETE]]+Tabela224[[#This Row],[DESPESAS]]+Tabela224[[#This Row],[IPI]]+Tabela224[[#This Row],[Vl. Produto]])*Tabela224[[#This Row],[Aliq.%]]</f>
        <v>0</v>
      </c>
    </row>
    <row r="181" spans="13:19" x14ac:dyDescent="0.25">
      <c r="M181" s="46"/>
      <c r="N181" s="46"/>
      <c r="O181" s="46"/>
      <c r="P181" s="46"/>
      <c r="R181" s="15">
        <v>7.0000000000000007E-2</v>
      </c>
      <c r="S181" s="18">
        <f>(Tabela224[[#This Row],[FRETE]]+Tabela224[[#This Row],[DESPESAS]]+Tabela224[[#This Row],[IPI]]+Tabela224[[#This Row],[Vl. Produto]])*Tabela224[[#This Row],[Aliq.%]]</f>
        <v>0</v>
      </c>
    </row>
    <row r="182" spans="13:19" x14ac:dyDescent="0.25">
      <c r="M182" s="46"/>
      <c r="N182" s="46"/>
      <c r="O182" s="46"/>
      <c r="P182" s="46"/>
      <c r="R182" s="15">
        <v>7.0000000000000007E-2</v>
      </c>
      <c r="S182" s="18">
        <f>(Tabela224[[#This Row],[FRETE]]+Tabela224[[#This Row],[DESPESAS]]+Tabela224[[#This Row],[IPI]]+Tabela224[[#This Row],[Vl. Produto]])*Tabela224[[#This Row],[Aliq.%]]</f>
        <v>0</v>
      </c>
    </row>
    <row r="183" spans="13:19" x14ac:dyDescent="0.25">
      <c r="M183" s="46"/>
      <c r="N183" s="46"/>
      <c r="O183" s="46"/>
      <c r="P183" s="46"/>
      <c r="R183" s="15">
        <v>7.0000000000000007E-2</v>
      </c>
      <c r="S183" s="18">
        <f>(Tabela224[[#This Row],[FRETE]]+Tabela224[[#This Row],[DESPESAS]]+Tabela224[[#This Row],[IPI]]+Tabela224[[#This Row],[Vl. Produto]])*Tabela224[[#This Row],[Aliq.%]]</f>
        <v>0</v>
      </c>
    </row>
    <row r="184" spans="13:19" x14ac:dyDescent="0.25">
      <c r="M184" s="46"/>
      <c r="N184" s="46"/>
      <c r="O184" s="46"/>
      <c r="P184" s="46"/>
      <c r="R184" s="15">
        <v>7.0000000000000007E-2</v>
      </c>
      <c r="S184" s="18">
        <f>(Tabela224[[#This Row],[FRETE]]+Tabela224[[#This Row],[DESPESAS]]+Tabela224[[#This Row],[IPI]]+Tabela224[[#This Row],[Vl. Produto]])*Tabela224[[#This Row],[Aliq.%]]</f>
        <v>0</v>
      </c>
    </row>
    <row r="185" spans="13:19" x14ac:dyDescent="0.25">
      <c r="M185" s="46"/>
      <c r="N185" s="46"/>
      <c r="O185" s="46"/>
      <c r="P185" s="46"/>
      <c r="R185" s="15">
        <v>7.0000000000000007E-2</v>
      </c>
      <c r="S185" s="18">
        <f>(Tabela224[[#This Row],[FRETE]]+Tabela224[[#This Row],[DESPESAS]]+Tabela224[[#This Row],[IPI]]+Tabela224[[#This Row],[Vl. Produto]])*Tabela224[[#This Row],[Aliq.%]]</f>
        <v>0</v>
      </c>
    </row>
    <row r="186" spans="13:19" x14ac:dyDescent="0.25">
      <c r="M186" s="46"/>
      <c r="N186" s="46"/>
      <c r="O186" s="46"/>
      <c r="P186" s="46"/>
      <c r="R186" s="15">
        <v>7.0000000000000007E-2</v>
      </c>
      <c r="S186" s="18">
        <f>(Tabela224[[#This Row],[FRETE]]+Tabela224[[#This Row],[DESPESAS]]+Tabela224[[#This Row],[IPI]]+Tabela224[[#This Row],[Vl. Produto]])*Tabela224[[#This Row],[Aliq.%]]</f>
        <v>0</v>
      </c>
    </row>
    <row r="187" spans="13:19" x14ac:dyDescent="0.25">
      <c r="M187" s="46"/>
      <c r="N187" s="46"/>
      <c r="O187" s="46"/>
      <c r="P187" s="46"/>
      <c r="R187" s="15">
        <v>7.0000000000000007E-2</v>
      </c>
      <c r="S187" s="18">
        <f>(Tabela224[[#This Row],[FRETE]]+Tabela224[[#This Row],[DESPESAS]]+Tabela224[[#This Row],[IPI]]+Tabela224[[#This Row],[Vl. Produto]])*Tabela224[[#This Row],[Aliq.%]]</f>
        <v>0</v>
      </c>
    </row>
    <row r="188" spans="13:19" x14ac:dyDescent="0.25">
      <c r="M188" s="46"/>
      <c r="N188" s="46"/>
      <c r="O188" s="46"/>
      <c r="P188" s="46"/>
      <c r="R188" s="15">
        <v>7.0000000000000007E-2</v>
      </c>
      <c r="S188" s="18">
        <f>(Tabela224[[#This Row],[FRETE]]+Tabela224[[#This Row],[DESPESAS]]+Tabela224[[#This Row],[IPI]]+Tabela224[[#This Row],[Vl. Produto]])*Tabela224[[#This Row],[Aliq.%]]</f>
        <v>0</v>
      </c>
    </row>
    <row r="189" spans="13:19" x14ac:dyDescent="0.25">
      <c r="M189" s="46"/>
      <c r="N189" s="46"/>
      <c r="O189" s="46"/>
      <c r="P189" s="46"/>
      <c r="R189" s="15">
        <v>7.0000000000000007E-2</v>
      </c>
      <c r="S189" s="18">
        <f>(Tabela224[[#This Row],[FRETE]]+Tabela224[[#This Row],[DESPESAS]]+Tabela224[[#This Row],[IPI]]+Tabela224[[#This Row],[Vl. Produto]])*Tabela224[[#This Row],[Aliq.%]]</f>
        <v>0</v>
      </c>
    </row>
    <row r="190" spans="13:19" x14ac:dyDescent="0.25">
      <c r="M190" s="46"/>
      <c r="N190" s="46"/>
      <c r="O190" s="46"/>
      <c r="P190" s="46"/>
      <c r="R190" s="15">
        <v>7.0000000000000007E-2</v>
      </c>
      <c r="S190" s="18">
        <f>(Tabela224[[#This Row],[FRETE]]+Tabela224[[#This Row],[DESPESAS]]+Tabela224[[#This Row],[IPI]]+Tabela224[[#This Row],[Vl. Produto]])*Tabela224[[#This Row],[Aliq.%]]</f>
        <v>0</v>
      </c>
    </row>
    <row r="191" spans="13:19" x14ac:dyDescent="0.25">
      <c r="M191" s="46"/>
      <c r="N191" s="46"/>
      <c r="O191" s="46"/>
      <c r="P191" s="46"/>
      <c r="R191" s="15">
        <v>7.0000000000000007E-2</v>
      </c>
      <c r="S191" s="18">
        <f>(Tabela224[[#This Row],[FRETE]]+Tabela224[[#This Row],[DESPESAS]]+Tabela224[[#This Row],[IPI]]+Tabela224[[#This Row],[Vl. Produto]])*Tabela224[[#This Row],[Aliq.%]]</f>
        <v>0</v>
      </c>
    </row>
    <row r="192" spans="13:19" x14ac:dyDescent="0.25">
      <c r="M192" s="46"/>
      <c r="N192" s="46"/>
      <c r="O192" s="46"/>
      <c r="P192" s="46"/>
      <c r="R192" s="15">
        <v>7.0000000000000007E-2</v>
      </c>
      <c r="S192" s="18">
        <f>(Tabela224[[#This Row],[FRETE]]+Tabela224[[#This Row],[DESPESAS]]+Tabela224[[#This Row],[IPI]]+Tabela224[[#This Row],[Vl. Produto]])*Tabela224[[#This Row],[Aliq.%]]</f>
        <v>0</v>
      </c>
    </row>
    <row r="193" spans="13:19" x14ac:dyDescent="0.25">
      <c r="M193" s="46"/>
      <c r="N193" s="46"/>
      <c r="O193" s="46"/>
      <c r="P193" s="46"/>
      <c r="R193" s="15">
        <v>7.0000000000000007E-2</v>
      </c>
      <c r="S193" s="18">
        <f>(Tabela224[[#This Row],[FRETE]]+Tabela224[[#This Row],[DESPESAS]]+Tabela224[[#This Row],[IPI]]+Tabela224[[#This Row],[Vl. Produto]])*Tabela224[[#This Row],[Aliq.%]]</f>
        <v>0</v>
      </c>
    </row>
    <row r="194" spans="13:19" x14ac:dyDescent="0.25">
      <c r="M194" s="46"/>
      <c r="N194" s="46"/>
      <c r="O194" s="46"/>
      <c r="P194" s="46"/>
      <c r="R194" s="15">
        <v>7.0000000000000007E-2</v>
      </c>
      <c r="S194" s="18">
        <f>(Tabela224[[#This Row],[FRETE]]+Tabela224[[#This Row],[DESPESAS]]+Tabela224[[#This Row],[IPI]]+Tabela224[[#This Row],[Vl. Produto]])*Tabela224[[#This Row],[Aliq.%]]</f>
        <v>0</v>
      </c>
    </row>
    <row r="195" spans="13:19" x14ac:dyDescent="0.25">
      <c r="M195" s="46"/>
      <c r="N195" s="46"/>
      <c r="O195" s="46"/>
      <c r="P195" s="46"/>
      <c r="R195" s="15">
        <v>7.0000000000000007E-2</v>
      </c>
      <c r="S195" s="18">
        <f>(Tabela224[[#This Row],[FRETE]]+Tabela224[[#This Row],[DESPESAS]]+Tabela224[[#This Row],[IPI]]+Tabela224[[#This Row],[Vl. Produto]])*Tabela224[[#This Row],[Aliq.%]]</f>
        <v>0</v>
      </c>
    </row>
    <row r="196" spans="13:19" x14ac:dyDescent="0.25">
      <c r="M196" s="46"/>
      <c r="N196" s="46"/>
      <c r="O196" s="46"/>
      <c r="P196" s="46"/>
      <c r="R196" s="15">
        <v>7.0000000000000007E-2</v>
      </c>
      <c r="S196" s="18">
        <f>(Tabela224[[#This Row],[FRETE]]+Tabela224[[#This Row],[DESPESAS]]+Tabela224[[#This Row],[IPI]]+Tabela224[[#This Row],[Vl. Produto]])*Tabela224[[#This Row],[Aliq.%]]</f>
        <v>0</v>
      </c>
    </row>
    <row r="197" spans="13:19" x14ac:dyDescent="0.25">
      <c r="M197" s="46"/>
      <c r="N197" s="46"/>
      <c r="O197" s="46"/>
      <c r="P197" s="46"/>
      <c r="R197" s="15">
        <v>7.0000000000000007E-2</v>
      </c>
      <c r="S197" s="18">
        <f>(Tabela224[[#This Row],[FRETE]]+Tabela224[[#This Row],[DESPESAS]]+Tabela224[[#This Row],[IPI]]+Tabela224[[#This Row],[Vl. Produto]])*Tabela224[[#This Row],[Aliq.%]]</f>
        <v>0</v>
      </c>
    </row>
    <row r="198" spans="13:19" x14ac:dyDescent="0.25">
      <c r="M198" s="46"/>
      <c r="N198" s="46"/>
      <c r="O198" s="46"/>
      <c r="P198" s="46"/>
      <c r="R198" s="15">
        <v>7.0000000000000007E-2</v>
      </c>
      <c r="S198" s="18">
        <f>(Tabela224[[#This Row],[FRETE]]+Tabela224[[#This Row],[DESPESAS]]+Tabela224[[#This Row],[IPI]]+Tabela224[[#This Row],[Vl. Produto]])*Tabela224[[#This Row],[Aliq.%]]</f>
        <v>0</v>
      </c>
    </row>
    <row r="199" spans="13:19" x14ac:dyDescent="0.25">
      <c r="M199" s="46"/>
      <c r="N199" s="46"/>
      <c r="O199" s="46"/>
      <c r="P199" s="46"/>
      <c r="R199" s="15">
        <v>7.0000000000000007E-2</v>
      </c>
      <c r="S199" s="18">
        <f>(Tabela224[[#This Row],[FRETE]]+Tabela224[[#This Row],[DESPESAS]]+Tabela224[[#This Row],[IPI]]+Tabela224[[#This Row],[Vl. Produto]])*Tabela224[[#This Row],[Aliq.%]]</f>
        <v>0</v>
      </c>
    </row>
    <row r="200" spans="13:19" x14ac:dyDescent="0.25">
      <c r="M200" s="46"/>
      <c r="N200" s="46"/>
      <c r="O200" s="46"/>
      <c r="P200" s="46"/>
      <c r="R200" s="15">
        <v>7.0000000000000007E-2</v>
      </c>
      <c r="S200" s="18">
        <f>(Tabela224[[#This Row],[FRETE]]+Tabela224[[#This Row],[DESPESAS]]+Tabela224[[#This Row],[IPI]]+Tabela224[[#This Row],[Vl. Produto]])*Tabela224[[#This Row],[Aliq.%]]</f>
        <v>0</v>
      </c>
    </row>
    <row r="201" spans="13:19" x14ac:dyDescent="0.25">
      <c r="M201" s="46"/>
      <c r="N201" s="46"/>
      <c r="O201" s="46"/>
      <c r="P201" s="46"/>
      <c r="R201" s="15">
        <v>7.0000000000000007E-2</v>
      </c>
      <c r="S201" s="18">
        <f>(Tabela224[[#This Row],[FRETE]]+Tabela224[[#This Row],[DESPESAS]]+Tabela224[[#This Row],[IPI]]+Tabela224[[#This Row],[Vl. Produto]])*Tabela224[[#This Row],[Aliq.%]]</f>
        <v>0</v>
      </c>
    </row>
    <row r="202" spans="13:19" x14ac:dyDescent="0.25">
      <c r="M202" s="46"/>
      <c r="N202" s="46"/>
      <c r="O202" s="46"/>
      <c r="P202" s="46"/>
      <c r="R202" s="15">
        <v>7.0000000000000007E-2</v>
      </c>
      <c r="S202" s="18">
        <f>(Tabela224[[#This Row],[FRETE]]+Tabela224[[#This Row],[DESPESAS]]+Tabela224[[#This Row],[IPI]]+Tabela224[[#This Row],[Vl. Produto]])*Tabela224[[#This Row],[Aliq.%]]</f>
        <v>0</v>
      </c>
    </row>
    <row r="203" spans="13:19" x14ac:dyDescent="0.25">
      <c r="M203" s="46"/>
      <c r="N203" s="46"/>
      <c r="O203" s="46"/>
      <c r="P203" s="46"/>
      <c r="R203" s="15">
        <v>7.0000000000000007E-2</v>
      </c>
      <c r="S203" s="18">
        <f>(Tabela224[[#This Row],[FRETE]]+Tabela224[[#This Row],[DESPESAS]]+Tabela224[[#This Row],[IPI]]+Tabela224[[#This Row],[Vl. Produto]])*Tabela224[[#This Row],[Aliq.%]]</f>
        <v>0</v>
      </c>
    </row>
    <row r="204" spans="13:19" x14ac:dyDescent="0.25">
      <c r="M204" s="46"/>
      <c r="N204" s="46"/>
      <c r="O204" s="46"/>
      <c r="P204" s="46"/>
      <c r="R204" s="15">
        <v>7.0000000000000007E-2</v>
      </c>
      <c r="S204" s="18">
        <f>(Tabela224[[#This Row],[FRETE]]+Tabela224[[#This Row],[DESPESAS]]+Tabela224[[#This Row],[IPI]]+Tabela224[[#This Row],[Vl. Produto]])*Tabela224[[#This Row],[Aliq.%]]</f>
        <v>0</v>
      </c>
    </row>
    <row r="205" spans="13:19" x14ac:dyDescent="0.25">
      <c r="M205" s="46"/>
      <c r="N205" s="46"/>
      <c r="O205" s="46"/>
      <c r="P205" s="46"/>
      <c r="R205" s="15">
        <v>7.0000000000000007E-2</v>
      </c>
      <c r="S205" s="18">
        <f>(Tabela224[[#This Row],[FRETE]]+Tabela224[[#This Row],[DESPESAS]]+Tabela224[[#This Row],[IPI]]+Tabela224[[#This Row],[Vl. Produto]])*Tabela224[[#This Row],[Aliq.%]]</f>
        <v>0</v>
      </c>
    </row>
    <row r="206" spans="13:19" x14ac:dyDescent="0.25">
      <c r="M206" s="46"/>
      <c r="N206" s="46"/>
      <c r="O206" s="46"/>
      <c r="P206" s="46"/>
      <c r="R206" s="15">
        <v>7.0000000000000007E-2</v>
      </c>
      <c r="S206" s="18">
        <f>(Tabela224[[#This Row],[FRETE]]+Tabela224[[#This Row],[DESPESAS]]+Tabela224[[#This Row],[IPI]]+Tabela224[[#This Row],[Vl. Produto]])*Tabela224[[#This Row],[Aliq.%]]</f>
        <v>0</v>
      </c>
    </row>
    <row r="207" spans="13:19" x14ac:dyDescent="0.25">
      <c r="M207" s="46"/>
      <c r="N207" s="46"/>
      <c r="O207" s="46"/>
      <c r="P207" s="46"/>
      <c r="R207" s="15">
        <v>7.0000000000000007E-2</v>
      </c>
      <c r="S207" s="18">
        <f>(Tabela224[[#This Row],[FRETE]]+Tabela224[[#This Row],[DESPESAS]]+Tabela224[[#This Row],[IPI]]+Tabela224[[#This Row],[Vl. Produto]])*Tabela224[[#This Row],[Aliq.%]]</f>
        <v>0</v>
      </c>
    </row>
    <row r="208" spans="13:19" x14ac:dyDescent="0.25">
      <c r="M208" s="46"/>
      <c r="N208" s="46"/>
      <c r="O208" s="46"/>
      <c r="P208" s="46"/>
      <c r="R208" s="15">
        <v>7.0000000000000007E-2</v>
      </c>
      <c r="S208" s="18">
        <f>(Tabela224[[#This Row],[FRETE]]+Tabela224[[#This Row],[DESPESAS]]+Tabela224[[#This Row],[IPI]]+Tabela224[[#This Row],[Vl. Produto]])*Tabela224[[#This Row],[Aliq.%]]</f>
        <v>0</v>
      </c>
    </row>
    <row r="209" spans="13:19" x14ac:dyDescent="0.25">
      <c r="M209" s="46"/>
      <c r="N209" s="46"/>
      <c r="O209" s="46"/>
      <c r="P209" s="46"/>
      <c r="R209" s="15">
        <v>7.0000000000000007E-2</v>
      </c>
      <c r="S209" s="18">
        <f>(Tabela224[[#This Row],[FRETE]]+Tabela224[[#This Row],[DESPESAS]]+Tabela224[[#This Row],[IPI]]+Tabela224[[#This Row],[Vl. Produto]])*Tabela224[[#This Row],[Aliq.%]]</f>
        <v>0</v>
      </c>
    </row>
    <row r="210" spans="13:19" x14ac:dyDescent="0.25">
      <c r="M210" s="46"/>
      <c r="N210" s="46"/>
      <c r="O210" s="46"/>
      <c r="P210" s="46"/>
      <c r="R210" s="15">
        <v>7.0000000000000007E-2</v>
      </c>
      <c r="S210" s="18">
        <f>(Tabela224[[#This Row],[FRETE]]+Tabela224[[#This Row],[DESPESAS]]+Tabela224[[#This Row],[IPI]]+Tabela224[[#This Row],[Vl. Produto]])*Tabela224[[#This Row],[Aliq.%]]</f>
        <v>0</v>
      </c>
    </row>
    <row r="211" spans="13:19" x14ac:dyDescent="0.25">
      <c r="M211" s="46"/>
      <c r="N211" s="46"/>
      <c r="O211" s="46"/>
      <c r="P211" s="46"/>
      <c r="R211" s="15">
        <v>7.0000000000000007E-2</v>
      </c>
      <c r="S211" s="18">
        <f>(Tabela224[[#This Row],[FRETE]]+Tabela224[[#This Row],[DESPESAS]]+Tabela224[[#This Row],[IPI]]+Tabela224[[#This Row],[Vl. Produto]])*Tabela224[[#This Row],[Aliq.%]]</f>
        <v>0</v>
      </c>
    </row>
    <row r="212" spans="13:19" x14ac:dyDescent="0.25">
      <c r="M212" s="46"/>
      <c r="N212" s="46"/>
      <c r="O212" s="46"/>
      <c r="P212" s="46"/>
      <c r="R212" s="15">
        <v>7.0000000000000007E-2</v>
      </c>
      <c r="S212" s="18">
        <f>(Tabela224[[#This Row],[FRETE]]+Tabela224[[#This Row],[DESPESAS]]+Tabela224[[#This Row],[IPI]]+Tabela224[[#This Row],[Vl. Produto]])*Tabela224[[#This Row],[Aliq.%]]</f>
        <v>0</v>
      </c>
    </row>
    <row r="213" spans="13:19" x14ac:dyDescent="0.25">
      <c r="M213" s="46"/>
      <c r="N213" s="46"/>
      <c r="O213" s="46"/>
      <c r="P213" s="46"/>
      <c r="R213" s="15">
        <v>7.0000000000000007E-2</v>
      </c>
      <c r="S213" s="18">
        <f>(Tabela224[[#This Row],[FRETE]]+Tabela224[[#This Row],[DESPESAS]]+Tabela224[[#This Row],[IPI]]+Tabela224[[#This Row],[Vl. Produto]])*Tabela224[[#This Row],[Aliq.%]]</f>
        <v>0</v>
      </c>
    </row>
    <row r="214" spans="13:19" x14ac:dyDescent="0.25">
      <c r="M214" s="46"/>
      <c r="N214" s="46"/>
      <c r="O214" s="46"/>
      <c r="P214" s="46"/>
      <c r="R214" s="15">
        <v>7.0000000000000007E-2</v>
      </c>
      <c r="S214" s="18">
        <f>(Tabela224[[#This Row],[FRETE]]+Tabela224[[#This Row],[DESPESAS]]+Tabela224[[#This Row],[IPI]]+Tabela224[[#This Row],[Vl. Produto]])*Tabela224[[#This Row],[Aliq.%]]</f>
        <v>0</v>
      </c>
    </row>
    <row r="215" spans="13:19" x14ac:dyDescent="0.25">
      <c r="M215" s="46"/>
      <c r="N215" s="46"/>
      <c r="O215" s="46"/>
      <c r="P215" s="46"/>
      <c r="R215" s="15">
        <v>7.0000000000000007E-2</v>
      </c>
      <c r="S215" s="18">
        <f>(Tabela224[[#This Row],[FRETE]]+Tabela224[[#This Row],[DESPESAS]]+Tabela224[[#This Row],[IPI]]+Tabela224[[#This Row],[Vl. Produto]])*Tabela224[[#This Row],[Aliq.%]]</f>
        <v>0</v>
      </c>
    </row>
    <row r="216" spans="13:19" x14ac:dyDescent="0.25">
      <c r="M216" s="46"/>
      <c r="N216" s="46"/>
      <c r="O216" s="46"/>
      <c r="P216" s="46"/>
      <c r="R216" s="15">
        <v>7.0000000000000007E-2</v>
      </c>
      <c r="S216" s="18">
        <f>(Tabela224[[#This Row],[FRETE]]+Tabela224[[#This Row],[DESPESAS]]+Tabela224[[#This Row],[IPI]]+Tabela224[[#This Row],[Vl. Produto]])*Tabela224[[#This Row],[Aliq.%]]</f>
        <v>0</v>
      </c>
    </row>
    <row r="217" spans="13:19" x14ac:dyDescent="0.25">
      <c r="M217" s="46"/>
      <c r="N217" s="46"/>
      <c r="O217" s="46"/>
      <c r="P217" s="46"/>
      <c r="R217" s="15">
        <v>7.0000000000000007E-2</v>
      </c>
      <c r="S217" s="18">
        <f>(Tabela224[[#This Row],[FRETE]]+Tabela224[[#This Row],[DESPESAS]]+Tabela224[[#This Row],[IPI]]+Tabela224[[#This Row],[Vl. Produto]])*Tabela224[[#This Row],[Aliq.%]]</f>
        <v>0</v>
      </c>
    </row>
    <row r="218" spans="13:19" x14ac:dyDescent="0.25">
      <c r="M218" s="46"/>
      <c r="N218" s="46"/>
      <c r="O218" s="46"/>
      <c r="P218" s="46"/>
      <c r="R218" s="15">
        <v>7.0000000000000007E-2</v>
      </c>
      <c r="S218" s="18">
        <f>(Tabela224[[#This Row],[FRETE]]+Tabela224[[#This Row],[DESPESAS]]+Tabela224[[#This Row],[IPI]]+Tabela224[[#This Row],[Vl. Produto]])*Tabela224[[#This Row],[Aliq.%]]</f>
        <v>0</v>
      </c>
    </row>
    <row r="219" spans="13:19" x14ac:dyDescent="0.25">
      <c r="M219" s="46"/>
      <c r="N219" s="46"/>
      <c r="O219" s="46"/>
      <c r="P219" s="46"/>
      <c r="R219" s="15">
        <v>7.0000000000000007E-2</v>
      </c>
      <c r="S219" s="18">
        <f>(Tabela224[[#This Row],[FRETE]]+Tabela224[[#This Row],[DESPESAS]]+Tabela224[[#This Row],[IPI]]+Tabela224[[#This Row],[Vl. Produto]])*Tabela224[[#This Row],[Aliq.%]]</f>
        <v>0</v>
      </c>
    </row>
    <row r="220" spans="13:19" x14ac:dyDescent="0.25">
      <c r="M220" s="46"/>
      <c r="N220" s="46"/>
      <c r="O220" s="46"/>
      <c r="P220" s="46"/>
      <c r="R220" s="15">
        <v>7.0000000000000007E-2</v>
      </c>
      <c r="S220" s="18">
        <f>(Tabela224[[#This Row],[FRETE]]+Tabela224[[#This Row],[DESPESAS]]+Tabela224[[#This Row],[IPI]]+Tabela224[[#This Row],[Vl. Produto]])*Tabela224[[#This Row],[Aliq.%]]</f>
        <v>0</v>
      </c>
    </row>
    <row r="221" spans="13:19" x14ac:dyDescent="0.25">
      <c r="M221" s="46"/>
      <c r="N221" s="46"/>
      <c r="O221" s="46"/>
      <c r="P221" s="46"/>
      <c r="R221" s="15">
        <v>7.0000000000000007E-2</v>
      </c>
      <c r="S221" s="18">
        <f>(Tabela224[[#This Row],[FRETE]]+Tabela224[[#This Row],[DESPESAS]]+Tabela224[[#This Row],[IPI]]+Tabela224[[#This Row],[Vl. Produto]])*Tabela224[[#This Row],[Aliq.%]]</f>
        <v>0</v>
      </c>
    </row>
    <row r="222" spans="13:19" x14ac:dyDescent="0.25">
      <c r="M222" s="46"/>
      <c r="N222" s="46"/>
      <c r="O222" s="46"/>
      <c r="P222" s="46"/>
      <c r="R222" s="15">
        <v>7.0000000000000007E-2</v>
      </c>
      <c r="S222" s="18">
        <f>(Tabela224[[#This Row],[FRETE]]+Tabela224[[#This Row],[DESPESAS]]+Tabela224[[#This Row],[IPI]]+Tabela224[[#This Row],[Vl. Produto]])*Tabela224[[#This Row],[Aliq.%]]</f>
        <v>0</v>
      </c>
    </row>
    <row r="223" spans="13:19" x14ac:dyDescent="0.25">
      <c r="M223" s="46"/>
      <c r="N223" s="46"/>
      <c r="O223" s="46"/>
      <c r="P223" s="46"/>
      <c r="R223" s="15">
        <v>7.0000000000000007E-2</v>
      </c>
      <c r="S223" s="18">
        <f>(Tabela224[[#This Row],[FRETE]]+Tabela224[[#This Row],[DESPESAS]]+Tabela224[[#This Row],[IPI]]+Tabela224[[#This Row],[Vl. Produto]])*Tabela224[[#This Row],[Aliq.%]]</f>
        <v>0</v>
      </c>
    </row>
    <row r="224" spans="13:19" x14ac:dyDescent="0.25">
      <c r="M224" s="46"/>
      <c r="N224" s="46"/>
      <c r="O224" s="46"/>
      <c r="P224" s="46"/>
      <c r="R224" s="15">
        <v>7.0000000000000007E-2</v>
      </c>
      <c r="S224" s="18">
        <f>(Tabela224[[#This Row],[FRETE]]+Tabela224[[#This Row],[DESPESAS]]+Tabela224[[#This Row],[IPI]]+Tabela224[[#This Row],[Vl. Produto]])*Tabela224[[#This Row],[Aliq.%]]</f>
        <v>0</v>
      </c>
    </row>
    <row r="225" spans="13:19" x14ac:dyDescent="0.25">
      <c r="M225" s="46"/>
      <c r="N225" s="46"/>
      <c r="O225" s="46"/>
      <c r="P225" s="46"/>
      <c r="R225" s="15">
        <v>7.0000000000000007E-2</v>
      </c>
      <c r="S225" s="18">
        <f>(Tabela224[[#This Row],[FRETE]]+Tabela224[[#This Row],[DESPESAS]]+Tabela224[[#This Row],[IPI]]+Tabela224[[#This Row],[Vl. Produto]])*Tabela224[[#This Row],[Aliq.%]]</f>
        <v>0</v>
      </c>
    </row>
    <row r="226" spans="13:19" x14ac:dyDescent="0.25">
      <c r="M226" s="46"/>
      <c r="N226" s="46"/>
      <c r="O226" s="46"/>
      <c r="P226" s="46"/>
      <c r="R226" s="15">
        <v>7.0000000000000007E-2</v>
      </c>
      <c r="S226" s="18">
        <f>(Tabela224[[#This Row],[FRETE]]+Tabela224[[#This Row],[DESPESAS]]+Tabela224[[#This Row],[IPI]]+Tabela224[[#This Row],[Vl. Produto]])*Tabela224[[#This Row],[Aliq.%]]</f>
        <v>0</v>
      </c>
    </row>
    <row r="227" spans="13:19" x14ac:dyDescent="0.25">
      <c r="M227" s="46"/>
      <c r="N227" s="46"/>
      <c r="O227" s="46"/>
      <c r="P227" s="46"/>
      <c r="R227" s="15">
        <v>7.0000000000000007E-2</v>
      </c>
      <c r="S227" s="18">
        <f>(Tabela224[[#This Row],[FRETE]]+Tabela224[[#This Row],[DESPESAS]]+Tabela224[[#This Row],[IPI]]+Tabela224[[#This Row],[Vl. Produto]])*Tabela224[[#This Row],[Aliq.%]]</f>
        <v>0</v>
      </c>
    </row>
    <row r="228" spans="13:19" x14ac:dyDescent="0.25">
      <c r="M228" s="46"/>
      <c r="N228" s="46"/>
      <c r="O228" s="46"/>
      <c r="P228" s="46"/>
      <c r="R228" s="15">
        <v>7.0000000000000007E-2</v>
      </c>
      <c r="S228" s="18">
        <f>(Tabela224[[#This Row],[FRETE]]+Tabela224[[#This Row],[DESPESAS]]+Tabela224[[#This Row],[IPI]]+Tabela224[[#This Row],[Vl. Produto]])*Tabela224[[#This Row],[Aliq.%]]</f>
        <v>0</v>
      </c>
    </row>
    <row r="229" spans="13:19" x14ac:dyDescent="0.25">
      <c r="M229" s="46"/>
      <c r="N229" s="46"/>
      <c r="O229" s="46"/>
      <c r="P229" s="46"/>
      <c r="R229" s="15">
        <v>7.0000000000000007E-2</v>
      </c>
      <c r="S229" s="18">
        <f>(Tabela224[[#This Row],[FRETE]]+Tabela224[[#This Row],[DESPESAS]]+Tabela224[[#This Row],[IPI]]+Tabela224[[#This Row],[Vl. Produto]])*Tabela224[[#This Row],[Aliq.%]]</f>
        <v>0</v>
      </c>
    </row>
    <row r="230" spans="13:19" x14ac:dyDescent="0.25">
      <c r="M230" s="46"/>
      <c r="N230" s="46"/>
      <c r="O230" s="46"/>
      <c r="P230" s="46"/>
      <c r="R230" s="15">
        <v>7.0000000000000007E-2</v>
      </c>
      <c r="S230" s="18">
        <f>(Tabela224[[#This Row],[FRETE]]+Tabela224[[#This Row],[DESPESAS]]+Tabela224[[#This Row],[IPI]]+Tabela224[[#This Row],[Vl. Produto]])*Tabela224[[#This Row],[Aliq.%]]</f>
        <v>0</v>
      </c>
    </row>
    <row r="231" spans="13:19" x14ac:dyDescent="0.25">
      <c r="M231" s="46"/>
      <c r="N231" s="46"/>
      <c r="O231" s="46"/>
      <c r="P231" s="46"/>
      <c r="R231" s="15">
        <v>7.0000000000000007E-2</v>
      </c>
      <c r="S231" s="18">
        <f>(Tabela224[[#This Row],[FRETE]]+Tabela224[[#This Row],[DESPESAS]]+Tabela224[[#This Row],[IPI]]+Tabela224[[#This Row],[Vl. Produto]])*Tabela224[[#This Row],[Aliq.%]]</f>
        <v>0</v>
      </c>
    </row>
    <row r="232" spans="13:19" x14ac:dyDescent="0.25">
      <c r="M232" s="46"/>
      <c r="N232" s="46"/>
      <c r="O232" s="46"/>
      <c r="P232" s="46"/>
      <c r="R232" s="15">
        <v>7.0000000000000007E-2</v>
      </c>
      <c r="S232" s="18">
        <f>(Tabela224[[#This Row],[FRETE]]+Tabela224[[#This Row],[DESPESAS]]+Tabela224[[#This Row],[IPI]]+Tabela224[[#This Row],[Vl. Produto]])*Tabela224[[#This Row],[Aliq.%]]</f>
        <v>0</v>
      </c>
    </row>
    <row r="233" spans="13:19" x14ac:dyDescent="0.25">
      <c r="M233" s="46"/>
      <c r="N233" s="46"/>
      <c r="O233" s="46"/>
      <c r="P233" s="46"/>
      <c r="R233" s="15">
        <v>7.0000000000000007E-2</v>
      </c>
      <c r="S233" s="18">
        <f>(Tabela224[[#This Row],[FRETE]]+Tabela224[[#This Row],[DESPESAS]]+Tabela224[[#This Row],[IPI]]+Tabela224[[#This Row],[Vl. Produto]])*Tabela224[[#This Row],[Aliq.%]]</f>
        <v>0</v>
      </c>
    </row>
    <row r="234" spans="13:19" x14ac:dyDescent="0.25">
      <c r="M234" s="46"/>
      <c r="N234" s="46"/>
      <c r="O234" s="46"/>
      <c r="P234" s="46"/>
      <c r="R234" s="15">
        <v>7.0000000000000007E-2</v>
      </c>
      <c r="S234" s="18">
        <f>(Tabela224[[#This Row],[FRETE]]+Tabela224[[#This Row],[DESPESAS]]+Tabela224[[#This Row],[IPI]]+Tabela224[[#This Row],[Vl. Produto]])*Tabela224[[#This Row],[Aliq.%]]</f>
        <v>0</v>
      </c>
    </row>
    <row r="235" spans="13:19" x14ac:dyDescent="0.25">
      <c r="M235" s="46"/>
      <c r="N235" s="46"/>
      <c r="O235" s="46"/>
      <c r="P235" s="46"/>
      <c r="R235" s="15">
        <v>7.0000000000000007E-2</v>
      </c>
      <c r="S235" s="18">
        <f>(Tabela224[[#This Row],[FRETE]]+Tabela224[[#This Row],[DESPESAS]]+Tabela224[[#This Row],[IPI]]+Tabela224[[#This Row],[Vl. Produto]])*Tabela224[[#This Row],[Aliq.%]]</f>
        <v>0</v>
      </c>
    </row>
    <row r="236" spans="13:19" x14ac:dyDescent="0.25">
      <c r="M236" s="46"/>
      <c r="N236" s="46"/>
      <c r="O236" s="46"/>
      <c r="P236" s="46"/>
      <c r="R236" s="15">
        <v>7.0000000000000007E-2</v>
      </c>
      <c r="S236" s="18">
        <f>(Tabela224[[#This Row],[FRETE]]+Tabela224[[#This Row],[DESPESAS]]+Tabela224[[#This Row],[IPI]]+Tabela224[[#This Row],[Vl. Produto]])*Tabela224[[#This Row],[Aliq.%]]</f>
        <v>0</v>
      </c>
    </row>
    <row r="237" spans="13:19" x14ac:dyDescent="0.25">
      <c r="M237" s="46"/>
      <c r="N237" s="46"/>
      <c r="O237" s="46"/>
      <c r="P237" s="46"/>
      <c r="R237" s="15">
        <v>7.0000000000000007E-2</v>
      </c>
      <c r="S237" s="18">
        <f>(Tabela224[[#This Row],[FRETE]]+Tabela224[[#This Row],[DESPESAS]]+Tabela224[[#This Row],[IPI]]+Tabela224[[#This Row],[Vl. Produto]])*Tabela224[[#This Row],[Aliq.%]]</f>
        <v>0</v>
      </c>
    </row>
    <row r="238" spans="13:19" x14ac:dyDescent="0.25">
      <c r="M238" s="46"/>
      <c r="N238" s="46"/>
      <c r="O238" s="46"/>
      <c r="P238" s="46"/>
      <c r="R238" s="15">
        <v>7.0000000000000007E-2</v>
      </c>
      <c r="S238" s="18">
        <f>(Tabela224[[#This Row],[FRETE]]+Tabela224[[#This Row],[DESPESAS]]+Tabela224[[#This Row],[IPI]]+Tabela224[[#This Row],[Vl. Produto]])*Tabela224[[#This Row],[Aliq.%]]</f>
        <v>0</v>
      </c>
    </row>
    <row r="239" spans="13:19" x14ac:dyDescent="0.25">
      <c r="M239" s="46"/>
      <c r="N239" s="46"/>
      <c r="O239" s="46"/>
      <c r="P239" s="46"/>
      <c r="R239" s="15">
        <v>7.0000000000000007E-2</v>
      </c>
      <c r="S239" s="18">
        <f>(Tabela224[[#This Row],[FRETE]]+Tabela224[[#This Row],[DESPESAS]]+Tabela224[[#This Row],[IPI]]+Tabela224[[#This Row],[Vl. Produto]])*Tabela224[[#This Row],[Aliq.%]]</f>
        <v>0</v>
      </c>
    </row>
    <row r="240" spans="13:19" x14ac:dyDescent="0.25">
      <c r="M240" s="46"/>
      <c r="N240" s="46"/>
      <c r="O240" s="46"/>
      <c r="P240" s="46"/>
      <c r="R240" s="15">
        <v>7.0000000000000007E-2</v>
      </c>
      <c r="S240" s="18">
        <f>(Tabela224[[#This Row],[FRETE]]+Tabela224[[#This Row],[DESPESAS]]+Tabela224[[#This Row],[IPI]]+Tabela224[[#This Row],[Vl. Produto]])*Tabela224[[#This Row],[Aliq.%]]</f>
        <v>0</v>
      </c>
    </row>
    <row r="241" spans="13:19" x14ac:dyDescent="0.25">
      <c r="M241" s="46"/>
      <c r="N241" s="46"/>
      <c r="O241" s="46"/>
      <c r="P241" s="46"/>
      <c r="R241" s="15">
        <v>7.0000000000000007E-2</v>
      </c>
      <c r="S241" s="18">
        <f>(Tabela224[[#This Row],[FRETE]]+Tabela224[[#This Row],[DESPESAS]]+Tabela224[[#This Row],[IPI]]+Tabela224[[#This Row],[Vl. Produto]])*Tabela224[[#This Row],[Aliq.%]]</f>
        <v>0</v>
      </c>
    </row>
    <row r="242" spans="13:19" x14ac:dyDescent="0.25">
      <c r="M242" s="46"/>
      <c r="N242" s="46"/>
      <c r="O242" s="46"/>
      <c r="P242" s="46"/>
      <c r="R242" s="15">
        <v>7.0000000000000007E-2</v>
      </c>
      <c r="S242" s="18">
        <f>(Tabela224[[#This Row],[FRETE]]+Tabela224[[#This Row],[DESPESAS]]+Tabela224[[#This Row],[IPI]]+Tabela224[[#This Row],[Vl. Produto]])*Tabela224[[#This Row],[Aliq.%]]</f>
        <v>0</v>
      </c>
    </row>
    <row r="243" spans="13:19" x14ac:dyDescent="0.25">
      <c r="M243" s="46"/>
      <c r="N243" s="46"/>
      <c r="O243" s="46"/>
      <c r="P243" s="46"/>
      <c r="R243" s="15">
        <v>7.0000000000000007E-2</v>
      </c>
      <c r="S243" s="18">
        <f>(Tabela224[[#This Row],[FRETE]]+Tabela224[[#This Row],[DESPESAS]]+Tabela224[[#This Row],[IPI]]+Tabela224[[#This Row],[Vl. Produto]])*Tabela224[[#This Row],[Aliq.%]]</f>
        <v>0</v>
      </c>
    </row>
    <row r="244" spans="13:19" x14ac:dyDescent="0.25">
      <c r="M244" s="46"/>
      <c r="N244" s="46"/>
      <c r="O244" s="46"/>
      <c r="P244" s="46"/>
      <c r="R244" s="15">
        <v>7.0000000000000007E-2</v>
      </c>
      <c r="S244" s="18">
        <f>(Tabela224[[#This Row],[FRETE]]+Tabela224[[#This Row],[DESPESAS]]+Tabela224[[#This Row],[IPI]]+Tabela224[[#This Row],[Vl. Produto]])*Tabela224[[#This Row],[Aliq.%]]</f>
        <v>0</v>
      </c>
    </row>
    <row r="245" spans="13:19" x14ac:dyDescent="0.25">
      <c r="M245" s="46"/>
      <c r="N245" s="46"/>
      <c r="O245" s="46"/>
      <c r="P245" s="46"/>
      <c r="R245" s="15">
        <v>7.0000000000000007E-2</v>
      </c>
      <c r="S245" s="18">
        <f>(Tabela224[[#This Row],[FRETE]]+Tabela224[[#This Row],[DESPESAS]]+Tabela224[[#This Row],[IPI]]+Tabela224[[#This Row],[Vl. Produto]])*Tabela224[[#This Row],[Aliq.%]]</f>
        <v>0</v>
      </c>
    </row>
    <row r="246" spans="13:19" x14ac:dyDescent="0.25">
      <c r="M246" s="46"/>
      <c r="N246" s="46"/>
      <c r="O246" s="46"/>
      <c r="P246" s="46"/>
      <c r="R246" s="15">
        <v>7.0000000000000007E-2</v>
      </c>
      <c r="S246" s="18">
        <f>(Tabela224[[#This Row],[FRETE]]+Tabela224[[#This Row],[DESPESAS]]+Tabela224[[#This Row],[IPI]]+Tabela224[[#This Row],[Vl. Produto]])*Tabela224[[#This Row],[Aliq.%]]</f>
        <v>0</v>
      </c>
    </row>
    <row r="247" spans="13:19" x14ac:dyDescent="0.25">
      <c r="M247" s="46"/>
      <c r="N247" s="46"/>
      <c r="O247" s="46"/>
      <c r="P247" s="46"/>
      <c r="R247" s="15">
        <v>7.0000000000000007E-2</v>
      </c>
      <c r="S247" s="18">
        <f>(Tabela224[[#This Row],[FRETE]]+Tabela224[[#This Row],[DESPESAS]]+Tabela224[[#This Row],[IPI]]+Tabela224[[#This Row],[Vl. Produto]])*Tabela224[[#This Row],[Aliq.%]]</f>
        <v>0</v>
      </c>
    </row>
    <row r="248" spans="13:19" x14ac:dyDescent="0.25">
      <c r="M248" s="46"/>
      <c r="N248" s="46"/>
      <c r="O248" s="46"/>
      <c r="P248" s="46"/>
      <c r="R248" s="15">
        <v>7.0000000000000007E-2</v>
      </c>
      <c r="S248" s="18">
        <f>(Tabela224[[#This Row],[FRETE]]+Tabela224[[#This Row],[DESPESAS]]+Tabela224[[#This Row],[IPI]]+Tabela224[[#This Row],[Vl. Produto]])*Tabela224[[#This Row],[Aliq.%]]</f>
        <v>0</v>
      </c>
    </row>
    <row r="249" spans="13:19" x14ac:dyDescent="0.25">
      <c r="M249" s="46"/>
      <c r="N249" s="46"/>
      <c r="O249" s="46"/>
      <c r="P249" s="46"/>
      <c r="R249" s="15">
        <v>7.0000000000000007E-2</v>
      </c>
      <c r="S249" s="18">
        <f>(Tabela224[[#This Row],[FRETE]]+Tabela224[[#This Row],[DESPESAS]]+Tabela224[[#This Row],[IPI]]+Tabela224[[#This Row],[Vl. Produto]])*Tabela224[[#This Row],[Aliq.%]]</f>
        <v>0</v>
      </c>
    </row>
    <row r="250" spans="13:19" x14ac:dyDescent="0.25">
      <c r="M250" s="46"/>
      <c r="N250" s="46"/>
      <c r="O250" s="46"/>
      <c r="P250" s="46"/>
      <c r="R250" s="15">
        <v>7.0000000000000007E-2</v>
      </c>
      <c r="S250" s="18">
        <f>(Tabela224[[#This Row],[FRETE]]+Tabela224[[#This Row],[DESPESAS]]+Tabela224[[#This Row],[IPI]]+Tabela224[[#This Row],[Vl. Produto]])*Tabela224[[#This Row],[Aliq.%]]</f>
        <v>0</v>
      </c>
    </row>
    <row r="251" spans="13:19" x14ac:dyDescent="0.25">
      <c r="M251" s="46"/>
      <c r="N251" s="46"/>
      <c r="O251" s="46"/>
      <c r="P251" s="46"/>
      <c r="R251" s="15">
        <v>7.0000000000000007E-2</v>
      </c>
      <c r="S251" s="18">
        <f>(Tabela224[[#This Row],[FRETE]]+Tabela224[[#This Row],[DESPESAS]]+Tabela224[[#This Row],[IPI]]+Tabela224[[#This Row],[Vl. Produto]])*Tabela224[[#This Row],[Aliq.%]]</f>
        <v>0</v>
      </c>
    </row>
    <row r="252" spans="13:19" x14ac:dyDescent="0.25">
      <c r="M252" s="46"/>
      <c r="N252" s="46"/>
      <c r="O252" s="46"/>
      <c r="P252" s="46"/>
      <c r="R252" s="15">
        <v>7.0000000000000007E-2</v>
      </c>
      <c r="S252" s="18">
        <f>(Tabela224[[#This Row],[FRETE]]+Tabela224[[#This Row],[DESPESAS]]+Tabela224[[#This Row],[IPI]]+Tabela224[[#This Row],[Vl. Produto]])*Tabela224[[#This Row],[Aliq.%]]</f>
        <v>0</v>
      </c>
    </row>
    <row r="253" spans="13:19" x14ac:dyDescent="0.25">
      <c r="M253" s="46"/>
      <c r="N253" s="46"/>
      <c r="O253" s="46"/>
      <c r="P253" s="46"/>
      <c r="R253" s="15">
        <v>7.0000000000000007E-2</v>
      </c>
      <c r="S253" s="18">
        <f>(Tabela224[[#This Row],[FRETE]]+Tabela224[[#This Row],[DESPESAS]]+Tabela224[[#This Row],[IPI]]+Tabela224[[#This Row],[Vl. Produto]])*Tabela224[[#This Row],[Aliq.%]]</f>
        <v>0</v>
      </c>
    </row>
    <row r="254" spans="13:19" x14ac:dyDescent="0.25">
      <c r="M254" s="46"/>
      <c r="N254" s="46"/>
      <c r="O254" s="46"/>
      <c r="P254" s="46"/>
      <c r="R254" s="15">
        <v>7.0000000000000007E-2</v>
      </c>
      <c r="S254" s="18">
        <f>(Tabela224[[#This Row],[FRETE]]+Tabela224[[#This Row],[DESPESAS]]+Tabela224[[#This Row],[IPI]]+Tabela224[[#This Row],[Vl. Produto]])*Tabela224[[#This Row],[Aliq.%]]</f>
        <v>0</v>
      </c>
    </row>
    <row r="255" spans="13:19" x14ac:dyDescent="0.25">
      <c r="M255" s="46"/>
      <c r="N255" s="46"/>
      <c r="O255" s="46"/>
      <c r="P255" s="46"/>
      <c r="R255" s="15">
        <v>7.0000000000000007E-2</v>
      </c>
      <c r="S255" s="18">
        <f>(Tabela224[[#This Row],[FRETE]]+Tabela224[[#This Row],[DESPESAS]]+Tabela224[[#This Row],[IPI]]+Tabela224[[#This Row],[Vl. Produto]])*Tabela224[[#This Row],[Aliq.%]]</f>
        <v>0</v>
      </c>
    </row>
    <row r="256" spans="13:19" x14ac:dyDescent="0.25">
      <c r="M256" s="46"/>
      <c r="N256" s="46"/>
      <c r="O256" s="46"/>
      <c r="P256" s="46"/>
      <c r="R256" s="15">
        <v>7.0000000000000007E-2</v>
      </c>
      <c r="S256" s="18">
        <f>(Tabela224[[#This Row],[FRETE]]+Tabela224[[#This Row],[DESPESAS]]+Tabela224[[#This Row],[IPI]]+Tabela224[[#This Row],[Vl. Produto]])*Tabela224[[#This Row],[Aliq.%]]</f>
        <v>0</v>
      </c>
    </row>
    <row r="257" spans="13:19" x14ac:dyDescent="0.25">
      <c r="M257" s="46"/>
      <c r="N257" s="46"/>
      <c r="O257" s="46"/>
      <c r="P257" s="46"/>
      <c r="R257" s="15">
        <v>7.0000000000000007E-2</v>
      </c>
      <c r="S257" s="18">
        <f>(Tabela224[[#This Row],[FRETE]]+Tabela224[[#This Row],[DESPESAS]]+Tabela224[[#This Row],[IPI]]+Tabela224[[#This Row],[Vl. Produto]])*Tabela224[[#This Row],[Aliq.%]]</f>
        <v>0</v>
      </c>
    </row>
    <row r="258" spans="13:19" x14ac:dyDescent="0.25">
      <c r="M258" s="46"/>
      <c r="N258" s="46"/>
      <c r="O258" s="46"/>
      <c r="P258" s="46"/>
      <c r="R258" s="15">
        <v>7.0000000000000007E-2</v>
      </c>
      <c r="S258" s="18">
        <f>(Tabela224[[#This Row],[FRETE]]+Tabela224[[#This Row],[DESPESAS]]+Tabela224[[#This Row],[IPI]]+Tabela224[[#This Row],[Vl. Produto]])*Tabela224[[#This Row],[Aliq.%]]</f>
        <v>0</v>
      </c>
    </row>
    <row r="259" spans="13:19" x14ac:dyDescent="0.25">
      <c r="M259" s="46"/>
      <c r="N259" s="46"/>
      <c r="O259" s="46"/>
      <c r="P259" s="46"/>
      <c r="R259" s="15">
        <v>7.0000000000000007E-2</v>
      </c>
      <c r="S259" s="18">
        <f>(Tabela224[[#This Row],[FRETE]]+Tabela224[[#This Row],[DESPESAS]]+Tabela224[[#This Row],[IPI]]+Tabela224[[#This Row],[Vl. Produto]])*Tabela224[[#This Row],[Aliq.%]]</f>
        <v>0</v>
      </c>
    </row>
    <row r="260" spans="13:19" x14ac:dyDescent="0.25">
      <c r="M260" s="46"/>
      <c r="N260" s="46"/>
      <c r="O260" s="46"/>
      <c r="P260" s="46"/>
      <c r="R260" s="15">
        <v>7.0000000000000007E-2</v>
      </c>
      <c r="S260" s="18">
        <f>(Tabela224[[#This Row],[FRETE]]+Tabela224[[#This Row],[DESPESAS]]+Tabela224[[#This Row],[IPI]]+Tabela224[[#This Row],[Vl. Produto]])*Tabela224[[#This Row],[Aliq.%]]</f>
        <v>0</v>
      </c>
    </row>
    <row r="261" spans="13:19" x14ac:dyDescent="0.25">
      <c r="M261" s="46"/>
      <c r="N261" s="46"/>
      <c r="O261" s="46"/>
      <c r="P261" s="46"/>
      <c r="R261" s="15">
        <v>7.0000000000000007E-2</v>
      </c>
      <c r="S261" s="18">
        <f>(Tabela224[[#This Row],[FRETE]]+Tabela224[[#This Row],[DESPESAS]]+Tabela224[[#This Row],[IPI]]+Tabela224[[#This Row],[Vl. Produto]])*Tabela224[[#This Row],[Aliq.%]]</f>
        <v>0</v>
      </c>
    </row>
    <row r="262" spans="13:19" x14ac:dyDescent="0.25">
      <c r="M262" s="46"/>
      <c r="N262" s="46"/>
      <c r="O262" s="46"/>
      <c r="P262" s="46"/>
      <c r="R262" s="15">
        <v>7.0000000000000007E-2</v>
      </c>
      <c r="S262" s="18">
        <f>(Tabela224[[#This Row],[FRETE]]+Tabela224[[#This Row],[DESPESAS]]+Tabela224[[#This Row],[IPI]]+Tabela224[[#This Row],[Vl. Produto]])*Tabela224[[#This Row],[Aliq.%]]</f>
        <v>0</v>
      </c>
    </row>
    <row r="263" spans="13:19" x14ac:dyDescent="0.25">
      <c r="M263" s="46"/>
      <c r="N263" s="46"/>
      <c r="O263" s="46"/>
      <c r="P263" s="46"/>
      <c r="R263" s="15">
        <v>7.0000000000000007E-2</v>
      </c>
      <c r="S263" s="18">
        <f>(Tabela224[[#This Row],[FRETE]]+Tabela224[[#This Row],[DESPESAS]]+Tabela224[[#This Row],[IPI]]+Tabela224[[#This Row],[Vl. Produto]])*Tabela224[[#This Row],[Aliq.%]]</f>
        <v>0</v>
      </c>
    </row>
    <row r="264" spans="13:19" x14ac:dyDescent="0.25">
      <c r="M264" s="46"/>
      <c r="N264" s="46"/>
      <c r="O264" s="46"/>
      <c r="P264" s="46"/>
      <c r="R264" s="15">
        <v>7.0000000000000007E-2</v>
      </c>
      <c r="S264" s="18">
        <f>(Tabela224[[#This Row],[FRETE]]+Tabela224[[#This Row],[DESPESAS]]+Tabela224[[#This Row],[IPI]]+Tabela224[[#This Row],[Vl. Produto]])*Tabela224[[#This Row],[Aliq.%]]</f>
        <v>0</v>
      </c>
    </row>
    <row r="265" spans="13:19" x14ac:dyDescent="0.25">
      <c r="M265" s="46"/>
      <c r="N265" s="46"/>
      <c r="O265" s="46"/>
      <c r="P265" s="46"/>
      <c r="R265" s="15">
        <v>7.0000000000000007E-2</v>
      </c>
      <c r="S265" s="18">
        <f>(Tabela224[[#This Row],[FRETE]]+Tabela224[[#This Row],[DESPESAS]]+Tabela224[[#This Row],[IPI]]+Tabela224[[#This Row],[Vl. Produto]])*Tabela224[[#This Row],[Aliq.%]]</f>
        <v>0</v>
      </c>
    </row>
    <row r="266" spans="13:19" x14ac:dyDescent="0.25">
      <c r="M266" s="46"/>
      <c r="N266" s="46"/>
      <c r="O266" s="46"/>
      <c r="P266" s="46"/>
      <c r="R266" s="15">
        <v>7.0000000000000007E-2</v>
      </c>
      <c r="S266" s="18">
        <f>(Tabela224[[#This Row],[FRETE]]+Tabela224[[#This Row],[DESPESAS]]+Tabela224[[#This Row],[IPI]]+Tabela224[[#This Row],[Vl. Produto]])*Tabela224[[#This Row],[Aliq.%]]</f>
        <v>0</v>
      </c>
    </row>
    <row r="267" spans="13:19" x14ac:dyDescent="0.25">
      <c r="M267" s="46"/>
      <c r="N267" s="46"/>
      <c r="O267" s="46"/>
      <c r="P267" s="46"/>
      <c r="R267" s="15">
        <v>7.0000000000000007E-2</v>
      </c>
      <c r="S267" s="18">
        <f>(Tabela224[[#This Row],[FRETE]]+Tabela224[[#This Row],[DESPESAS]]+Tabela224[[#This Row],[IPI]]+Tabela224[[#This Row],[Vl. Produto]])*Tabela224[[#This Row],[Aliq.%]]</f>
        <v>0</v>
      </c>
    </row>
    <row r="268" spans="13:19" x14ac:dyDescent="0.25">
      <c r="M268" s="46"/>
      <c r="N268" s="46"/>
      <c r="O268" s="46"/>
      <c r="P268" s="46"/>
      <c r="R268" s="15">
        <v>7.0000000000000007E-2</v>
      </c>
      <c r="S268" s="18">
        <f>(Tabela224[[#This Row],[FRETE]]+Tabela224[[#This Row],[DESPESAS]]+Tabela224[[#This Row],[IPI]]+Tabela224[[#This Row],[Vl. Produto]])*Tabela224[[#This Row],[Aliq.%]]</f>
        <v>0</v>
      </c>
    </row>
    <row r="269" spans="13:19" x14ac:dyDescent="0.25">
      <c r="M269" s="46"/>
      <c r="N269" s="46"/>
      <c r="O269" s="46"/>
      <c r="P269" s="46"/>
      <c r="R269" s="15">
        <v>7.0000000000000007E-2</v>
      </c>
      <c r="S269" s="18">
        <f>(Tabela224[[#This Row],[FRETE]]+Tabela224[[#This Row],[DESPESAS]]+Tabela224[[#This Row],[IPI]]+Tabela224[[#This Row],[Vl. Produto]])*Tabela224[[#This Row],[Aliq.%]]</f>
        <v>0</v>
      </c>
    </row>
    <row r="270" spans="13:19" x14ac:dyDescent="0.25">
      <c r="M270" s="46"/>
      <c r="N270" s="46"/>
      <c r="O270" s="46"/>
      <c r="P270" s="46"/>
      <c r="R270" s="15">
        <v>7.0000000000000007E-2</v>
      </c>
      <c r="S270" s="18">
        <f>(Tabela224[[#This Row],[FRETE]]+Tabela224[[#This Row],[DESPESAS]]+Tabela224[[#This Row],[IPI]]+Tabela224[[#This Row],[Vl. Produto]])*Tabela224[[#This Row],[Aliq.%]]</f>
        <v>0</v>
      </c>
    </row>
    <row r="271" spans="13:19" x14ac:dyDescent="0.25">
      <c r="M271" s="46"/>
      <c r="N271" s="46"/>
      <c r="O271" s="46"/>
      <c r="P271" s="46"/>
      <c r="R271" s="15">
        <v>7.0000000000000007E-2</v>
      </c>
      <c r="S271" s="18">
        <f>(Tabela224[[#This Row],[FRETE]]+Tabela224[[#This Row],[DESPESAS]]+Tabela224[[#This Row],[IPI]]+Tabela224[[#This Row],[Vl. Produto]])*Tabela224[[#This Row],[Aliq.%]]</f>
        <v>0</v>
      </c>
    </row>
    <row r="272" spans="13:19" x14ac:dyDescent="0.25">
      <c r="M272" s="46"/>
      <c r="N272" s="46"/>
      <c r="O272" s="46"/>
      <c r="P272" s="46"/>
      <c r="R272" s="15">
        <v>7.0000000000000007E-2</v>
      </c>
      <c r="S272" s="18">
        <f>(Tabela224[[#This Row],[FRETE]]+Tabela224[[#This Row],[DESPESAS]]+Tabela224[[#This Row],[IPI]]+Tabela224[[#This Row],[Vl. Produto]])*Tabela224[[#This Row],[Aliq.%]]</f>
        <v>0</v>
      </c>
    </row>
    <row r="273" spans="13:19" x14ac:dyDescent="0.25">
      <c r="M273" s="46"/>
      <c r="N273" s="46"/>
      <c r="O273" s="46"/>
      <c r="P273" s="46"/>
      <c r="R273" s="15">
        <v>7.0000000000000007E-2</v>
      </c>
      <c r="S273" s="18">
        <f>(Tabela224[[#This Row],[FRETE]]+Tabela224[[#This Row],[DESPESAS]]+Tabela224[[#This Row],[IPI]]+Tabela224[[#This Row],[Vl. Produto]])*Tabela224[[#This Row],[Aliq.%]]</f>
        <v>0</v>
      </c>
    </row>
    <row r="274" spans="13:19" x14ac:dyDescent="0.25">
      <c r="M274" s="46"/>
      <c r="N274" s="46"/>
      <c r="O274" s="46"/>
      <c r="P274" s="46"/>
      <c r="R274" s="15">
        <v>7.0000000000000007E-2</v>
      </c>
      <c r="S274" s="18">
        <f>(Tabela224[[#This Row],[FRETE]]+Tabela224[[#This Row],[DESPESAS]]+Tabela224[[#This Row],[IPI]]+Tabela224[[#This Row],[Vl. Produto]])*Tabela224[[#This Row],[Aliq.%]]</f>
        <v>0</v>
      </c>
    </row>
    <row r="275" spans="13:19" x14ac:dyDescent="0.25">
      <c r="M275" s="46"/>
      <c r="N275" s="46"/>
      <c r="O275" s="46"/>
      <c r="P275" s="46"/>
      <c r="R275" s="15">
        <v>7.0000000000000007E-2</v>
      </c>
      <c r="S275" s="18">
        <f>(Tabela224[[#This Row],[FRETE]]+Tabela224[[#This Row],[DESPESAS]]+Tabela224[[#This Row],[IPI]]+Tabela224[[#This Row],[Vl. Produto]])*Tabela224[[#This Row],[Aliq.%]]</f>
        <v>0</v>
      </c>
    </row>
    <row r="276" spans="13:19" x14ac:dyDescent="0.25">
      <c r="M276" s="46"/>
      <c r="N276" s="46"/>
      <c r="O276" s="46"/>
      <c r="P276" s="46"/>
      <c r="R276" s="15">
        <v>7.0000000000000007E-2</v>
      </c>
      <c r="S276" s="18">
        <f>(Tabela224[[#This Row],[FRETE]]+Tabela224[[#This Row],[DESPESAS]]+Tabela224[[#This Row],[IPI]]+Tabela224[[#This Row],[Vl. Produto]])*Tabela224[[#This Row],[Aliq.%]]</f>
        <v>0</v>
      </c>
    </row>
    <row r="277" spans="13:19" x14ac:dyDescent="0.25">
      <c r="M277" s="46"/>
      <c r="N277" s="46"/>
      <c r="O277" s="46"/>
      <c r="P277" s="46"/>
      <c r="R277" s="15">
        <v>7.0000000000000007E-2</v>
      </c>
      <c r="S277" s="18">
        <f>(Tabela224[[#This Row],[FRETE]]+Tabela224[[#This Row],[DESPESAS]]+Tabela224[[#This Row],[IPI]]+Tabela224[[#This Row],[Vl. Produto]])*Tabela224[[#This Row],[Aliq.%]]</f>
        <v>0</v>
      </c>
    </row>
    <row r="278" spans="13:19" x14ac:dyDescent="0.25">
      <c r="M278" s="46"/>
      <c r="N278" s="46"/>
      <c r="O278" s="46"/>
      <c r="P278" s="46"/>
      <c r="R278" s="15">
        <v>7.0000000000000007E-2</v>
      </c>
      <c r="S278" s="18">
        <f>(Tabela224[[#This Row],[FRETE]]+Tabela224[[#This Row],[DESPESAS]]+Tabela224[[#This Row],[IPI]]+Tabela224[[#This Row],[Vl. Produto]])*Tabela224[[#This Row],[Aliq.%]]</f>
        <v>0</v>
      </c>
    </row>
    <row r="279" spans="13:19" x14ac:dyDescent="0.25">
      <c r="M279" s="46"/>
      <c r="N279" s="46"/>
      <c r="O279" s="46"/>
      <c r="P279" s="46"/>
      <c r="R279" s="15">
        <v>7.0000000000000007E-2</v>
      </c>
      <c r="S279" s="18">
        <f>(Tabela224[[#This Row],[FRETE]]+Tabela224[[#This Row],[DESPESAS]]+Tabela224[[#This Row],[IPI]]+Tabela224[[#This Row],[Vl. Produto]])*Tabela224[[#This Row],[Aliq.%]]</f>
        <v>0</v>
      </c>
    </row>
    <row r="280" spans="13:19" x14ac:dyDescent="0.25">
      <c r="M280" s="46"/>
      <c r="N280" s="46"/>
      <c r="O280" s="46"/>
      <c r="P280" s="46"/>
      <c r="R280" s="15">
        <v>7.0000000000000007E-2</v>
      </c>
      <c r="S280" s="18">
        <f>(Tabela224[[#This Row],[FRETE]]+Tabela224[[#This Row],[DESPESAS]]+Tabela224[[#This Row],[IPI]]+Tabela224[[#This Row],[Vl. Produto]])*Tabela224[[#This Row],[Aliq.%]]</f>
        <v>0</v>
      </c>
    </row>
    <row r="281" spans="13:19" x14ac:dyDescent="0.25">
      <c r="M281" s="46"/>
      <c r="N281" s="46"/>
      <c r="O281" s="46"/>
      <c r="P281" s="46"/>
      <c r="R281" s="15">
        <v>7.0000000000000007E-2</v>
      </c>
      <c r="S281" s="18">
        <f>(Tabela224[[#This Row],[FRETE]]+Tabela224[[#This Row],[DESPESAS]]+Tabela224[[#This Row],[IPI]]+Tabela224[[#This Row],[Vl. Produto]])*Tabela224[[#This Row],[Aliq.%]]</f>
        <v>0</v>
      </c>
    </row>
    <row r="282" spans="13:19" x14ac:dyDescent="0.25">
      <c r="M282" s="46"/>
      <c r="N282" s="46"/>
      <c r="O282" s="46"/>
      <c r="P282" s="46"/>
      <c r="R282" s="15">
        <v>7.0000000000000007E-2</v>
      </c>
      <c r="S282" s="18">
        <f>(Tabela224[[#This Row],[FRETE]]+Tabela224[[#This Row],[DESPESAS]]+Tabela224[[#This Row],[IPI]]+Tabela224[[#This Row],[Vl. Produto]])*Tabela224[[#This Row],[Aliq.%]]</f>
        <v>0</v>
      </c>
    </row>
    <row r="283" spans="13:19" x14ac:dyDescent="0.25">
      <c r="M283" s="46"/>
      <c r="N283" s="46"/>
      <c r="O283" s="46"/>
      <c r="P283" s="46"/>
      <c r="R283" s="15">
        <v>7.0000000000000007E-2</v>
      </c>
      <c r="S283" s="18">
        <f>(Tabela224[[#This Row],[FRETE]]+Tabela224[[#This Row],[DESPESAS]]+Tabela224[[#This Row],[IPI]]+Tabela224[[#This Row],[Vl. Produto]])*Tabela224[[#This Row],[Aliq.%]]</f>
        <v>0</v>
      </c>
    </row>
    <row r="284" spans="13:19" x14ac:dyDescent="0.25">
      <c r="M284" s="46"/>
      <c r="N284" s="46"/>
      <c r="O284" s="46"/>
      <c r="P284" s="46"/>
      <c r="R284" s="15">
        <v>7.0000000000000007E-2</v>
      </c>
      <c r="S284" s="18">
        <f>(Tabela224[[#This Row],[FRETE]]+Tabela224[[#This Row],[DESPESAS]]+Tabela224[[#This Row],[IPI]]+Tabela224[[#This Row],[Vl. Produto]])*Tabela224[[#This Row],[Aliq.%]]</f>
        <v>0</v>
      </c>
    </row>
    <row r="285" spans="13:19" x14ac:dyDescent="0.25">
      <c r="M285" s="46"/>
      <c r="N285" s="46"/>
      <c r="O285" s="46"/>
      <c r="P285" s="46"/>
      <c r="R285" s="15">
        <v>7.0000000000000007E-2</v>
      </c>
      <c r="S285" s="18">
        <f>(Tabela224[[#This Row],[FRETE]]+Tabela224[[#This Row],[DESPESAS]]+Tabela224[[#This Row],[IPI]]+Tabela224[[#This Row],[Vl. Produto]])*Tabela224[[#This Row],[Aliq.%]]</f>
        <v>0</v>
      </c>
    </row>
    <row r="286" spans="13:19" x14ac:dyDescent="0.25">
      <c r="M286" s="46"/>
      <c r="N286" s="46"/>
      <c r="O286" s="46"/>
      <c r="P286" s="46"/>
      <c r="R286" s="15">
        <v>7.0000000000000007E-2</v>
      </c>
      <c r="S286" s="18">
        <f>(Tabela224[[#This Row],[FRETE]]+Tabela224[[#This Row],[DESPESAS]]+Tabela224[[#This Row],[IPI]]+Tabela224[[#This Row],[Vl. Produto]])*Tabela224[[#This Row],[Aliq.%]]</f>
        <v>0</v>
      </c>
    </row>
    <row r="287" spans="13:19" x14ac:dyDescent="0.25">
      <c r="M287" s="46"/>
      <c r="N287" s="46"/>
      <c r="O287" s="46"/>
      <c r="P287" s="46"/>
      <c r="R287" s="15">
        <v>7.0000000000000007E-2</v>
      </c>
      <c r="S287" s="18">
        <f>(Tabela224[[#This Row],[FRETE]]+Tabela224[[#This Row],[DESPESAS]]+Tabela224[[#This Row],[IPI]]+Tabela224[[#This Row],[Vl. Produto]])*Tabela224[[#This Row],[Aliq.%]]</f>
        <v>0</v>
      </c>
    </row>
    <row r="288" spans="13:19" x14ac:dyDescent="0.25">
      <c r="M288" s="46"/>
      <c r="N288" s="46"/>
      <c r="O288" s="46"/>
      <c r="P288" s="46"/>
      <c r="R288" s="15">
        <v>7.0000000000000007E-2</v>
      </c>
      <c r="S288" s="18">
        <f>(Tabela224[[#This Row],[FRETE]]+Tabela224[[#This Row],[DESPESAS]]+Tabela224[[#This Row],[IPI]]+Tabela224[[#This Row],[Vl. Produto]])*Tabela224[[#This Row],[Aliq.%]]</f>
        <v>0</v>
      </c>
    </row>
    <row r="289" spans="13:19" x14ac:dyDescent="0.25">
      <c r="M289" s="46"/>
      <c r="N289" s="46"/>
      <c r="O289" s="46"/>
      <c r="P289" s="46"/>
      <c r="R289" s="15">
        <v>7.0000000000000007E-2</v>
      </c>
      <c r="S289" s="18">
        <f>(Tabela224[[#This Row],[FRETE]]+Tabela224[[#This Row],[DESPESAS]]+Tabela224[[#This Row],[IPI]]+Tabela224[[#This Row],[Vl. Produto]])*Tabela224[[#This Row],[Aliq.%]]</f>
        <v>0</v>
      </c>
    </row>
    <row r="290" spans="13:19" x14ac:dyDescent="0.25">
      <c r="M290" s="46"/>
      <c r="N290" s="46"/>
      <c r="O290" s="46"/>
      <c r="P290" s="46"/>
      <c r="R290" s="15">
        <v>7.0000000000000007E-2</v>
      </c>
      <c r="S290" s="18">
        <f>(Tabela224[[#This Row],[FRETE]]+Tabela224[[#This Row],[DESPESAS]]+Tabela224[[#This Row],[IPI]]+Tabela224[[#This Row],[Vl. Produto]])*Tabela224[[#This Row],[Aliq.%]]</f>
        <v>0</v>
      </c>
    </row>
    <row r="291" spans="13:19" x14ac:dyDescent="0.25">
      <c r="M291" s="46"/>
      <c r="N291" s="46"/>
      <c r="O291" s="46"/>
      <c r="P291" s="46"/>
      <c r="R291" s="15">
        <v>7.0000000000000007E-2</v>
      </c>
      <c r="S291" s="18">
        <f>(Tabela224[[#This Row],[FRETE]]+Tabela224[[#This Row],[DESPESAS]]+Tabela224[[#This Row],[IPI]]+Tabela224[[#This Row],[Vl. Produto]])*Tabela224[[#This Row],[Aliq.%]]</f>
        <v>0</v>
      </c>
    </row>
    <row r="292" spans="13:19" x14ac:dyDescent="0.25">
      <c r="M292" s="46"/>
      <c r="N292" s="46"/>
      <c r="O292" s="46"/>
      <c r="P292" s="46"/>
      <c r="R292" s="15">
        <v>7.0000000000000007E-2</v>
      </c>
      <c r="S292" s="18">
        <f>(Tabela224[[#This Row],[FRETE]]+Tabela224[[#This Row],[DESPESAS]]+Tabela224[[#This Row],[IPI]]+Tabela224[[#This Row],[Vl. Produto]])*Tabela224[[#This Row],[Aliq.%]]</f>
        <v>0</v>
      </c>
    </row>
    <row r="293" spans="13:19" x14ac:dyDescent="0.25">
      <c r="M293" s="46"/>
      <c r="N293" s="46"/>
      <c r="O293" s="46"/>
      <c r="P293" s="46"/>
      <c r="R293" s="15">
        <v>7.0000000000000007E-2</v>
      </c>
      <c r="S293" s="18">
        <f>(Tabela224[[#This Row],[FRETE]]+Tabela224[[#This Row],[DESPESAS]]+Tabela224[[#This Row],[IPI]]+Tabela224[[#This Row],[Vl. Produto]])*Tabela224[[#This Row],[Aliq.%]]</f>
        <v>0</v>
      </c>
    </row>
    <row r="294" spans="13:19" x14ac:dyDescent="0.25">
      <c r="M294" s="46"/>
      <c r="N294" s="46"/>
      <c r="O294" s="46"/>
      <c r="P294" s="46"/>
      <c r="R294" s="15">
        <v>7.0000000000000007E-2</v>
      </c>
      <c r="S294" s="18">
        <f>(Tabela224[[#This Row],[FRETE]]+Tabela224[[#This Row],[DESPESAS]]+Tabela224[[#This Row],[IPI]]+Tabela224[[#This Row],[Vl. Produto]])*Tabela224[[#This Row],[Aliq.%]]</f>
        <v>0</v>
      </c>
    </row>
    <row r="295" spans="13:19" x14ac:dyDescent="0.25">
      <c r="M295" s="46"/>
      <c r="N295" s="46"/>
      <c r="O295" s="46"/>
      <c r="P295" s="46"/>
      <c r="R295" s="15">
        <v>7.0000000000000007E-2</v>
      </c>
      <c r="S295" s="18">
        <f>(Tabela224[[#This Row],[FRETE]]+Tabela224[[#This Row],[DESPESAS]]+Tabela224[[#This Row],[IPI]]+Tabela224[[#This Row],[Vl. Produto]])*Tabela224[[#This Row],[Aliq.%]]</f>
        <v>0</v>
      </c>
    </row>
    <row r="296" spans="13:19" x14ac:dyDescent="0.25">
      <c r="M296" s="46"/>
      <c r="N296" s="46"/>
      <c r="O296" s="46"/>
      <c r="P296" s="46"/>
      <c r="R296" s="15">
        <v>7.0000000000000007E-2</v>
      </c>
      <c r="S296" s="18">
        <f>(Tabela224[[#This Row],[FRETE]]+Tabela224[[#This Row],[DESPESAS]]+Tabela224[[#This Row],[IPI]]+Tabela224[[#This Row],[Vl. Produto]])*Tabela224[[#This Row],[Aliq.%]]</f>
        <v>0</v>
      </c>
    </row>
    <row r="297" spans="13:19" x14ac:dyDescent="0.25">
      <c r="M297" s="46"/>
      <c r="N297" s="46"/>
      <c r="O297" s="46"/>
      <c r="P297" s="46"/>
      <c r="R297" s="15">
        <v>7.0000000000000007E-2</v>
      </c>
      <c r="S297" s="18">
        <f>(Tabela224[[#This Row],[FRETE]]+Tabela224[[#This Row],[DESPESAS]]+Tabela224[[#This Row],[IPI]]+Tabela224[[#This Row],[Vl. Produto]])*Tabela224[[#This Row],[Aliq.%]]</f>
        <v>0</v>
      </c>
    </row>
    <row r="298" spans="13:19" x14ac:dyDescent="0.25">
      <c r="M298" s="46"/>
      <c r="N298" s="46"/>
      <c r="O298" s="46"/>
      <c r="P298" s="46"/>
      <c r="R298" s="15">
        <v>7.0000000000000007E-2</v>
      </c>
      <c r="S298" s="18">
        <f>(Tabela224[[#This Row],[FRETE]]+Tabela224[[#This Row],[DESPESAS]]+Tabela224[[#This Row],[IPI]]+Tabela224[[#This Row],[Vl. Produto]])*Tabela224[[#This Row],[Aliq.%]]</f>
        <v>0</v>
      </c>
    </row>
    <row r="299" spans="13:19" x14ac:dyDescent="0.25">
      <c r="M299" s="46"/>
      <c r="N299" s="46"/>
      <c r="O299" s="46"/>
      <c r="P299" s="46"/>
      <c r="R299" s="15">
        <v>7.0000000000000007E-2</v>
      </c>
      <c r="S299" s="18">
        <f>(Tabela224[[#This Row],[FRETE]]+Tabela224[[#This Row],[DESPESAS]]+Tabela224[[#This Row],[IPI]]+Tabela224[[#This Row],[Vl. Produto]])*Tabela224[[#This Row],[Aliq.%]]</f>
        <v>0</v>
      </c>
    </row>
    <row r="300" spans="13:19" x14ac:dyDescent="0.25">
      <c r="M300" s="46"/>
      <c r="N300" s="46"/>
      <c r="O300" s="46"/>
      <c r="P300" s="46"/>
      <c r="R300" s="15">
        <v>7.0000000000000007E-2</v>
      </c>
      <c r="S300" s="18">
        <f>(Tabela224[[#This Row],[FRETE]]+Tabela224[[#This Row],[DESPESAS]]+Tabela224[[#This Row],[IPI]]+Tabela224[[#This Row],[Vl. Produto]])*Tabela224[[#This Row],[Aliq.%]]</f>
        <v>0</v>
      </c>
    </row>
    <row r="301" spans="13:19" x14ac:dyDescent="0.25">
      <c r="M301" s="46"/>
      <c r="N301" s="46"/>
      <c r="O301" s="46"/>
      <c r="P301" s="46"/>
      <c r="R301" s="15">
        <v>7.0000000000000007E-2</v>
      </c>
      <c r="S301" s="18">
        <f>(Tabela224[[#This Row],[FRETE]]+Tabela224[[#This Row],[DESPESAS]]+Tabela224[[#This Row],[IPI]]+Tabela224[[#This Row],[Vl. Produto]])*Tabela224[[#This Row],[Aliq.%]]</f>
        <v>0</v>
      </c>
    </row>
    <row r="302" spans="13:19" x14ac:dyDescent="0.25">
      <c r="M302" s="46"/>
      <c r="N302" s="46"/>
      <c r="O302" s="46"/>
      <c r="P302" s="46"/>
      <c r="R302" s="15">
        <v>7.0000000000000007E-2</v>
      </c>
      <c r="S302" s="18">
        <f>(Tabela224[[#This Row],[FRETE]]+Tabela224[[#This Row],[DESPESAS]]+Tabela224[[#This Row],[IPI]]+Tabela224[[#This Row],[Vl. Produto]])*Tabela224[[#This Row],[Aliq.%]]</f>
        <v>0</v>
      </c>
    </row>
    <row r="303" spans="13:19" x14ac:dyDescent="0.25">
      <c r="M303" s="46"/>
      <c r="N303" s="46"/>
      <c r="O303" s="46"/>
      <c r="P303" s="46"/>
      <c r="R303" s="15">
        <v>7.0000000000000007E-2</v>
      </c>
      <c r="S303" s="18">
        <f>(Tabela224[[#This Row],[FRETE]]+Tabela224[[#This Row],[DESPESAS]]+Tabela224[[#This Row],[IPI]]+Tabela224[[#This Row],[Vl. Produto]])*Tabela224[[#This Row],[Aliq.%]]</f>
        <v>0</v>
      </c>
    </row>
    <row r="304" spans="13:19" x14ac:dyDescent="0.25">
      <c r="M304" s="46"/>
      <c r="N304" s="46"/>
      <c r="O304" s="46"/>
      <c r="P304" s="46"/>
      <c r="R304" s="15">
        <v>7.0000000000000007E-2</v>
      </c>
      <c r="S304" s="18">
        <f>(Tabela224[[#This Row],[FRETE]]+Tabela224[[#This Row],[DESPESAS]]+Tabela224[[#This Row],[IPI]]+Tabela224[[#This Row],[Vl. Produto]])*Tabela224[[#This Row],[Aliq.%]]</f>
        <v>0</v>
      </c>
    </row>
    <row r="305" spans="13:19" x14ac:dyDescent="0.25">
      <c r="M305" s="46"/>
      <c r="N305" s="46"/>
      <c r="O305" s="46"/>
      <c r="P305" s="46"/>
      <c r="R305" s="15">
        <v>7.0000000000000007E-2</v>
      </c>
      <c r="S305" s="18">
        <f>(Tabela224[[#This Row],[FRETE]]+Tabela224[[#This Row],[DESPESAS]]+Tabela224[[#This Row],[IPI]]+Tabela224[[#This Row],[Vl. Produto]])*Tabela224[[#This Row],[Aliq.%]]</f>
        <v>0</v>
      </c>
    </row>
    <row r="306" spans="13:19" x14ac:dyDescent="0.25">
      <c r="M306" s="46"/>
      <c r="N306" s="46"/>
      <c r="O306" s="46"/>
      <c r="P306" s="46"/>
      <c r="R306" s="15">
        <v>7.0000000000000007E-2</v>
      </c>
      <c r="S306" s="18">
        <f>(Tabela224[[#This Row],[FRETE]]+Tabela224[[#This Row],[DESPESAS]]+Tabela224[[#This Row],[IPI]]+Tabela224[[#This Row],[Vl. Produto]])*Tabela224[[#This Row],[Aliq.%]]</f>
        <v>0</v>
      </c>
    </row>
    <row r="307" spans="13:19" x14ac:dyDescent="0.25">
      <c r="M307" s="46"/>
      <c r="N307" s="46"/>
      <c r="O307" s="46"/>
      <c r="P307" s="46"/>
      <c r="R307" s="15">
        <v>7.0000000000000007E-2</v>
      </c>
      <c r="S307" s="18">
        <f>(Tabela224[[#This Row],[FRETE]]+Tabela224[[#This Row],[DESPESAS]]+Tabela224[[#This Row],[IPI]]+Tabela224[[#This Row],[Vl. Produto]])*Tabela224[[#This Row],[Aliq.%]]</f>
        <v>0</v>
      </c>
    </row>
    <row r="308" spans="13:19" x14ac:dyDescent="0.25">
      <c r="M308" s="46"/>
      <c r="N308" s="46"/>
      <c r="O308" s="46"/>
      <c r="P308" s="46"/>
      <c r="R308" s="15">
        <v>7.0000000000000007E-2</v>
      </c>
      <c r="S308" s="18">
        <f>(Tabela224[[#This Row],[FRETE]]+Tabela224[[#This Row],[DESPESAS]]+Tabela224[[#This Row],[IPI]]+Tabela224[[#This Row],[Vl. Produto]])*Tabela224[[#This Row],[Aliq.%]]</f>
        <v>0</v>
      </c>
    </row>
    <row r="309" spans="13:19" x14ac:dyDescent="0.25">
      <c r="M309" s="46"/>
      <c r="N309" s="46"/>
      <c r="O309" s="46"/>
      <c r="P309" s="46"/>
      <c r="R309" s="15">
        <v>7.0000000000000007E-2</v>
      </c>
      <c r="S309" s="18">
        <f>(Tabela224[[#This Row],[FRETE]]+Tabela224[[#This Row],[DESPESAS]]+Tabela224[[#This Row],[IPI]]+Tabela224[[#This Row],[Vl. Produto]])*Tabela224[[#This Row],[Aliq.%]]</f>
        <v>0</v>
      </c>
    </row>
    <row r="310" spans="13:19" x14ac:dyDescent="0.25">
      <c r="M310" s="46"/>
      <c r="N310" s="46"/>
      <c r="O310" s="46"/>
      <c r="P310" s="46"/>
      <c r="R310" s="15">
        <v>7.0000000000000007E-2</v>
      </c>
      <c r="S310" s="18">
        <f>(Tabela224[[#This Row],[FRETE]]+Tabela224[[#This Row],[DESPESAS]]+Tabela224[[#This Row],[IPI]]+Tabela224[[#This Row],[Vl. Produto]])*Tabela224[[#This Row],[Aliq.%]]</f>
        <v>0</v>
      </c>
    </row>
    <row r="311" spans="13:19" x14ac:dyDescent="0.25">
      <c r="M311" s="46"/>
      <c r="N311" s="46"/>
      <c r="O311" s="46"/>
      <c r="P311" s="46"/>
      <c r="R311" s="15">
        <v>7.0000000000000007E-2</v>
      </c>
      <c r="S311" s="18">
        <f>(Tabela224[[#This Row],[FRETE]]+Tabela224[[#This Row],[DESPESAS]]+Tabela224[[#This Row],[IPI]]+Tabela224[[#This Row],[Vl. Produto]])*Tabela224[[#This Row],[Aliq.%]]</f>
        <v>0</v>
      </c>
    </row>
    <row r="312" spans="13:19" x14ac:dyDescent="0.25">
      <c r="M312" s="46"/>
      <c r="N312" s="46"/>
      <c r="O312" s="46"/>
      <c r="P312" s="46"/>
      <c r="R312" s="15">
        <v>7.0000000000000007E-2</v>
      </c>
      <c r="S312" s="18">
        <f>(Tabela224[[#This Row],[FRETE]]+Tabela224[[#This Row],[DESPESAS]]+Tabela224[[#This Row],[IPI]]+Tabela224[[#This Row],[Vl. Produto]])*Tabela224[[#This Row],[Aliq.%]]</f>
        <v>0</v>
      </c>
    </row>
    <row r="313" spans="13:19" x14ac:dyDescent="0.25">
      <c r="M313" s="46"/>
      <c r="N313" s="46"/>
      <c r="O313" s="46"/>
      <c r="P313" s="46"/>
      <c r="R313" s="15">
        <v>7.0000000000000007E-2</v>
      </c>
      <c r="S313" s="18">
        <f>(Tabela224[[#This Row],[FRETE]]+Tabela224[[#This Row],[DESPESAS]]+Tabela224[[#This Row],[IPI]]+Tabela224[[#This Row],[Vl. Produto]])*Tabela224[[#This Row],[Aliq.%]]</f>
        <v>0</v>
      </c>
    </row>
    <row r="314" spans="13:19" x14ac:dyDescent="0.25">
      <c r="M314" s="46"/>
      <c r="N314" s="46"/>
      <c r="O314" s="46"/>
      <c r="P314" s="46"/>
      <c r="R314" s="15">
        <v>7.0000000000000007E-2</v>
      </c>
      <c r="S314" s="18">
        <f>(Tabela224[[#This Row],[FRETE]]+Tabela224[[#This Row],[DESPESAS]]+Tabela224[[#This Row],[IPI]]+Tabela224[[#This Row],[Vl. Produto]])*Tabela224[[#This Row],[Aliq.%]]</f>
        <v>0</v>
      </c>
    </row>
    <row r="315" spans="13:19" x14ac:dyDescent="0.25">
      <c r="M315" s="46"/>
      <c r="N315" s="46"/>
      <c r="O315" s="46"/>
      <c r="P315" s="46"/>
      <c r="R315" s="15">
        <v>7.0000000000000007E-2</v>
      </c>
      <c r="S315" s="18">
        <f>(Tabela224[[#This Row],[FRETE]]+Tabela224[[#This Row],[DESPESAS]]+Tabela224[[#This Row],[IPI]]+Tabela224[[#This Row],[Vl. Produto]])*Tabela224[[#This Row],[Aliq.%]]</f>
        <v>0</v>
      </c>
    </row>
    <row r="316" spans="13:19" x14ac:dyDescent="0.25">
      <c r="M316" s="46"/>
      <c r="N316" s="46"/>
      <c r="O316" s="46"/>
      <c r="P316" s="46"/>
      <c r="R316" s="15">
        <v>7.0000000000000007E-2</v>
      </c>
      <c r="S316" s="18">
        <f>(Tabela224[[#This Row],[FRETE]]+Tabela224[[#This Row],[DESPESAS]]+Tabela224[[#This Row],[IPI]]+Tabela224[[#This Row],[Vl. Produto]])*Tabela224[[#This Row],[Aliq.%]]</f>
        <v>0</v>
      </c>
    </row>
    <row r="317" spans="13:19" x14ac:dyDescent="0.25">
      <c r="M317" s="46"/>
      <c r="N317" s="46"/>
      <c r="O317" s="46"/>
      <c r="P317" s="46"/>
      <c r="R317" s="15">
        <v>7.0000000000000007E-2</v>
      </c>
      <c r="S317" s="18">
        <f>(Tabela224[[#This Row],[FRETE]]+Tabela224[[#This Row],[DESPESAS]]+Tabela224[[#This Row],[IPI]]+Tabela224[[#This Row],[Vl. Produto]])*Tabela224[[#This Row],[Aliq.%]]</f>
        <v>0</v>
      </c>
    </row>
    <row r="318" spans="13:19" x14ac:dyDescent="0.25">
      <c r="M318" s="46"/>
      <c r="N318" s="46"/>
      <c r="O318" s="46"/>
      <c r="P318" s="46"/>
      <c r="R318" s="15">
        <v>7.0000000000000007E-2</v>
      </c>
      <c r="S318" s="18">
        <f>(Tabela224[[#This Row],[FRETE]]+Tabela224[[#This Row],[DESPESAS]]+Tabela224[[#This Row],[IPI]]+Tabela224[[#This Row],[Vl. Produto]])*Tabela224[[#This Row],[Aliq.%]]</f>
        <v>0</v>
      </c>
    </row>
    <row r="319" spans="13:19" x14ac:dyDescent="0.25">
      <c r="M319" s="46"/>
      <c r="N319" s="46"/>
      <c r="O319" s="46"/>
      <c r="P319" s="46"/>
      <c r="R319" s="15">
        <v>7.0000000000000007E-2</v>
      </c>
      <c r="S319" s="18">
        <f>(Tabela224[[#This Row],[FRETE]]+Tabela224[[#This Row],[DESPESAS]]+Tabela224[[#This Row],[IPI]]+Tabela224[[#This Row],[Vl. Produto]])*Tabela224[[#This Row],[Aliq.%]]</f>
        <v>0</v>
      </c>
    </row>
    <row r="320" spans="13:19" x14ac:dyDescent="0.25">
      <c r="M320" s="46"/>
      <c r="N320" s="46"/>
      <c r="O320" s="46"/>
      <c r="P320" s="46"/>
      <c r="R320" s="15">
        <v>7.0000000000000007E-2</v>
      </c>
      <c r="S320" s="18">
        <f>(Tabela224[[#This Row],[FRETE]]+Tabela224[[#This Row],[DESPESAS]]+Tabela224[[#This Row],[IPI]]+Tabela224[[#This Row],[Vl. Produto]])*Tabela224[[#This Row],[Aliq.%]]</f>
        <v>0</v>
      </c>
    </row>
    <row r="321" spans="13:19" x14ac:dyDescent="0.25">
      <c r="M321" s="46"/>
      <c r="N321" s="46"/>
      <c r="O321" s="46"/>
      <c r="P321" s="46"/>
      <c r="R321" s="15">
        <v>7.0000000000000007E-2</v>
      </c>
      <c r="S321" s="18">
        <f>(Tabela224[[#This Row],[FRETE]]+Tabela224[[#This Row],[DESPESAS]]+Tabela224[[#This Row],[IPI]]+Tabela224[[#This Row],[Vl. Produto]])*Tabela224[[#This Row],[Aliq.%]]</f>
        <v>0</v>
      </c>
    </row>
    <row r="322" spans="13:19" x14ac:dyDescent="0.25">
      <c r="M322" s="46"/>
      <c r="N322" s="46"/>
      <c r="O322" s="46"/>
      <c r="P322" s="46"/>
      <c r="R322" s="15">
        <v>7.0000000000000007E-2</v>
      </c>
      <c r="S322" s="18">
        <f>(Tabela224[[#This Row],[FRETE]]+Tabela224[[#This Row],[DESPESAS]]+Tabela224[[#This Row],[IPI]]+Tabela224[[#This Row],[Vl. Produto]])*Tabela224[[#This Row],[Aliq.%]]</f>
        <v>0</v>
      </c>
    </row>
    <row r="323" spans="13:19" x14ac:dyDescent="0.25">
      <c r="M323" s="46"/>
      <c r="N323" s="46"/>
      <c r="O323" s="46"/>
      <c r="P323" s="46"/>
      <c r="R323" s="15">
        <v>7.0000000000000007E-2</v>
      </c>
      <c r="S323" s="18">
        <f>(Tabela224[[#This Row],[FRETE]]+Tabela224[[#This Row],[DESPESAS]]+Tabela224[[#This Row],[IPI]]+Tabela224[[#This Row],[Vl. Produto]])*Tabela224[[#This Row],[Aliq.%]]</f>
        <v>0</v>
      </c>
    </row>
    <row r="324" spans="13:19" x14ac:dyDescent="0.25">
      <c r="M324" s="46"/>
      <c r="N324" s="46"/>
      <c r="O324" s="46"/>
      <c r="P324" s="46"/>
      <c r="R324" s="15">
        <v>7.0000000000000007E-2</v>
      </c>
      <c r="S324" s="18">
        <f>(Tabela224[[#This Row],[FRETE]]+Tabela224[[#This Row],[DESPESAS]]+Tabela224[[#This Row],[IPI]]+Tabela224[[#This Row],[Vl. Produto]])*Tabela224[[#This Row],[Aliq.%]]</f>
        <v>0</v>
      </c>
    </row>
    <row r="325" spans="13:19" x14ac:dyDescent="0.25">
      <c r="M325" s="46"/>
      <c r="N325" s="46"/>
      <c r="O325" s="46"/>
      <c r="P325" s="46"/>
      <c r="R325" s="15">
        <v>7.0000000000000007E-2</v>
      </c>
      <c r="S325" s="18">
        <f>(Tabela224[[#This Row],[FRETE]]+Tabela224[[#This Row],[DESPESAS]]+Tabela224[[#This Row],[IPI]]+Tabela224[[#This Row],[Vl. Produto]])*Tabela224[[#This Row],[Aliq.%]]</f>
        <v>0</v>
      </c>
    </row>
    <row r="326" spans="13:19" x14ac:dyDescent="0.25">
      <c r="M326" s="46"/>
      <c r="N326" s="46"/>
      <c r="O326" s="46"/>
      <c r="P326" s="46"/>
      <c r="R326" s="15">
        <v>7.0000000000000007E-2</v>
      </c>
      <c r="S326" s="18">
        <f>(Tabela224[[#This Row],[FRETE]]+Tabela224[[#This Row],[DESPESAS]]+Tabela224[[#This Row],[IPI]]+Tabela224[[#This Row],[Vl. Produto]])*Tabela224[[#This Row],[Aliq.%]]</f>
        <v>0</v>
      </c>
    </row>
    <row r="327" spans="13:19" x14ac:dyDescent="0.25">
      <c r="M327" s="46"/>
      <c r="N327" s="46"/>
      <c r="O327" s="46"/>
      <c r="P327" s="46"/>
      <c r="R327" s="15">
        <v>7.0000000000000007E-2</v>
      </c>
      <c r="S327" s="18">
        <f>(Tabela224[[#This Row],[FRETE]]+Tabela224[[#This Row],[DESPESAS]]+Tabela224[[#This Row],[IPI]]+Tabela224[[#This Row],[Vl. Produto]])*Tabela224[[#This Row],[Aliq.%]]</f>
        <v>0</v>
      </c>
    </row>
    <row r="328" spans="13:19" x14ac:dyDescent="0.25">
      <c r="M328" s="46"/>
      <c r="N328" s="46"/>
      <c r="O328" s="46"/>
      <c r="P328" s="46"/>
      <c r="R328" s="15">
        <v>7.0000000000000007E-2</v>
      </c>
      <c r="S328" s="18">
        <f>(Tabela224[[#This Row],[FRETE]]+Tabela224[[#This Row],[DESPESAS]]+Tabela224[[#This Row],[IPI]]+Tabela224[[#This Row],[Vl. Produto]])*Tabela224[[#This Row],[Aliq.%]]</f>
        <v>0</v>
      </c>
    </row>
    <row r="329" spans="13:19" x14ac:dyDescent="0.25">
      <c r="M329" s="46"/>
      <c r="N329" s="46"/>
      <c r="O329" s="46"/>
      <c r="P329" s="46"/>
      <c r="R329" s="15">
        <v>7.0000000000000007E-2</v>
      </c>
      <c r="S329" s="18">
        <f>(Tabela224[[#This Row],[FRETE]]+Tabela224[[#This Row],[DESPESAS]]+Tabela224[[#This Row],[IPI]]+Tabela224[[#This Row],[Vl. Produto]])*Tabela224[[#This Row],[Aliq.%]]</f>
        <v>0</v>
      </c>
    </row>
    <row r="330" spans="13:19" x14ac:dyDescent="0.25">
      <c r="M330" s="46"/>
      <c r="N330" s="46"/>
      <c r="O330" s="46"/>
      <c r="P330" s="46"/>
      <c r="R330" s="15">
        <v>7.0000000000000007E-2</v>
      </c>
      <c r="S330" s="18">
        <f>(Tabela224[[#This Row],[FRETE]]+Tabela224[[#This Row],[DESPESAS]]+Tabela224[[#This Row],[IPI]]+Tabela224[[#This Row],[Vl. Produto]])*Tabela224[[#This Row],[Aliq.%]]</f>
        <v>0</v>
      </c>
    </row>
    <row r="331" spans="13:19" x14ac:dyDescent="0.25">
      <c r="M331" s="46"/>
      <c r="N331" s="46"/>
      <c r="O331" s="46"/>
      <c r="P331" s="46"/>
      <c r="R331" s="15">
        <v>7.0000000000000007E-2</v>
      </c>
      <c r="S331" s="18">
        <f>(Tabela224[[#This Row],[FRETE]]+Tabela224[[#This Row],[DESPESAS]]+Tabela224[[#This Row],[IPI]]+Tabela224[[#This Row],[Vl. Produto]])*Tabela224[[#This Row],[Aliq.%]]</f>
        <v>0</v>
      </c>
    </row>
    <row r="332" spans="13:19" x14ac:dyDescent="0.25">
      <c r="M332" s="46"/>
      <c r="N332" s="46"/>
      <c r="O332" s="46"/>
      <c r="P332" s="46"/>
      <c r="R332" s="15">
        <v>7.0000000000000007E-2</v>
      </c>
      <c r="S332" s="18">
        <f>(Tabela224[[#This Row],[FRETE]]+Tabela224[[#This Row],[DESPESAS]]+Tabela224[[#This Row],[IPI]]+Tabela224[[#This Row],[Vl. Produto]])*Tabela224[[#This Row],[Aliq.%]]</f>
        <v>0</v>
      </c>
    </row>
    <row r="333" spans="13:19" x14ac:dyDescent="0.25">
      <c r="M333" s="46"/>
      <c r="N333" s="46"/>
      <c r="O333" s="46"/>
      <c r="P333" s="46"/>
      <c r="R333" s="15">
        <v>7.0000000000000007E-2</v>
      </c>
      <c r="S333" s="18">
        <f>(Tabela224[[#This Row],[FRETE]]+Tabela224[[#This Row],[DESPESAS]]+Tabela224[[#This Row],[IPI]]+Tabela224[[#This Row],[Vl. Produto]])*Tabela224[[#This Row],[Aliq.%]]</f>
        <v>0</v>
      </c>
    </row>
    <row r="334" spans="13:19" x14ac:dyDescent="0.25">
      <c r="M334" s="46"/>
      <c r="N334" s="46"/>
      <c r="O334" s="46"/>
      <c r="P334" s="46"/>
      <c r="R334" s="15">
        <v>7.0000000000000007E-2</v>
      </c>
      <c r="S334" s="18">
        <f>(Tabela224[[#This Row],[FRETE]]+Tabela224[[#This Row],[DESPESAS]]+Tabela224[[#This Row],[IPI]]+Tabela224[[#This Row],[Vl. Produto]])*Tabela224[[#This Row],[Aliq.%]]</f>
        <v>0</v>
      </c>
    </row>
    <row r="335" spans="13:19" x14ac:dyDescent="0.25">
      <c r="M335" s="46"/>
      <c r="N335" s="46"/>
      <c r="O335" s="46"/>
      <c r="P335" s="46"/>
      <c r="R335" s="15">
        <v>7.0000000000000007E-2</v>
      </c>
      <c r="S335" s="18">
        <f>(Tabela224[[#This Row],[FRETE]]+Tabela224[[#This Row],[DESPESAS]]+Tabela224[[#This Row],[IPI]]+Tabela224[[#This Row],[Vl. Produto]])*Tabela224[[#This Row],[Aliq.%]]</f>
        <v>0</v>
      </c>
    </row>
    <row r="336" spans="13:19" x14ac:dyDescent="0.25">
      <c r="M336" s="46"/>
      <c r="N336" s="46"/>
      <c r="O336" s="46"/>
      <c r="P336" s="46"/>
      <c r="R336" s="15">
        <v>7.0000000000000007E-2</v>
      </c>
      <c r="S336" s="18">
        <f>(Tabela224[[#This Row],[FRETE]]+Tabela224[[#This Row],[DESPESAS]]+Tabela224[[#This Row],[IPI]]+Tabela224[[#This Row],[Vl. Produto]])*Tabela224[[#This Row],[Aliq.%]]</f>
        <v>0</v>
      </c>
    </row>
    <row r="337" spans="13:19" x14ac:dyDescent="0.25">
      <c r="M337" s="46"/>
      <c r="N337" s="46"/>
      <c r="O337" s="46"/>
      <c r="P337" s="46"/>
      <c r="R337" s="15">
        <v>7.0000000000000007E-2</v>
      </c>
      <c r="S337" s="18">
        <f>(Tabela224[[#This Row],[FRETE]]+Tabela224[[#This Row],[DESPESAS]]+Tabela224[[#This Row],[IPI]]+Tabela224[[#This Row],[Vl. Produto]])*Tabela224[[#This Row],[Aliq.%]]</f>
        <v>0</v>
      </c>
    </row>
    <row r="338" spans="13:19" x14ac:dyDescent="0.25">
      <c r="M338" s="46"/>
      <c r="N338" s="46"/>
      <c r="O338" s="46"/>
      <c r="P338" s="46"/>
      <c r="R338" s="15">
        <v>7.0000000000000007E-2</v>
      </c>
      <c r="S338" s="18">
        <f>(Tabela224[[#This Row],[FRETE]]+Tabela224[[#This Row],[DESPESAS]]+Tabela224[[#This Row],[IPI]]+Tabela224[[#This Row],[Vl. Produto]])*Tabela224[[#This Row],[Aliq.%]]</f>
        <v>0</v>
      </c>
    </row>
    <row r="339" spans="13:19" x14ac:dyDescent="0.25">
      <c r="M339" s="46"/>
      <c r="N339" s="46"/>
      <c r="O339" s="46"/>
      <c r="P339" s="46"/>
      <c r="R339" s="15">
        <v>7.0000000000000007E-2</v>
      </c>
      <c r="S339" s="18">
        <f>(Tabela224[[#This Row],[FRETE]]+Tabela224[[#This Row],[DESPESAS]]+Tabela224[[#This Row],[IPI]]+Tabela224[[#This Row],[Vl. Produto]])*Tabela224[[#This Row],[Aliq.%]]</f>
        <v>0</v>
      </c>
    </row>
    <row r="340" spans="13:19" x14ac:dyDescent="0.25">
      <c r="M340" s="46"/>
      <c r="N340" s="46"/>
      <c r="O340" s="46"/>
      <c r="P340" s="46"/>
      <c r="R340" s="15">
        <v>7.0000000000000007E-2</v>
      </c>
      <c r="S340" s="18">
        <f>(Tabela224[[#This Row],[FRETE]]+Tabela224[[#This Row],[DESPESAS]]+Tabela224[[#This Row],[IPI]]+Tabela224[[#This Row],[Vl. Produto]])*Tabela224[[#This Row],[Aliq.%]]</f>
        <v>0</v>
      </c>
    </row>
    <row r="341" spans="13:19" x14ac:dyDescent="0.25">
      <c r="M341" s="46"/>
      <c r="N341" s="46"/>
      <c r="O341" s="46"/>
      <c r="P341" s="46"/>
      <c r="R341" s="15">
        <v>7.0000000000000007E-2</v>
      </c>
      <c r="S341" s="18">
        <f>(Tabela224[[#This Row],[FRETE]]+Tabela224[[#This Row],[DESPESAS]]+Tabela224[[#This Row],[IPI]]+Tabela224[[#This Row],[Vl. Produto]])*Tabela224[[#This Row],[Aliq.%]]</f>
        <v>0</v>
      </c>
    </row>
    <row r="342" spans="13:19" x14ac:dyDescent="0.25">
      <c r="M342" s="46"/>
      <c r="N342" s="46"/>
      <c r="O342" s="46"/>
      <c r="P342" s="46"/>
      <c r="R342" s="15">
        <v>7.0000000000000007E-2</v>
      </c>
      <c r="S342" s="18">
        <f>(Tabela224[[#This Row],[FRETE]]+Tabela224[[#This Row],[DESPESAS]]+Tabela224[[#This Row],[IPI]]+Tabela224[[#This Row],[Vl. Produto]])*Tabela224[[#This Row],[Aliq.%]]</f>
        <v>0</v>
      </c>
    </row>
    <row r="343" spans="13:19" x14ac:dyDescent="0.25">
      <c r="M343" s="46"/>
      <c r="N343" s="46"/>
      <c r="O343" s="46"/>
      <c r="P343" s="46"/>
      <c r="R343" s="15">
        <v>7.0000000000000007E-2</v>
      </c>
      <c r="S343" s="18">
        <f>(Tabela224[[#This Row],[FRETE]]+Tabela224[[#This Row],[DESPESAS]]+Tabela224[[#This Row],[IPI]]+Tabela224[[#This Row],[Vl. Produto]])*Tabela224[[#This Row],[Aliq.%]]</f>
        <v>0</v>
      </c>
    </row>
    <row r="344" spans="13:19" x14ac:dyDescent="0.25">
      <c r="M344" s="46"/>
      <c r="N344" s="46"/>
      <c r="O344" s="46"/>
      <c r="P344" s="46"/>
      <c r="R344" s="15">
        <v>7.0000000000000007E-2</v>
      </c>
      <c r="S344" s="18">
        <f>(Tabela224[[#This Row],[FRETE]]+Tabela224[[#This Row],[DESPESAS]]+Tabela224[[#This Row],[IPI]]+Tabela224[[#This Row],[Vl. Produto]])*Tabela224[[#This Row],[Aliq.%]]</f>
        <v>0</v>
      </c>
    </row>
    <row r="345" spans="13:19" x14ac:dyDescent="0.25">
      <c r="M345" s="46"/>
      <c r="N345" s="46"/>
      <c r="O345" s="46"/>
      <c r="P345" s="46"/>
      <c r="R345" s="15">
        <v>7.0000000000000007E-2</v>
      </c>
      <c r="S345" s="18">
        <f>(Tabela224[[#This Row],[FRETE]]+Tabela224[[#This Row],[DESPESAS]]+Tabela224[[#This Row],[IPI]]+Tabela224[[#This Row],[Vl. Produto]])*Tabela224[[#This Row],[Aliq.%]]</f>
        <v>0</v>
      </c>
    </row>
    <row r="346" spans="13:19" x14ac:dyDescent="0.25">
      <c r="M346" s="46"/>
      <c r="N346" s="46"/>
      <c r="O346" s="46"/>
      <c r="P346" s="46"/>
      <c r="R346" s="15">
        <v>7.0000000000000007E-2</v>
      </c>
      <c r="S346" s="18">
        <f>(Tabela224[[#This Row],[FRETE]]+Tabela224[[#This Row],[DESPESAS]]+Tabela224[[#This Row],[IPI]]+Tabela224[[#This Row],[Vl. Produto]])*Tabela224[[#This Row],[Aliq.%]]</f>
        <v>0</v>
      </c>
    </row>
    <row r="347" spans="13:19" x14ac:dyDescent="0.25">
      <c r="M347" s="46"/>
      <c r="N347" s="46"/>
      <c r="O347" s="46"/>
      <c r="P347" s="46"/>
      <c r="R347" s="15">
        <v>7.0000000000000007E-2</v>
      </c>
      <c r="S347" s="18">
        <f>(Tabela224[[#This Row],[FRETE]]+Tabela224[[#This Row],[DESPESAS]]+Tabela224[[#This Row],[IPI]]+Tabela224[[#This Row],[Vl. Produto]])*Tabela224[[#This Row],[Aliq.%]]</f>
        <v>0</v>
      </c>
    </row>
    <row r="348" spans="13:19" x14ac:dyDescent="0.25">
      <c r="M348" s="46"/>
      <c r="N348" s="46"/>
      <c r="O348" s="46"/>
      <c r="P348" s="46"/>
      <c r="R348" s="15">
        <v>7.0000000000000007E-2</v>
      </c>
      <c r="S348" s="18">
        <f>(Tabela224[[#This Row],[FRETE]]+Tabela224[[#This Row],[DESPESAS]]+Tabela224[[#This Row],[IPI]]+Tabela224[[#This Row],[Vl. Produto]])*Tabela224[[#This Row],[Aliq.%]]</f>
        <v>0</v>
      </c>
    </row>
    <row r="349" spans="13:19" x14ac:dyDescent="0.25">
      <c r="M349" s="46"/>
      <c r="N349" s="46"/>
      <c r="O349" s="46"/>
      <c r="P349" s="46"/>
      <c r="R349" s="15">
        <v>7.0000000000000007E-2</v>
      </c>
      <c r="S349" s="18">
        <f>(Tabela224[[#This Row],[FRETE]]+Tabela224[[#This Row],[DESPESAS]]+Tabela224[[#This Row],[IPI]]+Tabela224[[#This Row],[Vl. Produto]])*Tabela224[[#This Row],[Aliq.%]]</f>
        <v>0</v>
      </c>
    </row>
    <row r="350" spans="13:19" x14ac:dyDescent="0.25">
      <c r="M350" s="46"/>
      <c r="N350" s="46"/>
      <c r="O350" s="46"/>
      <c r="P350" s="46"/>
      <c r="R350" s="15">
        <v>7.0000000000000007E-2</v>
      </c>
      <c r="S350" s="18">
        <f>(Tabela224[[#This Row],[FRETE]]+Tabela224[[#This Row],[DESPESAS]]+Tabela224[[#This Row],[IPI]]+Tabela224[[#This Row],[Vl. Produto]])*Tabela224[[#This Row],[Aliq.%]]</f>
        <v>0</v>
      </c>
    </row>
    <row r="351" spans="13:19" x14ac:dyDescent="0.25">
      <c r="M351" s="46"/>
      <c r="N351" s="46"/>
      <c r="O351" s="46"/>
      <c r="P351" s="46"/>
      <c r="R351" s="15">
        <v>7.0000000000000007E-2</v>
      </c>
      <c r="S351" s="18">
        <f>(Tabela224[[#This Row],[FRETE]]+Tabela224[[#This Row],[DESPESAS]]+Tabela224[[#This Row],[IPI]]+Tabela224[[#This Row],[Vl. Produto]])*Tabela224[[#This Row],[Aliq.%]]</f>
        <v>0</v>
      </c>
    </row>
    <row r="352" spans="13:19" x14ac:dyDescent="0.25">
      <c r="M352" s="46"/>
      <c r="N352" s="46"/>
      <c r="O352" s="46"/>
      <c r="P352" s="46"/>
      <c r="R352" s="15">
        <v>7.0000000000000007E-2</v>
      </c>
      <c r="S352" s="18">
        <f>(Tabela224[[#This Row],[FRETE]]+Tabela224[[#This Row],[DESPESAS]]+Tabela224[[#This Row],[IPI]]+Tabela224[[#This Row],[Vl. Produto]])*Tabela224[[#This Row],[Aliq.%]]</f>
        <v>0</v>
      </c>
    </row>
    <row r="353" spans="13:19" x14ac:dyDescent="0.25">
      <c r="M353" s="46"/>
      <c r="N353" s="46"/>
      <c r="O353" s="46"/>
      <c r="P353" s="46"/>
      <c r="R353" s="15">
        <v>7.0000000000000007E-2</v>
      </c>
      <c r="S353" s="18">
        <f>(Tabela224[[#This Row],[FRETE]]+Tabela224[[#This Row],[DESPESAS]]+Tabela224[[#This Row],[IPI]]+Tabela224[[#This Row],[Vl. Produto]])*Tabela224[[#This Row],[Aliq.%]]</f>
        <v>0</v>
      </c>
    </row>
    <row r="354" spans="13:19" x14ac:dyDescent="0.25">
      <c r="M354" s="46"/>
      <c r="N354" s="46"/>
      <c r="O354" s="46"/>
      <c r="P354" s="46"/>
      <c r="R354" s="15">
        <v>7.0000000000000007E-2</v>
      </c>
      <c r="S354" s="18">
        <f>(Tabela224[[#This Row],[FRETE]]+Tabela224[[#This Row],[DESPESAS]]+Tabela224[[#This Row],[IPI]]+Tabela224[[#This Row],[Vl. Produto]])*Tabela224[[#This Row],[Aliq.%]]</f>
        <v>0</v>
      </c>
    </row>
    <row r="355" spans="13:19" x14ac:dyDescent="0.25">
      <c r="M355" s="46"/>
      <c r="N355" s="46"/>
      <c r="O355" s="46"/>
      <c r="P355" s="46"/>
      <c r="R355" s="15">
        <v>7.0000000000000007E-2</v>
      </c>
      <c r="S355" s="18">
        <f>(Tabela224[[#This Row],[FRETE]]+Tabela224[[#This Row],[DESPESAS]]+Tabela224[[#This Row],[IPI]]+Tabela224[[#This Row],[Vl. Produto]])*Tabela224[[#This Row],[Aliq.%]]</f>
        <v>0</v>
      </c>
    </row>
    <row r="356" spans="13:19" x14ac:dyDescent="0.25">
      <c r="M356" s="46"/>
      <c r="N356" s="46"/>
      <c r="O356" s="46"/>
      <c r="P356" s="46"/>
      <c r="R356" s="15">
        <v>7.0000000000000007E-2</v>
      </c>
      <c r="S356" s="18">
        <f>(Tabela224[[#This Row],[FRETE]]+Tabela224[[#This Row],[DESPESAS]]+Tabela224[[#This Row],[IPI]]+Tabela224[[#This Row],[Vl. Produto]])*Tabela224[[#This Row],[Aliq.%]]</f>
        <v>0</v>
      </c>
    </row>
    <row r="357" spans="13:19" x14ac:dyDescent="0.25">
      <c r="M357" s="46"/>
      <c r="N357" s="46"/>
      <c r="O357" s="46"/>
      <c r="P357" s="46"/>
      <c r="R357" s="15">
        <v>7.0000000000000007E-2</v>
      </c>
      <c r="S357" s="18">
        <f>(Tabela224[[#This Row],[FRETE]]+Tabela224[[#This Row],[DESPESAS]]+Tabela224[[#This Row],[IPI]]+Tabela224[[#This Row],[Vl. Produto]])*Tabela224[[#This Row],[Aliq.%]]</f>
        <v>0</v>
      </c>
    </row>
    <row r="358" spans="13:19" x14ac:dyDescent="0.25">
      <c r="M358" s="46"/>
      <c r="N358" s="46"/>
      <c r="O358" s="46"/>
      <c r="P358" s="46"/>
      <c r="R358" s="15">
        <v>7.0000000000000007E-2</v>
      </c>
      <c r="S358" s="18">
        <f>(Tabela224[[#This Row],[FRETE]]+Tabela224[[#This Row],[DESPESAS]]+Tabela224[[#This Row],[IPI]]+Tabela224[[#This Row],[Vl. Produto]])*Tabela224[[#This Row],[Aliq.%]]</f>
        <v>0</v>
      </c>
    </row>
    <row r="359" spans="13:19" x14ac:dyDescent="0.25">
      <c r="M359" s="46"/>
      <c r="N359" s="46"/>
      <c r="O359" s="46"/>
      <c r="P359" s="46"/>
      <c r="R359" s="15">
        <v>7.0000000000000007E-2</v>
      </c>
      <c r="S359" s="18">
        <f>(Tabela224[[#This Row],[FRETE]]+Tabela224[[#This Row],[DESPESAS]]+Tabela224[[#This Row],[IPI]]+Tabela224[[#This Row],[Vl. Produto]])*Tabela224[[#This Row],[Aliq.%]]</f>
        <v>0</v>
      </c>
    </row>
    <row r="360" spans="13:19" x14ac:dyDescent="0.25">
      <c r="M360" s="46"/>
      <c r="N360" s="46"/>
      <c r="O360" s="46"/>
      <c r="P360" s="46"/>
      <c r="R360" s="15">
        <v>7.0000000000000007E-2</v>
      </c>
      <c r="S360" s="18">
        <f>(Tabela224[[#This Row],[FRETE]]+Tabela224[[#This Row],[DESPESAS]]+Tabela224[[#This Row],[IPI]]+Tabela224[[#This Row],[Vl. Produto]])*Tabela224[[#This Row],[Aliq.%]]</f>
        <v>0</v>
      </c>
    </row>
    <row r="361" spans="13:19" x14ac:dyDescent="0.25">
      <c r="M361" s="46"/>
      <c r="N361" s="46"/>
      <c r="O361" s="46"/>
      <c r="P361" s="46"/>
      <c r="R361" s="15">
        <v>7.0000000000000007E-2</v>
      </c>
      <c r="S361" s="18">
        <f>(Tabela224[[#This Row],[FRETE]]+Tabela224[[#This Row],[DESPESAS]]+Tabela224[[#This Row],[IPI]]+Tabela224[[#This Row],[Vl. Produto]])*Tabela224[[#This Row],[Aliq.%]]</f>
        <v>0</v>
      </c>
    </row>
    <row r="362" spans="13:19" x14ac:dyDescent="0.25">
      <c r="M362" s="46"/>
      <c r="N362" s="46"/>
      <c r="O362" s="46"/>
      <c r="P362" s="46"/>
      <c r="R362" s="15">
        <v>7.0000000000000007E-2</v>
      </c>
      <c r="S362" s="18">
        <f>(Tabela224[[#This Row],[FRETE]]+Tabela224[[#This Row],[DESPESAS]]+Tabela224[[#This Row],[IPI]]+Tabela224[[#This Row],[Vl. Produto]])*Tabela224[[#This Row],[Aliq.%]]</f>
        <v>0</v>
      </c>
    </row>
    <row r="363" spans="13:19" x14ac:dyDescent="0.25">
      <c r="M363" s="46"/>
      <c r="N363" s="46"/>
      <c r="O363" s="46"/>
      <c r="P363" s="46"/>
      <c r="R363" s="15">
        <v>7.0000000000000007E-2</v>
      </c>
      <c r="S363" s="18">
        <f>(Tabela224[[#This Row],[FRETE]]+Tabela224[[#This Row],[DESPESAS]]+Tabela224[[#This Row],[IPI]]+Tabela224[[#This Row],[Vl. Produto]])*Tabela224[[#This Row],[Aliq.%]]</f>
        <v>0</v>
      </c>
    </row>
    <row r="364" spans="13:19" x14ac:dyDescent="0.25">
      <c r="M364" s="46"/>
      <c r="N364" s="46"/>
      <c r="O364" s="46"/>
      <c r="P364" s="46"/>
      <c r="R364" s="15">
        <v>7.0000000000000007E-2</v>
      </c>
      <c r="S364" s="18">
        <f>(Tabela224[[#This Row],[FRETE]]+Tabela224[[#This Row],[DESPESAS]]+Tabela224[[#This Row],[IPI]]+Tabela224[[#This Row],[Vl. Produto]])*Tabela224[[#This Row],[Aliq.%]]</f>
        <v>0</v>
      </c>
    </row>
    <row r="365" spans="13:19" x14ac:dyDescent="0.25">
      <c r="M365" s="46"/>
      <c r="N365" s="46"/>
      <c r="O365" s="46"/>
      <c r="P365" s="46"/>
      <c r="R365" s="15">
        <v>7.0000000000000007E-2</v>
      </c>
      <c r="S365" s="18">
        <f>(Tabela224[[#This Row],[FRETE]]+Tabela224[[#This Row],[DESPESAS]]+Tabela224[[#This Row],[IPI]]+Tabela224[[#This Row],[Vl. Produto]])*Tabela224[[#This Row],[Aliq.%]]</f>
        <v>0</v>
      </c>
    </row>
    <row r="366" spans="13:19" x14ac:dyDescent="0.25">
      <c r="M366" s="46"/>
      <c r="N366" s="46"/>
      <c r="O366" s="46"/>
      <c r="P366" s="46"/>
      <c r="R366" s="15">
        <v>7.0000000000000007E-2</v>
      </c>
      <c r="S366" s="18">
        <f>(Tabela224[[#This Row],[FRETE]]+Tabela224[[#This Row],[DESPESAS]]+Tabela224[[#This Row],[IPI]]+Tabela224[[#This Row],[Vl. Produto]])*Tabela224[[#This Row],[Aliq.%]]</f>
        <v>0</v>
      </c>
    </row>
    <row r="367" spans="13:19" x14ac:dyDescent="0.25">
      <c r="M367" s="46"/>
      <c r="N367" s="46"/>
      <c r="O367" s="46"/>
      <c r="P367" s="46"/>
      <c r="R367" s="15">
        <v>7.0000000000000007E-2</v>
      </c>
      <c r="S367" s="18">
        <f>(Tabela224[[#This Row],[FRETE]]+Tabela224[[#This Row],[DESPESAS]]+Tabela224[[#This Row],[IPI]]+Tabela224[[#This Row],[Vl. Produto]])*Tabela224[[#This Row],[Aliq.%]]</f>
        <v>0</v>
      </c>
    </row>
    <row r="368" spans="13:19" x14ac:dyDescent="0.25">
      <c r="M368" s="46"/>
      <c r="N368" s="46"/>
      <c r="O368" s="46"/>
      <c r="P368" s="46"/>
      <c r="R368" s="15">
        <v>7.0000000000000007E-2</v>
      </c>
      <c r="S368" s="18">
        <f>(Tabela224[[#This Row],[FRETE]]+Tabela224[[#This Row],[DESPESAS]]+Tabela224[[#This Row],[IPI]]+Tabela224[[#This Row],[Vl. Produto]])*Tabela224[[#This Row],[Aliq.%]]</f>
        <v>0</v>
      </c>
    </row>
    <row r="369" spans="13:19" x14ac:dyDescent="0.25">
      <c r="M369" s="46"/>
      <c r="N369" s="46"/>
      <c r="O369" s="46"/>
      <c r="P369" s="46"/>
      <c r="R369" s="15">
        <v>7.0000000000000007E-2</v>
      </c>
      <c r="S369" s="18">
        <f>(Tabela224[[#This Row],[FRETE]]+Tabela224[[#This Row],[DESPESAS]]+Tabela224[[#This Row],[IPI]]+Tabela224[[#This Row],[Vl. Produto]])*Tabela224[[#This Row],[Aliq.%]]</f>
        <v>0</v>
      </c>
    </row>
    <row r="370" spans="13:19" x14ac:dyDescent="0.25">
      <c r="M370" s="46"/>
      <c r="N370" s="46"/>
      <c r="O370" s="46"/>
      <c r="P370" s="46"/>
      <c r="R370" s="15">
        <v>7.0000000000000007E-2</v>
      </c>
      <c r="S370" s="18">
        <f>(Tabela224[[#This Row],[FRETE]]+Tabela224[[#This Row],[DESPESAS]]+Tabela224[[#This Row],[IPI]]+Tabela224[[#This Row],[Vl. Produto]])*Tabela224[[#This Row],[Aliq.%]]</f>
        <v>0</v>
      </c>
    </row>
    <row r="371" spans="13:19" x14ac:dyDescent="0.25">
      <c r="M371" s="46"/>
      <c r="N371" s="46"/>
      <c r="O371" s="46"/>
      <c r="P371" s="46"/>
      <c r="R371" s="15">
        <v>7.0000000000000007E-2</v>
      </c>
      <c r="S371" s="18">
        <f>(Tabela224[[#This Row],[FRETE]]+Tabela224[[#This Row],[DESPESAS]]+Tabela224[[#This Row],[IPI]]+Tabela224[[#This Row],[Vl. Produto]])*Tabela224[[#This Row],[Aliq.%]]</f>
        <v>0</v>
      </c>
    </row>
    <row r="372" spans="13:19" x14ac:dyDescent="0.25">
      <c r="M372" s="46"/>
      <c r="N372" s="46"/>
      <c r="O372" s="46"/>
      <c r="P372" s="46"/>
      <c r="R372" s="15">
        <v>7.0000000000000007E-2</v>
      </c>
      <c r="S372" s="18">
        <f>(Tabela224[[#This Row],[FRETE]]+Tabela224[[#This Row],[DESPESAS]]+Tabela224[[#This Row],[IPI]]+Tabela224[[#This Row],[Vl. Produto]])*Tabela224[[#This Row],[Aliq.%]]</f>
        <v>0</v>
      </c>
    </row>
    <row r="373" spans="13:19" x14ac:dyDescent="0.25">
      <c r="M373" s="46"/>
      <c r="N373" s="46"/>
      <c r="O373" s="46"/>
      <c r="P373" s="46"/>
      <c r="R373" s="15">
        <v>7.0000000000000007E-2</v>
      </c>
      <c r="S373" s="18">
        <f>(Tabela224[[#This Row],[FRETE]]+Tabela224[[#This Row],[DESPESAS]]+Tabela224[[#This Row],[IPI]]+Tabela224[[#This Row],[Vl. Produto]])*Tabela224[[#This Row],[Aliq.%]]</f>
        <v>0</v>
      </c>
    </row>
    <row r="374" spans="13:19" x14ac:dyDescent="0.25">
      <c r="M374" s="46"/>
      <c r="N374" s="46"/>
      <c r="O374" s="46"/>
      <c r="P374" s="46"/>
      <c r="R374" s="15">
        <v>7.0000000000000007E-2</v>
      </c>
      <c r="S374" s="18">
        <f>(Tabela224[[#This Row],[FRETE]]+Tabela224[[#This Row],[DESPESAS]]+Tabela224[[#This Row],[IPI]]+Tabela224[[#This Row],[Vl. Produto]])*Tabela224[[#This Row],[Aliq.%]]</f>
        <v>0</v>
      </c>
    </row>
    <row r="375" spans="13:19" x14ac:dyDescent="0.25">
      <c r="M375" s="46"/>
      <c r="N375" s="46"/>
      <c r="O375" s="46"/>
      <c r="P375" s="46"/>
      <c r="R375" s="15">
        <v>7.0000000000000007E-2</v>
      </c>
      <c r="S375" s="18">
        <f>(Tabela224[[#This Row],[FRETE]]+Tabela224[[#This Row],[DESPESAS]]+Tabela224[[#This Row],[IPI]]+Tabela224[[#This Row],[Vl. Produto]])*Tabela224[[#This Row],[Aliq.%]]</f>
        <v>0</v>
      </c>
    </row>
    <row r="376" spans="13:19" x14ac:dyDescent="0.25">
      <c r="M376" s="46"/>
      <c r="N376" s="46"/>
      <c r="O376" s="46"/>
      <c r="P376" s="46"/>
      <c r="R376" s="15">
        <v>7.0000000000000007E-2</v>
      </c>
      <c r="S376" s="18">
        <f>(Tabela224[[#This Row],[FRETE]]+Tabela224[[#This Row],[DESPESAS]]+Tabela224[[#This Row],[IPI]]+Tabela224[[#This Row],[Vl. Produto]])*Tabela224[[#This Row],[Aliq.%]]</f>
        <v>0</v>
      </c>
    </row>
    <row r="377" spans="13:19" x14ac:dyDescent="0.25">
      <c r="M377" s="46"/>
      <c r="N377" s="46"/>
      <c r="O377" s="46"/>
      <c r="P377" s="46"/>
      <c r="R377" s="15">
        <v>7.0000000000000007E-2</v>
      </c>
      <c r="S377" s="18">
        <f>(Tabela224[[#This Row],[FRETE]]+Tabela224[[#This Row],[DESPESAS]]+Tabela224[[#This Row],[IPI]]+Tabela224[[#This Row],[Vl. Produto]])*Tabela224[[#This Row],[Aliq.%]]</f>
        <v>0</v>
      </c>
    </row>
    <row r="378" spans="13:19" x14ac:dyDescent="0.25">
      <c r="M378" s="46"/>
      <c r="N378" s="46"/>
      <c r="O378" s="46"/>
      <c r="P378" s="46"/>
      <c r="R378" s="15">
        <v>7.0000000000000007E-2</v>
      </c>
      <c r="S378" s="18">
        <f>(Tabela224[[#This Row],[FRETE]]+Tabela224[[#This Row],[DESPESAS]]+Tabela224[[#This Row],[IPI]]+Tabela224[[#This Row],[Vl. Produto]])*Tabela224[[#This Row],[Aliq.%]]</f>
        <v>0</v>
      </c>
    </row>
    <row r="379" spans="13:19" x14ac:dyDescent="0.25">
      <c r="M379" s="46"/>
      <c r="N379" s="46"/>
      <c r="O379" s="46"/>
      <c r="P379" s="46"/>
      <c r="R379" s="15">
        <v>7.0000000000000007E-2</v>
      </c>
      <c r="S379" s="18">
        <f>(Tabela224[[#This Row],[FRETE]]+Tabela224[[#This Row],[DESPESAS]]+Tabela224[[#This Row],[IPI]]+Tabela224[[#This Row],[Vl. Produto]])*Tabela224[[#This Row],[Aliq.%]]</f>
        <v>0</v>
      </c>
    </row>
    <row r="380" spans="13:19" x14ac:dyDescent="0.25">
      <c r="M380" s="46"/>
      <c r="N380" s="46"/>
      <c r="O380" s="46"/>
      <c r="P380" s="46"/>
      <c r="R380" s="15">
        <v>7.0000000000000007E-2</v>
      </c>
      <c r="S380" s="18">
        <f>(Tabela224[[#This Row],[FRETE]]+Tabela224[[#This Row],[DESPESAS]]+Tabela224[[#This Row],[IPI]]+Tabela224[[#This Row],[Vl. Produto]])*Tabela224[[#This Row],[Aliq.%]]</f>
        <v>0</v>
      </c>
    </row>
    <row r="381" spans="13:19" x14ac:dyDescent="0.25">
      <c r="M381" s="46"/>
      <c r="N381" s="46"/>
      <c r="O381" s="46"/>
      <c r="P381" s="46"/>
      <c r="R381" s="15">
        <v>7.0000000000000007E-2</v>
      </c>
      <c r="S381" s="18">
        <f>(Tabela224[[#This Row],[FRETE]]+Tabela224[[#This Row],[DESPESAS]]+Tabela224[[#This Row],[IPI]]+Tabela224[[#This Row],[Vl. Produto]])*Tabela224[[#This Row],[Aliq.%]]</f>
        <v>0</v>
      </c>
    </row>
    <row r="382" spans="13:19" x14ac:dyDescent="0.25">
      <c r="M382" s="46"/>
      <c r="N382" s="46"/>
      <c r="O382" s="46"/>
      <c r="P382" s="46"/>
      <c r="R382" s="15">
        <v>7.0000000000000007E-2</v>
      </c>
      <c r="S382" s="18">
        <f>(Tabela224[[#This Row],[FRETE]]+Tabela224[[#This Row],[DESPESAS]]+Tabela224[[#This Row],[IPI]]+Tabela224[[#This Row],[Vl. Produto]])*Tabela224[[#This Row],[Aliq.%]]</f>
        <v>0</v>
      </c>
    </row>
    <row r="383" spans="13:19" x14ac:dyDescent="0.25">
      <c r="M383" s="46"/>
      <c r="N383" s="46"/>
      <c r="O383" s="46"/>
      <c r="P383" s="46"/>
      <c r="R383" s="15">
        <v>7.0000000000000007E-2</v>
      </c>
      <c r="S383" s="18">
        <f>(Tabela224[[#This Row],[FRETE]]+Tabela224[[#This Row],[DESPESAS]]+Tabela224[[#This Row],[IPI]]+Tabela224[[#This Row],[Vl. Produto]])*Tabela224[[#This Row],[Aliq.%]]</f>
        <v>0</v>
      </c>
    </row>
    <row r="384" spans="13:19" x14ac:dyDescent="0.25">
      <c r="M384" s="46"/>
      <c r="N384" s="46"/>
      <c r="O384" s="46"/>
      <c r="P384" s="46"/>
      <c r="R384" s="15">
        <v>7.0000000000000007E-2</v>
      </c>
      <c r="S384" s="18">
        <f>(Tabela224[[#This Row],[FRETE]]+Tabela224[[#This Row],[DESPESAS]]+Tabela224[[#This Row],[IPI]]+Tabela224[[#This Row],[Vl. Produto]])*Tabela224[[#This Row],[Aliq.%]]</f>
        <v>0</v>
      </c>
    </row>
    <row r="385" spans="13:19" x14ac:dyDescent="0.25">
      <c r="M385" s="46"/>
      <c r="N385" s="46"/>
      <c r="O385" s="46"/>
      <c r="P385" s="46"/>
      <c r="R385" s="15">
        <v>7.0000000000000007E-2</v>
      </c>
      <c r="S385" s="18">
        <f>(Tabela224[[#This Row],[FRETE]]+Tabela224[[#This Row],[DESPESAS]]+Tabela224[[#This Row],[IPI]]+Tabela224[[#This Row],[Vl. Produto]])*Tabela224[[#This Row],[Aliq.%]]</f>
        <v>0</v>
      </c>
    </row>
    <row r="386" spans="13:19" x14ac:dyDescent="0.25">
      <c r="M386" s="46"/>
      <c r="N386" s="46"/>
      <c r="O386" s="46"/>
      <c r="P386" s="46"/>
      <c r="R386" s="15">
        <v>7.0000000000000007E-2</v>
      </c>
      <c r="S386" s="18">
        <f>(Tabela224[[#This Row],[FRETE]]+Tabela224[[#This Row],[DESPESAS]]+Tabela224[[#This Row],[IPI]]+Tabela224[[#This Row],[Vl. Produto]])*Tabela224[[#This Row],[Aliq.%]]</f>
        <v>0</v>
      </c>
    </row>
    <row r="387" spans="13:19" x14ac:dyDescent="0.25">
      <c r="M387" s="46"/>
      <c r="N387" s="46"/>
      <c r="O387" s="46"/>
      <c r="P387" s="46"/>
      <c r="R387" s="15">
        <v>7.0000000000000007E-2</v>
      </c>
      <c r="S387" s="18">
        <f>(Tabela224[[#This Row],[FRETE]]+Tabela224[[#This Row],[DESPESAS]]+Tabela224[[#This Row],[IPI]]+Tabela224[[#This Row],[Vl. Produto]])*Tabela224[[#This Row],[Aliq.%]]</f>
        <v>0</v>
      </c>
    </row>
    <row r="388" spans="13:19" x14ac:dyDescent="0.25">
      <c r="M388" s="46"/>
      <c r="N388" s="46"/>
      <c r="O388" s="46"/>
      <c r="P388" s="46"/>
      <c r="R388" s="15">
        <v>7.0000000000000007E-2</v>
      </c>
      <c r="S388" s="18">
        <f>(Tabela224[[#This Row],[FRETE]]+Tabela224[[#This Row],[DESPESAS]]+Tabela224[[#This Row],[IPI]]+Tabela224[[#This Row],[Vl. Produto]])*Tabela224[[#This Row],[Aliq.%]]</f>
        <v>0</v>
      </c>
    </row>
    <row r="389" spans="13:19" x14ac:dyDescent="0.25">
      <c r="M389" s="46"/>
      <c r="N389" s="46"/>
      <c r="O389" s="46"/>
      <c r="P389" s="46"/>
      <c r="R389" s="15">
        <v>7.0000000000000007E-2</v>
      </c>
      <c r="S389" s="18">
        <f>(Tabela224[[#This Row],[FRETE]]+Tabela224[[#This Row],[DESPESAS]]+Tabela224[[#This Row],[IPI]]+Tabela224[[#This Row],[Vl. Produto]])*Tabela224[[#This Row],[Aliq.%]]</f>
        <v>0</v>
      </c>
    </row>
    <row r="390" spans="13:19" x14ac:dyDescent="0.25">
      <c r="M390" s="46"/>
      <c r="N390" s="46"/>
      <c r="O390" s="46"/>
      <c r="P390" s="46"/>
      <c r="R390" s="15">
        <v>7.0000000000000007E-2</v>
      </c>
      <c r="S390" s="18">
        <f>(Tabela224[[#This Row],[FRETE]]+Tabela224[[#This Row],[DESPESAS]]+Tabela224[[#This Row],[IPI]]+Tabela224[[#This Row],[Vl. Produto]])*Tabela224[[#This Row],[Aliq.%]]</f>
        <v>0</v>
      </c>
    </row>
    <row r="391" spans="13:19" x14ac:dyDescent="0.25">
      <c r="M391" s="46"/>
      <c r="N391" s="46"/>
      <c r="O391" s="46"/>
      <c r="P391" s="46"/>
      <c r="R391" s="15">
        <v>7.0000000000000007E-2</v>
      </c>
      <c r="S391" s="18">
        <f>(Tabela224[[#This Row],[FRETE]]+Tabela224[[#This Row],[DESPESAS]]+Tabela224[[#This Row],[IPI]]+Tabela224[[#This Row],[Vl. Produto]])*Tabela224[[#This Row],[Aliq.%]]</f>
        <v>0</v>
      </c>
    </row>
    <row r="392" spans="13:19" x14ac:dyDescent="0.25">
      <c r="M392" s="46"/>
      <c r="N392" s="46"/>
      <c r="O392" s="46"/>
      <c r="P392" s="46"/>
      <c r="R392" s="15">
        <v>7.0000000000000007E-2</v>
      </c>
      <c r="S392" s="18">
        <f>(Tabela224[[#This Row],[FRETE]]+Tabela224[[#This Row],[DESPESAS]]+Tabela224[[#This Row],[IPI]]+Tabela224[[#This Row],[Vl. Produto]])*Tabela224[[#This Row],[Aliq.%]]</f>
        <v>0</v>
      </c>
    </row>
    <row r="393" spans="13:19" x14ac:dyDescent="0.25">
      <c r="M393" s="46"/>
      <c r="N393" s="46"/>
      <c r="O393" s="46"/>
      <c r="P393" s="46"/>
      <c r="R393" s="15">
        <v>7.0000000000000007E-2</v>
      </c>
      <c r="S393" s="18">
        <f>(Tabela224[[#This Row],[FRETE]]+Tabela224[[#This Row],[DESPESAS]]+Tabela224[[#This Row],[IPI]]+Tabela224[[#This Row],[Vl. Produto]])*Tabela224[[#This Row],[Aliq.%]]</f>
        <v>0</v>
      </c>
    </row>
    <row r="394" spans="13:19" x14ac:dyDescent="0.25">
      <c r="M394" s="46"/>
      <c r="N394" s="46"/>
      <c r="O394" s="46"/>
      <c r="P394" s="46"/>
      <c r="R394" s="15">
        <v>7.0000000000000007E-2</v>
      </c>
      <c r="S394" s="18">
        <f>(Tabela224[[#This Row],[FRETE]]+Tabela224[[#This Row],[DESPESAS]]+Tabela224[[#This Row],[IPI]]+Tabela224[[#This Row],[Vl. Produto]])*Tabela224[[#This Row],[Aliq.%]]</f>
        <v>0</v>
      </c>
    </row>
    <row r="395" spans="13:19" x14ac:dyDescent="0.25">
      <c r="M395" s="46"/>
      <c r="N395" s="46"/>
      <c r="O395" s="46"/>
      <c r="P395" s="46"/>
      <c r="R395" s="15">
        <v>7.0000000000000007E-2</v>
      </c>
      <c r="S395" s="18">
        <f>(Tabela224[[#This Row],[FRETE]]+Tabela224[[#This Row],[DESPESAS]]+Tabela224[[#This Row],[IPI]]+Tabela224[[#This Row],[Vl. Produto]])*Tabela224[[#This Row],[Aliq.%]]</f>
        <v>0</v>
      </c>
    </row>
    <row r="396" spans="13:19" x14ac:dyDescent="0.25">
      <c r="M396" s="46"/>
      <c r="N396" s="46"/>
      <c r="O396" s="46"/>
      <c r="P396" s="46"/>
      <c r="R396" s="15">
        <v>7.0000000000000007E-2</v>
      </c>
      <c r="S396" s="18">
        <f>(Tabela224[[#This Row],[FRETE]]+Tabela224[[#This Row],[DESPESAS]]+Tabela224[[#This Row],[IPI]]+Tabela224[[#This Row],[Vl. Produto]])*Tabela224[[#This Row],[Aliq.%]]</f>
        <v>0</v>
      </c>
    </row>
    <row r="397" spans="13:19" x14ac:dyDescent="0.25">
      <c r="M397" s="46"/>
      <c r="N397" s="46"/>
      <c r="O397" s="46"/>
      <c r="P397" s="46"/>
      <c r="R397" s="15">
        <v>7.0000000000000007E-2</v>
      </c>
      <c r="S397" s="18">
        <f>(Tabela224[[#This Row],[FRETE]]+Tabela224[[#This Row],[DESPESAS]]+Tabela224[[#This Row],[IPI]]+Tabela224[[#This Row],[Vl. Produto]])*Tabela224[[#This Row],[Aliq.%]]</f>
        <v>0</v>
      </c>
    </row>
    <row r="398" spans="13:19" x14ac:dyDescent="0.25">
      <c r="M398" s="46"/>
      <c r="N398" s="46"/>
      <c r="O398" s="46"/>
      <c r="P398" s="46"/>
      <c r="R398" s="15">
        <v>7.0000000000000007E-2</v>
      </c>
      <c r="S398" s="18">
        <f>(Tabela224[[#This Row],[FRETE]]+Tabela224[[#This Row],[DESPESAS]]+Tabela224[[#This Row],[IPI]]+Tabela224[[#This Row],[Vl. Produto]])*Tabela224[[#This Row],[Aliq.%]]</f>
        <v>0</v>
      </c>
    </row>
    <row r="399" spans="13:19" x14ac:dyDescent="0.25">
      <c r="M399" s="46"/>
      <c r="N399" s="46"/>
      <c r="O399" s="46"/>
      <c r="P399" s="46"/>
      <c r="R399" s="15">
        <v>7.0000000000000007E-2</v>
      </c>
      <c r="S399" s="18">
        <f>(Tabela224[[#This Row],[FRETE]]+Tabela224[[#This Row],[DESPESAS]]+Tabela224[[#This Row],[IPI]]+Tabela224[[#This Row],[Vl. Produto]])*Tabela224[[#This Row],[Aliq.%]]</f>
        <v>0</v>
      </c>
    </row>
    <row r="400" spans="13:19" x14ac:dyDescent="0.25">
      <c r="M400" s="46"/>
      <c r="N400" s="46"/>
      <c r="O400" s="46"/>
      <c r="P400" s="46"/>
      <c r="R400" s="15">
        <v>7.0000000000000007E-2</v>
      </c>
      <c r="S400" s="18">
        <f>(Tabela224[[#This Row],[FRETE]]+Tabela224[[#This Row],[DESPESAS]]+Tabela224[[#This Row],[IPI]]+Tabela224[[#This Row],[Vl. Produto]])*Tabela224[[#This Row],[Aliq.%]]</f>
        <v>0</v>
      </c>
    </row>
    <row r="401" spans="13:19" x14ac:dyDescent="0.25">
      <c r="M401" s="46"/>
      <c r="N401" s="46"/>
      <c r="O401" s="46"/>
      <c r="P401" s="46"/>
      <c r="R401" s="15">
        <v>7.0000000000000007E-2</v>
      </c>
      <c r="S401" s="18">
        <f>(Tabela224[[#This Row],[FRETE]]+Tabela224[[#This Row],[DESPESAS]]+Tabela224[[#This Row],[IPI]]+Tabela224[[#This Row],[Vl. Produto]])*Tabela224[[#This Row],[Aliq.%]]</f>
        <v>0</v>
      </c>
    </row>
    <row r="402" spans="13:19" x14ac:dyDescent="0.25">
      <c r="M402" s="46"/>
      <c r="N402" s="46"/>
      <c r="O402" s="46"/>
      <c r="P402" s="46"/>
      <c r="R402" s="15">
        <v>7.0000000000000007E-2</v>
      </c>
      <c r="S402" s="18">
        <f>(Tabela224[[#This Row],[FRETE]]+Tabela224[[#This Row],[DESPESAS]]+Tabela224[[#This Row],[IPI]]+Tabela224[[#This Row],[Vl. Produto]])*Tabela224[[#This Row],[Aliq.%]]</f>
        <v>0</v>
      </c>
    </row>
    <row r="403" spans="13:19" x14ac:dyDescent="0.25">
      <c r="M403" s="46"/>
      <c r="N403" s="46"/>
      <c r="O403" s="46"/>
      <c r="P403" s="46"/>
      <c r="R403" s="15">
        <v>7.0000000000000007E-2</v>
      </c>
      <c r="S403" s="18">
        <f>(Tabela224[[#This Row],[FRETE]]+Tabela224[[#This Row],[DESPESAS]]+Tabela224[[#This Row],[IPI]]+Tabela224[[#This Row],[Vl. Produto]])*Tabela224[[#This Row],[Aliq.%]]</f>
        <v>0</v>
      </c>
    </row>
    <row r="404" spans="13:19" x14ac:dyDescent="0.25">
      <c r="M404" s="46"/>
      <c r="N404" s="46"/>
      <c r="O404" s="46"/>
      <c r="P404" s="46"/>
      <c r="R404" s="15">
        <v>7.0000000000000007E-2</v>
      </c>
      <c r="S404" s="18">
        <f>(Tabela224[[#This Row],[FRETE]]+Tabela224[[#This Row],[DESPESAS]]+Tabela224[[#This Row],[IPI]]+Tabela224[[#This Row],[Vl. Produto]])*Tabela224[[#This Row],[Aliq.%]]</f>
        <v>0</v>
      </c>
    </row>
    <row r="405" spans="13:19" x14ac:dyDescent="0.25">
      <c r="M405" s="46"/>
      <c r="N405" s="46"/>
      <c r="O405" s="46"/>
      <c r="P405" s="46"/>
      <c r="R405" s="15">
        <v>7.0000000000000007E-2</v>
      </c>
      <c r="S405" s="18">
        <f>(Tabela224[[#This Row],[FRETE]]+Tabela224[[#This Row],[DESPESAS]]+Tabela224[[#This Row],[IPI]]+Tabela224[[#This Row],[Vl. Produto]])*Tabela224[[#This Row],[Aliq.%]]</f>
        <v>0</v>
      </c>
    </row>
    <row r="406" spans="13:19" x14ac:dyDescent="0.25">
      <c r="M406" s="46"/>
      <c r="N406" s="46"/>
      <c r="O406" s="46"/>
      <c r="P406" s="46"/>
      <c r="R406" s="15">
        <v>7.0000000000000007E-2</v>
      </c>
      <c r="S406" s="18">
        <f>(Tabela224[[#This Row],[FRETE]]+Tabela224[[#This Row],[DESPESAS]]+Tabela224[[#This Row],[IPI]]+Tabela224[[#This Row],[Vl. Produto]])*Tabela224[[#This Row],[Aliq.%]]</f>
        <v>0</v>
      </c>
    </row>
    <row r="407" spans="13:19" x14ac:dyDescent="0.25">
      <c r="M407" s="46"/>
      <c r="N407" s="46"/>
      <c r="O407" s="46"/>
      <c r="P407" s="46"/>
      <c r="R407" s="15">
        <v>7.0000000000000007E-2</v>
      </c>
      <c r="S407" s="18">
        <f>(Tabela224[[#This Row],[FRETE]]+Tabela224[[#This Row],[DESPESAS]]+Tabela224[[#This Row],[IPI]]+Tabela224[[#This Row],[Vl. Produto]])*Tabela224[[#This Row],[Aliq.%]]</f>
        <v>0</v>
      </c>
    </row>
    <row r="408" spans="13:19" x14ac:dyDescent="0.25">
      <c r="M408" s="46"/>
      <c r="N408" s="46"/>
      <c r="O408" s="46"/>
      <c r="P408" s="46"/>
      <c r="R408" s="15">
        <v>7.0000000000000007E-2</v>
      </c>
      <c r="S408" s="18">
        <f>(Tabela224[[#This Row],[FRETE]]+Tabela224[[#This Row],[DESPESAS]]+Tabela224[[#This Row],[IPI]]+Tabela224[[#This Row],[Vl. Produto]])*Tabela224[[#This Row],[Aliq.%]]</f>
        <v>0</v>
      </c>
    </row>
    <row r="409" spans="13:19" x14ac:dyDescent="0.25">
      <c r="M409" s="46"/>
      <c r="N409" s="46"/>
      <c r="O409" s="46"/>
      <c r="P409" s="46"/>
      <c r="R409" s="15">
        <v>7.0000000000000007E-2</v>
      </c>
      <c r="S409" s="18">
        <f>(Tabela224[[#This Row],[FRETE]]+Tabela224[[#This Row],[DESPESAS]]+Tabela224[[#This Row],[IPI]]+Tabela224[[#This Row],[Vl. Produto]])*Tabela224[[#This Row],[Aliq.%]]</f>
        <v>0</v>
      </c>
    </row>
    <row r="410" spans="13:19" x14ac:dyDescent="0.25">
      <c r="M410" s="46"/>
      <c r="N410" s="46"/>
      <c r="O410" s="46"/>
      <c r="P410" s="46"/>
      <c r="R410" s="15">
        <v>7.0000000000000007E-2</v>
      </c>
      <c r="S410" s="18">
        <f>(Tabela224[[#This Row],[FRETE]]+Tabela224[[#This Row],[DESPESAS]]+Tabela224[[#This Row],[IPI]]+Tabela224[[#This Row],[Vl. Produto]])*Tabela224[[#This Row],[Aliq.%]]</f>
        <v>0</v>
      </c>
    </row>
    <row r="411" spans="13:19" x14ac:dyDescent="0.25">
      <c r="M411" s="46"/>
      <c r="N411" s="46"/>
      <c r="O411" s="46"/>
      <c r="P411" s="46"/>
      <c r="R411" s="15">
        <v>7.0000000000000007E-2</v>
      </c>
      <c r="S411" s="18">
        <f>(Tabela224[[#This Row],[FRETE]]+Tabela224[[#This Row],[DESPESAS]]+Tabela224[[#This Row],[IPI]]+Tabela224[[#This Row],[Vl. Produto]])*Tabela224[[#This Row],[Aliq.%]]</f>
        <v>0</v>
      </c>
    </row>
    <row r="412" spans="13:19" x14ac:dyDescent="0.25">
      <c r="M412" s="46"/>
      <c r="N412" s="46"/>
      <c r="O412" s="46"/>
      <c r="P412" s="46"/>
      <c r="R412" s="15">
        <v>7.0000000000000007E-2</v>
      </c>
      <c r="S412" s="18">
        <f>(Tabela224[[#This Row],[FRETE]]+Tabela224[[#This Row],[DESPESAS]]+Tabela224[[#This Row],[IPI]]+Tabela224[[#This Row],[Vl. Produto]])*Tabela224[[#This Row],[Aliq.%]]</f>
        <v>0</v>
      </c>
    </row>
    <row r="413" spans="13:19" x14ac:dyDescent="0.25">
      <c r="M413" s="46"/>
      <c r="N413" s="46"/>
      <c r="O413" s="46"/>
      <c r="P413" s="46"/>
      <c r="R413" s="15">
        <v>7.0000000000000007E-2</v>
      </c>
      <c r="S413" s="18">
        <f>(Tabela224[[#This Row],[FRETE]]+Tabela224[[#This Row],[DESPESAS]]+Tabela224[[#This Row],[IPI]]+Tabela224[[#This Row],[Vl. Produto]])*Tabela224[[#This Row],[Aliq.%]]</f>
        <v>0</v>
      </c>
    </row>
    <row r="414" spans="13:19" x14ac:dyDescent="0.25">
      <c r="M414" s="46"/>
      <c r="N414" s="46"/>
      <c r="O414" s="46"/>
      <c r="P414" s="46"/>
      <c r="R414" s="15">
        <v>7.0000000000000007E-2</v>
      </c>
      <c r="S414" s="18">
        <f>(Tabela224[[#This Row],[FRETE]]+Tabela224[[#This Row],[DESPESAS]]+Tabela224[[#This Row],[IPI]]+Tabela224[[#This Row],[Vl. Produto]])*Tabela224[[#This Row],[Aliq.%]]</f>
        <v>0</v>
      </c>
    </row>
    <row r="415" spans="13:19" x14ac:dyDescent="0.25">
      <c r="M415" s="46"/>
      <c r="N415" s="46"/>
      <c r="O415" s="46"/>
      <c r="P415" s="46"/>
      <c r="R415" s="15">
        <v>7.0000000000000007E-2</v>
      </c>
      <c r="S415" s="18">
        <f>(Tabela224[[#This Row],[FRETE]]+Tabela224[[#This Row],[DESPESAS]]+Tabela224[[#This Row],[IPI]]+Tabela224[[#This Row],[Vl. Produto]])*Tabela224[[#This Row],[Aliq.%]]</f>
        <v>0</v>
      </c>
    </row>
    <row r="416" spans="13:19" x14ac:dyDescent="0.25">
      <c r="M416" s="46"/>
      <c r="N416" s="46"/>
      <c r="O416" s="46"/>
      <c r="P416" s="46"/>
      <c r="R416" s="15">
        <v>7.0000000000000007E-2</v>
      </c>
      <c r="S416" s="18">
        <f>(Tabela224[[#This Row],[FRETE]]+Tabela224[[#This Row],[DESPESAS]]+Tabela224[[#This Row],[IPI]]+Tabela224[[#This Row],[Vl. Produto]])*Tabela224[[#This Row],[Aliq.%]]</f>
        <v>0</v>
      </c>
    </row>
    <row r="417" spans="13:19" x14ac:dyDescent="0.25">
      <c r="M417" s="46"/>
      <c r="N417" s="46"/>
      <c r="O417" s="46"/>
      <c r="P417" s="46"/>
      <c r="R417" s="15">
        <v>7.0000000000000007E-2</v>
      </c>
      <c r="S417" s="18">
        <f>(Tabela224[[#This Row],[FRETE]]+Tabela224[[#This Row],[DESPESAS]]+Tabela224[[#This Row],[IPI]]+Tabela224[[#This Row],[Vl. Produto]])*Tabela224[[#This Row],[Aliq.%]]</f>
        <v>0</v>
      </c>
    </row>
    <row r="418" spans="13:19" x14ac:dyDescent="0.25">
      <c r="M418" s="46"/>
      <c r="N418" s="46"/>
      <c r="O418" s="46"/>
      <c r="P418" s="46"/>
      <c r="R418" s="15">
        <v>7.0000000000000007E-2</v>
      </c>
      <c r="S418" s="18">
        <f>(Tabela224[[#This Row],[FRETE]]+Tabela224[[#This Row],[DESPESAS]]+Tabela224[[#This Row],[IPI]]+Tabela224[[#This Row],[Vl. Produto]])*Tabela224[[#This Row],[Aliq.%]]</f>
        <v>0</v>
      </c>
    </row>
    <row r="419" spans="13:19" x14ac:dyDescent="0.25">
      <c r="M419" s="46"/>
      <c r="N419" s="46"/>
      <c r="O419" s="46"/>
      <c r="P419" s="46"/>
      <c r="R419" s="15">
        <v>7.0000000000000007E-2</v>
      </c>
      <c r="S419" s="18">
        <f>(Tabela224[[#This Row],[FRETE]]+Tabela224[[#This Row],[DESPESAS]]+Tabela224[[#This Row],[IPI]]+Tabela224[[#This Row],[Vl. Produto]])*Tabela224[[#This Row],[Aliq.%]]</f>
        <v>0</v>
      </c>
    </row>
    <row r="420" spans="13:19" x14ac:dyDescent="0.25">
      <c r="M420" s="46"/>
      <c r="N420" s="46"/>
      <c r="O420" s="46"/>
      <c r="P420" s="46"/>
      <c r="R420" s="15">
        <v>7.0000000000000007E-2</v>
      </c>
      <c r="S420" s="18">
        <f>(Tabela224[[#This Row],[FRETE]]+Tabela224[[#This Row],[DESPESAS]]+Tabela224[[#This Row],[IPI]]+Tabela224[[#This Row],[Vl. Produto]])*Tabela224[[#This Row],[Aliq.%]]</f>
        <v>0</v>
      </c>
    </row>
    <row r="421" spans="13:19" x14ac:dyDescent="0.25">
      <c r="M421" s="46"/>
      <c r="N421" s="46"/>
      <c r="O421" s="46"/>
      <c r="P421" s="46"/>
      <c r="R421" s="15">
        <v>7.0000000000000007E-2</v>
      </c>
      <c r="S421" s="18">
        <f>(Tabela224[[#This Row],[FRETE]]+Tabela224[[#This Row],[DESPESAS]]+Tabela224[[#This Row],[IPI]]+Tabela224[[#This Row],[Vl. Produto]])*Tabela224[[#This Row],[Aliq.%]]</f>
        <v>0</v>
      </c>
    </row>
    <row r="422" spans="13:19" x14ac:dyDescent="0.25">
      <c r="M422" s="46"/>
      <c r="N422" s="46"/>
      <c r="O422" s="46"/>
      <c r="P422" s="46"/>
      <c r="R422" s="15">
        <v>7.0000000000000007E-2</v>
      </c>
      <c r="S422" s="18">
        <f>(Tabela224[[#This Row],[FRETE]]+Tabela224[[#This Row],[DESPESAS]]+Tabela224[[#This Row],[IPI]]+Tabela224[[#This Row],[Vl. Produto]])*Tabela224[[#This Row],[Aliq.%]]</f>
        <v>0</v>
      </c>
    </row>
    <row r="423" spans="13:19" x14ac:dyDescent="0.25">
      <c r="M423" s="46"/>
      <c r="N423" s="46"/>
      <c r="O423" s="46"/>
      <c r="P423" s="46"/>
      <c r="R423" s="15">
        <v>7.0000000000000007E-2</v>
      </c>
      <c r="S423" s="18">
        <f>(Tabela224[[#This Row],[FRETE]]+Tabela224[[#This Row],[DESPESAS]]+Tabela224[[#This Row],[IPI]]+Tabela224[[#This Row],[Vl. Produto]])*Tabela224[[#This Row],[Aliq.%]]</f>
        <v>0</v>
      </c>
    </row>
    <row r="424" spans="13:19" x14ac:dyDescent="0.25">
      <c r="M424" s="46"/>
      <c r="N424" s="46"/>
      <c r="O424" s="46"/>
      <c r="P424" s="46"/>
      <c r="R424" s="15">
        <v>7.0000000000000007E-2</v>
      </c>
      <c r="S424" s="18">
        <f>(Tabela224[[#This Row],[FRETE]]+Tabela224[[#This Row],[DESPESAS]]+Tabela224[[#This Row],[IPI]]+Tabela224[[#This Row],[Vl. Produto]])*Tabela224[[#This Row],[Aliq.%]]</f>
        <v>0</v>
      </c>
    </row>
    <row r="425" spans="13:19" x14ac:dyDescent="0.25">
      <c r="M425" s="46"/>
      <c r="N425" s="46"/>
      <c r="O425" s="46"/>
      <c r="P425" s="46"/>
      <c r="R425" s="15">
        <v>7.0000000000000007E-2</v>
      </c>
      <c r="S425" s="18">
        <f>(Tabela224[[#This Row],[FRETE]]+Tabela224[[#This Row],[DESPESAS]]+Tabela224[[#This Row],[IPI]]+Tabela224[[#This Row],[Vl. Produto]])*Tabela224[[#This Row],[Aliq.%]]</f>
        <v>0</v>
      </c>
    </row>
    <row r="426" spans="13:19" x14ac:dyDescent="0.25">
      <c r="M426" s="46"/>
      <c r="N426" s="46"/>
      <c r="O426" s="46"/>
      <c r="P426" s="46"/>
      <c r="R426" s="15">
        <v>7.0000000000000007E-2</v>
      </c>
      <c r="S426" s="18">
        <f>(Tabela224[[#This Row],[FRETE]]+Tabela224[[#This Row],[DESPESAS]]+Tabela224[[#This Row],[IPI]]+Tabela224[[#This Row],[Vl. Produto]])*Tabela224[[#This Row],[Aliq.%]]</f>
        <v>0</v>
      </c>
    </row>
    <row r="427" spans="13:19" x14ac:dyDescent="0.25">
      <c r="M427" s="46"/>
      <c r="N427" s="46"/>
      <c r="O427" s="46"/>
      <c r="P427" s="46"/>
      <c r="R427" s="15">
        <v>7.0000000000000007E-2</v>
      </c>
      <c r="S427" s="18">
        <f>(Tabela224[[#This Row],[FRETE]]+Tabela224[[#This Row],[DESPESAS]]+Tabela224[[#This Row],[IPI]]+Tabela224[[#This Row],[Vl. Produto]])*Tabela224[[#This Row],[Aliq.%]]</f>
        <v>0</v>
      </c>
    </row>
    <row r="428" spans="13:19" x14ac:dyDescent="0.25">
      <c r="M428" s="46"/>
      <c r="N428" s="46"/>
      <c r="O428" s="46"/>
      <c r="P428" s="46"/>
      <c r="R428" s="15">
        <v>7.0000000000000007E-2</v>
      </c>
      <c r="S428" s="18">
        <f>(Tabela224[[#This Row],[FRETE]]+Tabela224[[#This Row],[DESPESAS]]+Tabela224[[#This Row],[IPI]]+Tabela224[[#This Row],[Vl. Produto]])*Tabela224[[#This Row],[Aliq.%]]</f>
        <v>0</v>
      </c>
    </row>
    <row r="429" spans="13:19" x14ac:dyDescent="0.25">
      <c r="M429" s="46"/>
      <c r="N429" s="46"/>
      <c r="O429" s="46"/>
      <c r="P429" s="46"/>
      <c r="R429" s="15">
        <v>7.0000000000000007E-2</v>
      </c>
      <c r="S429" s="18">
        <f>(Tabela224[[#This Row],[FRETE]]+Tabela224[[#This Row],[DESPESAS]]+Tabela224[[#This Row],[IPI]]+Tabela224[[#This Row],[Vl. Produto]])*Tabela224[[#This Row],[Aliq.%]]</f>
        <v>0</v>
      </c>
    </row>
    <row r="430" spans="13:19" x14ac:dyDescent="0.25">
      <c r="M430" s="46"/>
      <c r="N430" s="46"/>
      <c r="O430" s="46"/>
      <c r="P430" s="46"/>
      <c r="R430" s="15">
        <v>7.0000000000000007E-2</v>
      </c>
      <c r="S430" s="18">
        <f>(Tabela224[[#This Row],[FRETE]]+Tabela224[[#This Row],[DESPESAS]]+Tabela224[[#This Row],[IPI]]+Tabela224[[#This Row],[Vl. Produto]])*Tabela224[[#This Row],[Aliq.%]]</f>
        <v>0</v>
      </c>
    </row>
    <row r="431" spans="13:19" x14ac:dyDescent="0.25">
      <c r="M431" s="46"/>
      <c r="N431" s="46"/>
      <c r="O431" s="46"/>
      <c r="P431" s="46"/>
      <c r="R431" s="15">
        <v>7.0000000000000007E-2</v>
      </c>
      <c r="S431" s="18">
        <f>(Tabela224[[#This Row],[FRETE]]+Tabela224[[#This Row],[DESPESAS]]+Tabela224[[#This Row],[IPI]]+Tabela224[[#This Row],[Vl. Produto]])*Tabela224[[#This Row],[Aliq.%]]</f>
        <v>0</v>
      </c>
    </row>
    <row r="432" spans="13:19" x14ac:dyDescent="0.25">
      <c r="M432" s="46"/>
      <c r="N432" s="46"/>
      <c r="O432" s="46"/>
      <c r="P432" s="46"/>
      <c r="R432" s="15">
        <v>7.0000000000000007E-2</v>
      </c>
      <c r="S432" s="18">
        <f>(Tabela224[[#This Row],[FRETE]]+Tabela224[[#This Row],[DESPESAS]]+Tabela224[[#This Row],[IPI]]+Tabela224[[#This Row],[Vl. Produto]])*Tabela224[[#This Row],[Aliq.%]]</f>
        <v>0</v>
      </c>
    </row>
    <row r="433" spans="13:19" x14ac:dyDescent="0.25">
      <c r="M433" s="46"/>
      <c r="N433" s="46"/>
      <c r="O433" s="46"/>
      <c r="P433" s="46"/>
      <c r="R433" s="15">
        <v>7.0000000000000007E-2</v>
      </c>
      <c r="S433" s="18">
        <f>(Tabela224[[#This Row],[FRETE]]+Tabela224[[#This Row],[DESPESAS]]+Tabela224[[#This Row],[IPI]]+Tabela224[[#This Row],[Vl. Produto]])*Tabela224[[#This Row],[Aliq.%]]</f>
        <v>0</v>
      </c>
    </row>
    <row r="434" spans="13:19" x14ac:dyDescent="0.25">
      <c r="M434" s="46"/>
      <c r="N434" s="46"/>
      <c r="O434" s="46"/>
      <c r="P434" s="46"/>
      <c r="R434" s="15">
        <v>7.0000000000000007E-2</v>
      </c>
      <c r="S434" s="18">
        <f>(Tabela224[[#This Row],[FRETE]]+Tabela224[[#This Row],[DESPESAS]]+Tabela224[[#This Row],[IPI]]+Tabela224[[#This Row],[Vl. Produto]])*Tabela224[[#This Row],[Aliq.%]]</f>
        <v>0</v>
      </c>
    </row>
    <row r="435" spans="13:19" x14ac:dyDescent="0.25">
      <c r="M435" s="46"/>
      <c r="N435" s="46"/>
      <c r="O435" s="46"/>
      <c r="P435" s="46"/>
      <c r="R435" s="15">
        <v>7.0000000000000007E-2</v>
      </c>
      <c r="S435" s="18">
        <f>(Tabela224[[#This Row],[FRETE]]+Tabela224[[#This Row],[DESPESAS]]+Tabela224[[#This Row],[IPI]]+Tabela224[[#This Row],[Vl. Produto]])*Tabela224[[#This Row],[Aliq.%]]</f>
        <v>0</v>
      </c>
    </row>
    <row r="436" spans="13:19" x14ac:dyDescent="0.25">
      <c r="M436" s="46"/>
      <c r="N436" s="46"/>
      <c r="O436" s="46"/>
      <c r="P436" s="46"/>
      <c r="R436" s="15">
        <v>7.0000000000000007E-2</v>
      </c>
      <c r="S436" s="18">
        <f>(Tabela224[[#This Row],[FRETE]]+Tabela224[[#This Row],[DESPESAS]]+Tabela224[[#This Row],[IPI]]+Tabela224[[#This Row],[Vl. Produto]])*Tabela224[[#This Row],[Aliq.%]]</f>
        <v>0</v>
      </c>
    </row>
    <row r="437" spans="13:19" x14ac:dyDescent="0.25">
      <c r="M437" s="46"/>
      <c r="N437" s="46"/>
      <c r="O437" s="46"/>
      <c r="P437" s="46"/>
      <c r="R437" s="15">
        <v>7.0000000000000007E-2</v>
      </c>
      <c r="S437" s="18">
        <f>(Tabela224[[#This Row],[FRETE]]+Tabela224[[#This Row],[DESPESAS]]+Tabela224[[#This Row],[IPI]]+Tabela224[[#This Row],[Vl. Produto]])*Tabela224[[#This Row],[Aliq.%]]</f>
        <v>0</v>
      </c>
    </row>
    <row r="438" spans="13:19" x14ac:dyDescent="0.25">
      <c r="M438" s="46"/>
      <c r="N438" s="46"/>
      <c r="O438" s="46"/>
      <c r="P438" s="46"/>
      <c r="R438" s="15">
        <v>7.0000000000000007E-2</v>
      </c>
      <c r="S438" s="18">
        <f>(Tabela224[[#This Row],[FRETE]]+Tabela224[[#This Row],[DESPESAS]]+Tabela224[[#This Row],[IPI]]+Tabela224[[#This Row],[Vl. Produto]])*Tabela224[[#This Row],[Aliq.%]]</f>
        <v>0</v>
      </c>
    </row>
    <row r="439" spans="13:19" x14ac:dyDescent="0.25">
      <c r="M439" s="46"/>
      <c r="N439" s="46"/>
      <c r="O439" s="46"/>
      <c r="P439" s="46"/>
      <c r="R439" s="15">
        <v>7.0000000000000007E-2</v>
      </c>
      <c r="S439" s="18">
        <f>(Tabela224[[#This Row],[FRETE]]+Tabela224[[#This Row],[DESPESAS]]+Tabela224[[#This Row],[IPI]]+Tabela224[[#This Row],[Vl. Produto]])*Tabela224[[#This Row],[Aliq.%]]</f>
        <v>0</v>
      </c>
    </row>
    <row r="440" spans="13:19" x14ac:dyDescent="0.25">
      <c r="M440" s="46"/>
      <c r="N440" s="46"/>
      <c r="O440" s="46"/>
      <c r="P440" s="46"/>
      <c r="R440" s="15">
        <v>7.0000000000000007E-2</v>
      </c>
      <c r="S440" s="18">
        <f>(Tabela224[[#This Row],[FRETE]]+Tabela224[[#This Row],[DESPESAS]]+Tabela224[[#This Row],[IPI]]+Tabela224[[#This Row],[Vl. Produto]])*Tabela224[[#This Row],[Aliq.%]]</f>
        <v>0</v>
      </c>
    </row>
    <row r="441" spans="13:19" x14ac:dyDescent="0.25">
      <c r="M441" s="46"/>
      <c r="N441" s="46"/>
      <c r="O441" s="46"/>
      <c r="P441" s="46"/>
      <c r="R441" s="15">
        <v>7.0000000000000007E-2</v>
      </c>
      <c r="S441" s="18">
        <f>(Tabela224[[#This Row],[FRETE]]+Tabela224[[#This Row],[DESPESAS]]+Tabela224[[#This Row],[IPI]]+Tabela224[[#This Row],[Vl. Produto]])*Tabela224[[#This Row],[Aliq.%]]</f>
        <v>0</v>
      </c>
    </row>
    <row r="442" spans="13:19" x14ac:dyDescent="0.25">
      <c r="M442" s="46"/>
      <c r="N442" s="46"/>
      <c r="O442" s="46"/>
      <c r="P442" s="46"/>
      <c r="R442" s="15">
        <v>7.0000000000000007E-2</v>
      </c>
      <c r="S442" s="18">
        <f>(Tabela224[[#This Row],[FRETE]]+Tabela224[[#This Row],[DESPESAS]]+Tabela224[[#This Row],[IPI]]+Tabela224[[#This Row],[Vl. Produto]])*Tabela224[[#This Row],[Aliq.%]]</f>
        <v>0</v>
      </c>
    </row>
    <row r="443" spans="13:19" x14ac:dyDescent="0.25">
      <c r="M443" s="46"/>
      <c r="N443" s="46"/>
      <c r="O443" s="46"/>
      <c r="P443" s="46"/>
      <c r="R443" s="15">
        <v>7.0000000000000007E-2</v>
      </c>
      <c r="S443" s="18">
        <f>(Tabela224[[#This Row],[FRETE]]+Tabela224[[#This Row],[DESPESAS]]+Tabela224[[#This Row],[IPI]]+Tabela224[[#This Row],[Vl. Produto]])*Tabela224[[#This Row],[Aliq.%]]</f>
        <v>0</v>
      </c>
    </row>
    <row r="444" spans="13:19" x14ac:dyDescent="0.25">
      <c r="M444" s="46"/>
      <c r="N444" s="46"/>
      <c r="O444" s="46"/>
      <c r="P444" s="46"/>
      <c r="R444" s="15">
        <v>7.0000000000000007E-2</v>
      </c>
      <c r="S444" s="18">
        <f>(Tabela224[[#This Row],[FRETE]]+Tabela224[[#This Row],[DESPESAS]]+Tabela224[[#This Row],[IPI]]+Tabela224[[#This Row],[Vl. Produto]])*Tabela224[[#This Row],[Aliq.%]]</f>
        <v>0</v>
      </c>
    </row>
    <row r="445" spans="13:19" x14ac:dyDescent="0.25">
      <c r="M445" s="46"/>
      <c r="N445" s="46"/>
      <c r="O445" s="46"/>
      <c r="P445" s="46"/>
      <c r="R445" s="15">
        <v>7.0000000000000007E-2</v>
      </c>
      <c r="S445" s="18">
        <f>(Tabela224[[#This Row],[FRETE]]+Tabela224[[#This Row],[DESPESAS]]+Tabela224[[#This Row],[IPI]]+Tabela224[[#This Row],[Vl. Produto]])*Tabela224[[#This Row],[Aliq.%]]</f>
        <v>0</v>
      </c>
    </row>
    <row r="446" spans="13:19" x14ac:dyDescent="0.25">
      <c r="M446" s="46"/>
      <c r="N446" s="46"/>
      <c r="O446" s="46"/>
      <c r="P446" s="46"/>
      <c r="R446" s="15">
        <v>7.0000000000000007E-2</v>
      </c>
      <c r="S446" s="18">
        <f>(Tabela224[[#This Row],[FRETE]]+Tabela224[[#This Row],[DESPESAS]]+Tabela224[[#This Row],[IPI]]+Tabela224[[#This Row],[Vl. Produto]])*Tabela224[[#This Row],[Aliq.%]]</f>
        <v>0</v>
      </c>
    </row>
    <row r="447" spans="13:19" x14ac:dyDescent="0.25">
      <c r="M447" s="46"/>
      <c r="N447" s="46"/>
      <c r="O447" s="46"/>
      <c r="P447" s="46"/>
      <c r="R447" s="15">
        <v>7.0000000000000007E-2</v>
      </c>
      <c r="S447" s="18">
        <f>(Tabela224[[#This Row],[FRETE]]+Tabela224[[#This Row],[DESPESAS]]+Tabela224[[#This Row],[IPI]]+Tabela224[[#This Row],[Vl. Produto]])*Tabela224[[#This Row],[Aliq.%]]</f>
        <v>0</v>
      </c>
    </row>
    <row r="448" spans="13:19" x14ac:dyDescent="0.25">
      <c r="M448" s="46"/>
      <c r="N448" s="46"/>
      <c r="O448" s="46"/>
      <c r="P448" s="46"/>
      <c r="R448" s="15">
        <v>7.0000000000000007E-2</v>
      </c>
      <c r="S448" s="18">
        <f>(Tabela224[[#This Row],[FRETE]]+Tabela224[[#This Row],[DESPESAS]]+Tabela224[[#This Row],[IPI]]+Tabela224[[#This Row],[Vl. Produto]])*Tabela224[[#This Row],[Aliq.%]]</f>
        <v>0</v>
      </c>
    </row>
    <row r="449" spans="13:19" x14ac:dyDescent="0.25">
      <c r="M449" s="46"/>
      <c r="N449" s="46"/>
      <c r="O449" s="46"/>
      <c r="P449" s="46"/>
      <c r="R449" s="15">
        <v>7.0000000000000007E-2</v>
      </c>
      <c r="S449" s="18">
        <f>(Tabela224[[#This Row],[FRETE]]+Tabela224[[#This Row],[DESPESAS]]+Tabela224[[#This Row],[IPI]]+Tabela224[[#This Row],[Vl. Produto]])*Tabela224[[#This Row],[Aliq.%]]</f>
        <v>0</v>
      </c>
    </row>
    <row r="450" spans="13:19" x14ac:dyDescent="0.25">
      <c r="M450" s="46"/>
      <c r="N450" s="46"/>
      <c r="O450" s="46"/>
      <c r="P450" s="46"/>
      <c r="R450" s="15">
        <v>7.0000000000000007E-2</v>
      </c>
      <c r="S450" s="18">
        <f>(Tabela224[[#This Row],[FRETE]]+Tabela224[[#This Row],[DESPESAS]]+Tabela224[[#This Row],[IPI]]+Tabela224[[#This Row],[Vl. Produto]])*Tabela224[[#This Row],[Aliq.%]]</f>
        <v>0</v>
      </c>
    </row>
    <row r="451" spans="13:19" x14ac:dyDescent="0.25">
      <c r="M451" s="46"/>
      <c r="N451" s="46"/>
      <c r="O451" s="46"/>
      <c r="P451" s="46"/>
      <c r="R451" s="15">
        <v>7.0000000000000007E-2</v>
      </c>
      <c r="S451" s="18">
        <f>(Tabela224[[#This Row],[FRETE]]+Tabela224[[#This Row],[DESPESAS]]+Tabela224[[#This Row],[IPI]]+Tabela224[[#This Row],[Vl. Produto]])*Tabela224[[#This Row],[Aliq.%]]</f>
        <v>0</v>
      </c>
    </row>
    <row r="452" spans="13:19" x14ac:dyDescent="0.25">
      <c r="M452" s="46"/>
      <c r="N452" s="46"/>
      <c r="O452" s="46"/>
      <c r="P452" s="46"/>
      <c r="R452" s="15">
        <v>7.0000000000000007E-2</v>
      </c>
      <c r="S452" s="18">
        <f>(Tabela224[[#This Row],[FRETE]]+Tabela224[[#This Row],[DESPESAS]]+Tabela224[[#This Row],[IPI]]+Tabela224[[#This Row],[Vl. Produto]])*Tabela224[[#This Row],[Aliq.%]]</f>
        <v>0</v>
      </c>
    </row>
    <row r="453" spans="13:19" x14ac:dyDescent="0.25">
      <c r="M453" s="46"/>
      <c r="N453" s="46"/>
      <c r="O453" s="46"/>
      <c r="P453" s="46"/>
      <c r="R453" s="15">
        <v>7.0000000000000007E-2</v>
      </c>
      <c r="S453" s="18">
        <f>(Tabela224[[#This Row],[FRETE]]+Tabela224[[#This Row],[DESPESAS]]+Tabela224[[#This Row],[IPI]]+Tabela224[[#This Row],[Vl. Produto]])*Tabela224[[#This Row],[Aliq.%]]</f>
        <v>0</v>
      </c>
    </row>
    <row r="454" spans="13:19" x14ac:dyDescent="0.25">
      <c r="M454" s="46"/>
      <c r="N454" s="46"/>
      <c r="O454" s="46"/>
      <c r="P454" s="46"/>
      <c r="R454" s="15">
        <v>7.0000000000000007E-2</v>
      </c>
      <c r="S454" s="18">
        <f>(Tabela224[[#This Row],[FRETE]]+Tabela224[[#This Row],[DESPESAS]]+Tabela224[[#This Row],[IPI]]+Tabela224[[#This Row],[Vl. Produto]])*Tabela224[[#This Row],[Aliq.%]]</f>
        <v>0</v>
      </c>
    </row>
    <row r="455" spans="13:19" x14ac:dyDescent="0.25">
      <c r="M455" s="46"/>
      <c r="N455" s="46"/>
      <c r="O455" s="46"/>
      <c r="P455" s="46"/>
      <c r="R455" s="15">
        <v>7.0000000000000007E-2</v>
      </c>
      <c r="S455" s="18">
        <f>(Tabela224[[#This Row],[FRETE]]+Tabela224[[#This Row],[DESPESAS]]+Tabela224[[#This Row],[IPI]]+Tabela224[[#This Row],[Vl. Produto]])*Tabela224[[#This Row],[Aliq.%]]</f>
        <v>0</v>
      </c>
    </row>
    <row r="456" spans="13:19" x14ac:dyDescent="0.25">
      <c r="M456" s="46"/>
      <c r="N456" s="46"/>
      <c r="O456" s="46"/>
      <c r="P456" s="46"/>
      <c r="R456" s="15">
        <v>7.0000000000000007E-2</v>
      </c>
      <c r="S456" s="18">
        <f>(Tabela224[[#This Row],[FRETE]]+Tabela224[[#This Row],[DESPESAS]]+Tabela224[[#This Row],[IPI]]+Tabela224[[#This Row],[Vl. Produto]])*Tabela224[[#This Row],[Aliq.%]]</f>
        <v>0</v>
      </c>
    </row>
    <row r="457" spans="13:19" x14ac:dyDescent="0.25">
      <c r="M457" s="46"/>
      <c r="N457" s="46"/>
      <c r="O457" s="46"/>
      <c r="P457" s="46"/>
      <c r="R457" s="15">
        <v>7.0000000000000007E-2</v>
      </c>
      <c r="S457" s="18">
        <f>(Tabela224[[#This Row],[FRETE]]+Tabela224[[#This Row],[DESPESAS]]+Tabela224[[#This Row],[IPI]]+Tabela224[[#This Row],[Vl. Produto]])*Tabela224[[#This Row],[Aliq.%]]</f>
        <v>0</v>
      </c>
    </row>
    <row r="458" spans="13:19" x14ac:dyDescent="0.25">
      <c r="M458" s="46"/>
      <c r="N458" s="46"/>
      <c r="O458" s="46"/>
      <c r="P458" s="46"/>
      <c r="R458" s="15">
        <v>7.0000000000000007E-2</v>
      </c>
      <c r="S458" s="18">
        <f>(Tabela224[[#This Row],[FRETE]]+Tabela224[[#This Row],[DESPESAS]]+Tabela224[[#This Row],[IPI]]+Tabela224[[#This Row],[Vl. Produto]])*Tabela224[[#This Row],[Aliq.%]]</f>
        <v>0</v>
      </c>
    </row>
    <row r="459" spans="13:19" x14ac:dyDescent="0.25">
      <c r="M459" s="46"/>
      <c r="N459" s="46"/>
      <c r="O459" s="46"/>
      <c r="P459" s="46"/>
      <c r="R459" s="15">
        <v>7.0000000000000007E-2</v>
      </c>
      <c r="S459" s="18">
        <f>(Tabela224[[#This Row],[FRETE]]+Tabela224[[#This Row],[DESPESAS]]+Tabela224[[#This Row],[IPI]]+Tabela224[[#This Row],[Vl. Produto]])*Tabela224[[#This Row],[Aliq.%]]</f>
        <v>0</v>
      </c>
    </row>
    <row r="460" spans="13:19" x14ac:dyDescent="0.25">
      <c r="M460" s="46"/>
      <c r="N460" s="46"/>
      <c r="O460" s="46"/>
      <c r="P460" s="46"/>
      <c r="R460" s="15">
        <v>7.0000000000000007E-2</v>
      </c>
      <c r="S460" s="18">
        <f>(Tabela224[[#This Row],[FRETE]]+Tabela224[[#This Row],[DESPESAS]]+Tabela224[[#This Row],[IPI]]+Tabela224[[#This Row],[Vl. Produto]])*Tabela224[[#This Row],[Aliq.%]]</f>
        <v>0</v>
      </c>
    </row>
    <row r="461" spans="13:19" x14ac:dyDescent="0.25">
      <c r="M461" s="46"/>
      <c r="N461" s="46"/>
      <c r="O461" s="46"/>
      <c r="P461" s="46"/>
      <c r="R461" s="15">
        <v>7.0000000000000007E-2</v>
      </c>
      <c r="S461" s="18">
        <f>(Tabela224[[#This Row],[FRETE]]+Tabela224[[#This Row],[DESPESAS]]+Tabela224[[#This Row],[IPI]]+Tabela224[[#This Row],[Vl. Produto]])*Tabela224[[#This Row],[Aliq.%]]</f>
        <v>0</v>
      </c>
    </row>
    <row r="462" spans="13:19" x14ac:dyDescent="0.25">
      <c r="M462" s="46"/>
      <c r="N462" s="46"/>
      <c r="O462" s="46"/>
      <c r="P462" s="46"/>
      <c r="R462" s="15">
        <v>7.0000000000000007E-2</v>
      </c>
      <c r="S462" s="18">
        <f>(Tabela224[[#This Row],[FRETE]]+Tabela224[[#This Row],[DESPESAS]]+Tabela224[[#This Row],[IPI]]+Tabela224[[#This Row],[Vl. Produto]])*Tabela224[[#This Row],[Aliq.%]]</f>
        <v>0</v>
      </c>
    </row>
    <row r="463" spans="13:19" x14ac:dyDescent="0.25">
      <c r="M463" s="46"/>
      <c r="N463" s="46"/>
      <c r="O463" s="46"/>
      <c r="P463" s="46"/>
      <c r="R463" s="15">
        <v>7.0000000000000007E-2</v>
      </c>
      <c r="S463" s="18">
        <f>(Tabela224[[#This Row],[FRETE]]+Tabela224[[#This Row],[DESPESAS]]+Tabela224[[#This Row],[IPI]]+Tabela224[[#This Row],[Vl. Produto]])*Tabela224[[#This Row],[Aliq.%]]</f>
        <v>0</v>
      </c>
    </row>
    <row r="464" spans="13:19" x14ac:dyDescent="0.25">
      <c r="M464" s="46"/>
      <c r="N464" s="46"/>
      <c r="O464" s="46"/>
      <c r="P464" s="46"/>
      <c r="R464" s="15">
        <v>7.0000000000000007E-2</v>
      </c>
      <c r="S464" s="18">
        <f>(Tabela224[[#This Row],[FRETE]]+Tabela224[[#This Row],[DESPESAS]]+Tabela224[[#This Row],[IPI]]+Tabela224[[#This Row],[Vl. Produto]])*Tabela224[[#This Row],[Aliq.%]]</f>
        <v>0</v>
      </c>
    </row>
    <row r="465" spans="13:19" x14ac:dyDescent="0.25">
      <c r="M465" s="46"/>
      <c r="N465" s="46"/>
      <c r="O465" s="46"/>
      <c r="P465" s="46"/>
      <c r="R465" s="15">
        <v>7.0000000000000007E-2</v>
      </c>
      <c r="S465" s="18">
        <f>(Tabela224[[#This Row],[FRETE]]+Tabela224[[#This Row],[DESPESAS]]+Tabela224[[#This Row],[IPI]]+Tabela224[[#This Row],[Vl. Produto]])*Tabela224[[#This Row],[Aliq.%]]</f>
        <v>0</v>
      </c>
    </row>
    <row r="466" spans="13:19" x14ac:dyDescent="0.25">
      <c r="M466" s="46"/>
      <c r="N466" s="46"/>
      <c r="O466" s="46"/>
      <c r="P466" s="46"/>
      <c r="R466" s="15">
        <v>7.0000000000000007E-2</v>
      </c>
      <c r="S466" s="18">
        <f>(Tabela224[[#This Row],[FRETE]]+Tabela224[[#This Row],[DESPESAS]]+Tabela224[[#This Row],[IPI]]+Tabela224[[#This Row],[Vl. Produto]])*Tabela224[[#This Row],[Aliq.%]]</f>
        <v>0</v>
      </c>
    </row>
    <row r="467" spans="13:19" x14ac:dyDescent="0.25">
      <c r="M467" s="46"/>
      <c r="N467" s="46"/>
      <c r="O467" s="46"/>
      <c r="P467" s="46"/>
      <c r="R467" s="15">
        <v>7.0000000000000007E-2</v>
      </c>
      <c r="S467" s="18">
        <f>(Tabela224[[#This Row],[FRETE]]+Tabela224[[#This Row],[DESPESAS]]+Tabela224[[#This Row],[IPI]]+Tabela224[[#This Row],[Vl. Produto]])*Tabela224[[#This Row],[Aliq.%]]</f>
        <v>0</v>
      </c>
    </row>
    <row r="468" spans="13:19" x14ac:dyDescent="0.25">
      <c r="M468" s="46"/>
      <c r="N468" s="46"/>
      <c r="O468" s="46"/>
      <c r="P468" s="46"/>
      <c r="R468" s="15">
        <v>7.0000000000000007E-2</v>
      </c>
      <c r="S468" s="18">
        <f>(Tabela224[[#This Row],[FRETE]]+Tabela224[[#This Row],[DESPESAS]]+Tabela224[[#This Row],[IPI]]+Tabela224[[#This Row],[Vl. Produto]])*Tabela224[[#This Row],[Aliq.%]]</f>
        <v>0</v>
      </c>
    </row>
    <row r="469" spans="13:19" x14ac:dyDescent="0.25">
      <c r="M469" s="46"/>
      <c r="N469" s="46"/>
      <c r="O469" s="46"/>
      <c r="P469" s="46"/>
      <c r="R469" s="15">
        <v>7.0000000000000007E-2</v>
      </c>
      <c r="S469" s="18">
        <f>(Tabela224[[#This Row],[FRETE]]+Tabela224[[#This Row],[DESPESAS]]+Tabela224[[#This Row],[IPI]]+Tabela224[[#This Row],[Vl. Produto]])*Tabela224[[#This Row],[Aliq.%]]</f>
        <v>0</v>
      </c>
    </row>
    <row r="470" spans="13:19" x14ac:dyDescent="0.25">
      <c r="M470" s="46"/>
      <c r="N470" s="46"/>
      <c r="O470" s="46"/>
      <c r="P470" s="46"/>
      <c r="R470" s="15">
        <v>7.0000000000000007E-2</v>
      </c>
      <c r="S470" s="18">
        <f>(Tabela224[[#This Row],[FRETE]]+Tabela224[[#This Row],[DESPESAS]]+Tabela224[[#This Row],[IPI]]+Tabela224[[#This Row],[Vl. Produto]])*Tabela224[[#This Row],[Aliq.%]]</f>
        <v>0</v>
      </c>
    </row>
    <row r="471" spans="13:19" x14ac:dyDescent="0.25">
      <c r="M471" s="46"/>
      <c r="N471" s="46"/>
      <c r="O471" s="46"/>
      <c r="P471" s="46"/>
      <c r="R471" s="15">
        <v>7.0000000000000007E-2</v>
      </c>
      <c r="S471" s="18">
        <f>(Tabela224[[#This Row],[FRETE]]+Tabela224[[#This Row],[DESPESAS]]+Tabela224[[#This Row],[IPI]]+Tabela224[[#This Row],[Vl. Produto]])*Tabela224[[#This Row],[Aliq.%]]</f>
        <v>0</v>
      </c>
    </row>
    <row r="472" spans="13:19" x14ac:dyDescent="0.25">
      <c r="M472" s="46"/>
      <c r="N472" s="46"/>
      <c r="O472" s="46"/>
      <c r="P472" s="46"/>
      <c r="R472" s="15">
        <v>7.0000000000000007E-2</v>
      </c>
      <c r="S472" s="18">
        <f>(Tabela224[[#This Row],[FRETE]]+Tabela224[[#This Row],[DESPESAS]]+Tabela224[[#This Row],[IPI]]+Tabela224[[#This Row],[Vl. Produto]])*Tabela224[[#This Row],[Aliq.%]]</f>
        <v>0</v>
      </c>
    </row>
    <row r="473" spans="13:19" x14ac:dyDescent="0.25">
      <c r="M473" s="46"/>
      <c r="N473" s="46"/>
      <c r="O473" s="46"/>
      <c r="P473" s="46"/>
      <c r="R473" s="15">
        <v>7.0000000000000007E-2</v>
      </c>
      <c r="S473" s="18">
        <f>(Tabela224[[#This Row],[FRETE]]+Tabela224[[#This Row],[DESPESAS]]+Tabela224[[#This Row],[IPI]]+Tabela224[[#This Row],[Vl. Produto]])*Tabela224[[#This Row],[Aliq.%]]</f>
        <v>0</v>
      </c>
    </row>
    <row r="474" spans="13:19" x14ac:dyDescent="0.25">
      <c r="M474" s="46"/>
      <c r="N474" s="46"/>
      <c r="O474" s="46"/>
      <c r="P474" s="46"/>
      <c r="R474" s="15">
        <v>7.0000000000000007E-2</v>
      </c>
      <c r="S474" s="18">
        <f>(Tabela224[[#This Row],[FRETE]]+Tabela224[[#This Row],[DESPESAS]]+Tabela224[[#This Row],[IPI]]+Tabela224[[#This Row],[Vl. Produto]])*Tabela224[[#This Row],[Aliq.%]]</f>
        <v>0</v>
      </c>
    </row>
    <row r="475" spans="13:19" x14ac:dyDescent="0.25">
      <c r="M475" s="46"/>
      <c r="N475" s="46"/>
      <c r="O475" s="46"/>
      <c r="P475" s="46"/>
      <c r="R475" s="15">
        <v>7.0000000000000007E-2</v>
      </c>
      <c r="S475" s="18">
        <f>(Tabela224[[#This Row],[FRETE]]+Tabela224[[#This Row],[DESPESAS]]+Tabela224[[#This Row],[IPI]]+Tabela224[[#This Row],[Vl. Produto]])*Tabela224[[#This Row],[Aliq.%]]</f>
        <v>0</v>
      </c>
    </row>
    <row r="476" spans="13:19" x14ac:dyDescent="0.25">
      <c r="M476" s="46"/>
      <c r="N476" s="46"/>
      <c r="O476" s="46"/>
      <c r="P476" s="46"/>
      <c r="R476" s="15">
        <v>7.0000000000000007E-2</v>
      </c>
      <c r="S476" s="18">
        <f>(Tabela224[[#This Row],[FRETE]]+Tabela224[[#This Row],[DESPESAS]]+Tabela224[[#This Row],[IPI]]+Tabela224[[#This Row],[Vl. Produto]])*Tabela224[[#This Row],[Aliq.%]]</f>
        <v>0</v>
      </c>
    </row>
    <row r="477" spans="13:19" x14ac:dyDescent="0.25">
      <c r="M477" s="46"/>
      <c r="N477" s="46"/>
      <c r="O477" s="46"/>
      <c r="P477" s="46"/>
      <c r="R477" s="15">
        <v>7.0000000000000007E-2</v>
      </c>
      <c r="S477" s="18">
        <f>(Tabela224[[#This Row],[FRETE]]+Tabela224[[#This Row],[DESPESAS]]+Tabela224[[#This Row],[IPI]]+Tabela224[[#This Row],[Vl. Produto]])*Tabela224[[#This Row],[Aliq.%]]</f>
        <v>0</v>
      </c>
    </row>
    <row r="478" spans="13:19" x14ac:dyDescent="0.25">
      <c r="M478" s="46"/>
      <c r="N478" s="46"/>
      <c r="O478" s="46"/>
      <c r="P478" s="46"/>
      <c r="R478" s="15">
        <v>7.0000000000000007E-2</v>
      </c>
      <c r="S478" s="18">
        <f>(Tabela224[[#This Row],[FRETE]]+Tabela224[[#This Row],[DESPESAS]]+Tabela224[[#This Row],[IPI]]+Tabela224[[#This Row],[Vl. Produto]])*Tabela224[[#This Row],[Aliq.%]]</f>
        <v>0</v>
      </c>
    </row>
    <row r="479" spans="13:19" x14ac:dyDescent="0.25">
      <c r="M479" s="46"/>
      <c r="N479" s="46"/>
      <c r="O479" s="46"/>
      <c r="P479" s="46"/>
      <c r="R479" s="15">
        <v>7.0000000000000007E-2</v>
      </c>
      <c r="S479" s="18">
        <f>(Tabela224[[#This Row],[FRETE]]+Tabela224[[#This Row],[DESPESAS]]+Tabela224[[#This Row],[IPI]]+Tabela224[[#This Row],[Vl. Produto]])*Tabela224[[#This Row],[Aliq.%]]</f>
        <v>0</v>
      </c>
    </row>
    <row r="480" spans="13:19" x14ac:dyDescent="0.25">
      <c r="M480" s="46"/>
      <c r="N480" s="46"/>
      <c r="O480" s="46"/>
      <c r="P480" s="46"/>
      <c r="R480" s="15">
        <v>7.0000000000000007E-2</v>
      </c>
      <c r="S480" s="18">
        <f>(Tabela224[[#This Row],[FRETE]]+Tabela224[[#This Row],[DESPESAS]]+Tabela224[[#This Row],[IPI]]+Tabela224[[#This Row],[Vl. Produto]])*Tabela224[[#This Row],[Aliq.%]]</f>
        <v>0</v>
      </c>
    </row>
    <row r="481" spans="13:19" x14ac:dyDescent="0.25">
      <c r="M481" s="46"/>
      <c r="N481" s="46"/>
      <c r="O481" s="46"/>
      <c r="P481" s="46"/>
      <c r="R481" s="15">
        <v>7.0000000000000007E-2</v>
      </c>
      <c r="S481" s="18">
        <f>(Tabela224[[#This Row],[FRETE]]+Tabela224[[#This Row],[DESPESAS]]+Tabela224[[#This Row],[IPI]]+Tabela224[[#This Row],[Vl. Produto]])*Tabela224[[#This Row],[Aliq.%]]</f>
        <v>0</v>
      </c>
    </row>
    <row r="482" spans="13:19" x14ac:dyDescent="0.25">
      <c r="M482" s="46"/>
      <c r="N482" s="46"/>
      <c r="O482" s="46"/>
      <c r="P482" s="46"/>
      <c r="R482" s="15">
        <v>7.0000000000000007E-2</v>
      </c>
      <c r="S482" s="18">
        <f>(Tabela224[[#This Row],[FRETE]]+Tabela224[[#This Row],[DESPESAS]]+Tabela224[[#This Row],[IPI]]+Tabela224[[#This Row],[Vl. Produto]])*Tabela224[[#This Row],[Aliq.%]]</f>
        <v>0</v>
      </c>
    </row>
    <row r="483" spans="13:19" x14ac:dyDescent="0.25">
      <c r="M483" s="46"/>
      <c r="N483" s="46"/>
      <c r="O483" s="46"/>
      <c r="P483" s="46"/>
      <c r="R483" s="15">
        <v>7.0000000000000007E-2</v>
      </c>
      <c r="S483" s="18">
        <f>(Tabela224[[#This Row],[FRETE]]+Tabela224[[#This Row],[DESPESAS]]+Tabela224[[#This Row],[IPI]]+Tabela224[[#This Row],[Vl. Produto]])*Tabela224[[#This Row],[Aliq.%]]</f>
        <v>0</v>
      </c>
    </row>
    <row r="484" spans="13:19" x14ac:dyDescent="0.25">
      <c r="M484" s="46"/>
      <c r="N484" s="46"/>
      <c r="O484" s="46"/>
      <c r="P484" s="46"/>
      <c r="R484" s="15">
        <v>7.0000000000000007E-2</v>
      </c>
      <c r="S484" s="18">
        <f>(Tabela224[[#This Row],[FRETE]]+Tabela224[[#This Row],[DESPESAS]]+Tabela224[[#This Row],[IPI]]+Tabela224[[#This Row],[Vl. Produto]])*Tabela224[[#This Row],[Aliq.%]]</f>
        <v>0</v>
      </c>
    </row>
    <row r="485" spans="13:19" x14ac:dyDescent="0.25">
      <c r="M485" s="46"/>
      <c r="N485" s="46"/>
      <c r="O485" s="46"/>
      <c r="P485" s="46"/>
      <c r="R485" s="15">
        <v>7.0000000000000007E-2</v>
      </c>
      <c r="S485" s="18">
        <f>(Tabela224[[#This Row],[FRETE]]+Tabela224[[#This Row],[DESPESAS]]+Tabela224[[#This Row],[IPI]]+Tabela224[[#This Row],[Vl. Produto]])*Tabela224[[#This Row],[Aliq.%]]</f>
        <v>0</v>
      </c>
    </row>
    <row r="486" spans="13:19" x14ac:dyDescent="0.25">
      <c r="M486" s="46"/>
      <c r="N486" s="46"/>
      <c r="O486" s="46"/>
      <c r="P486" s="46"/>
      <c r="R486" s="15">
        <v>7.0000000000000007E-2</v>
      </c>
      <c r="S486" s="18">
        <f>(Tabela224[[#This Row],[FRETE]]+Tabela224[[#This Row],[DESPESAS]]+Tabela224[[#This Row],[IPI]]+Tabela224[[#This Row],[Vl. Produto]])*Tabela224[[#This Row],[Aliq.%]]</f>
        <v>0</v>
      </c>
    </row>
    <row r="487" spans="13:19" x14ac:dyDescent="0.25">
      <c r="M487" s="46"/>
      <c r="N487" s="46"/>
      <c r="O487" s="46"/>
      <c r="P487" s="46"/>
      <c r="R487" s="15">
        <v>7.0000000000000007E-2</v>
      </c>
      <c r="S487" s="18">
        <f>(Tabela224[[#This Row],[FRETE]]+Tabela224[[#This Row],[DESPESAS]]+Tabela224[[#This Row],[IPI]]+Tabela224[[#This Row],[Vl. Produto]])*Tabela224[[#This Row],[Aliq.%]]</f>
        <v>0</v>
      </c>
    </row>
    <row r="488" spans="13:19" x14ac:dyDescent="0.25">
      <c r="M488" s="46"/>
      <c r="N488" s="46"/>
      <c r="O488" s="46"/>
      <c r="P488" s="46"/>
      <c r="R488" s="15">
        <v>7.0000000000000007E-2</v>
      </c>
      <c r="S488" s="18">
        <f>(Tabela224[[#This Row],[FRETE]]+Tabela224[[#This Row],[DESPESAS]]+Tabela224[[#This Row],[IPI]]+Tabela224[[#This Row],[Vl. Produto]])*Tabela224[[#This Row],[Aliq.%]]</f>
        <v>0</v>
      </c>
    </row>
    <row r="489" spans="13:19" x14ac:dyDescent="0.25">
      <c r="M489" s="46"/>
      <c r="N489" s="46"/>
      <c r="O489" s="46"/>
      <c r="P489" s="46"/>
      <c r="R489" s="15">
        <v>7.0000000000000007E-2</v>
      </c>
      <c r="S489" s="18">
        <f>(Tabela224[[#This Row],[FRETE]]+Tabela224[[#This Row],[DESPESAS]]+Tabela224[[#This Row],[IPI]]+Tabela224[[#This Row],[Vl. Produto]])*Tabela224[[#This Row],[Aliq.%]]</f>
        <v>0</v>
      </c>
    </row>
    <row r="490" spans="13:19" x14ac:dyDescent="0.25">
      <c r="M490" s="46"/>
      <c r="N490" s="46"/>
      <c r="O490" s="46"/>
      <c r="P490" s="46"/>
      <c r="R490" s="15">
        <v>7.0000000000000007E-2</v>
      </c>
      <c r="S490" s="18">
        <f>(Tabela224[[#This Row],[FRETE]]+Tabela224[[#This Row],[DESPESAS]]+Tabela224[[#This Row],[IPI]]+Tabela224[[#This Row],[Vl. Produto]])*Tabela224[[#This Row],[Aliq.%]]</f>
        <v>0</v>
      </c>
    </row>
    <row r="491" spans="13:19" x14ac:dyDescent="0.25">
      <c r="M491" s="46"/>
      <c r="N491" s="46"/>
      <c r="O491" s="46"/>
      <c r="P491" s="46"/>
      <c r="R491" s="15">
        <v>7.0000000000000007E-2</v>
      </c>
      <c r="S491" s="18">
        <f>(Tabela224[[#This Row],[FRETE]]+Tabela224[[#This Row],[DESPESAS]]+Tabela224[[#This Row],[IPI]]+Tabela224[[#This Row],[Vl. Produto]])*Tabela224[[#This Row],[Aliq.%]]</f>
        <v>0</v>
      </c>
    </row>
    <row r="492" spans="13:19" x14ac:dyDescent="0.25">
      <c r="M492" s="46"/>
      <c r="N492" s="46"/>
      <c r="O492" s="46"/>
      <c r="P492" s="46"/>
      <c r="R492" s="15">
        <v>7.0000000000000007E-2</v>
      </c>
      <c r="S492" s="18">
        <f>(Tabela224[[#This Row],[FRETE]]+Tabela224[[#This Row],[DESPESAS]]+Tabela224[[#This Row],[IPI]]+Tabela224[[#This Row],[Vl. Produto]])*Tabela224[[#This Row],[Aliq.%]]</f>
        <v>0</v>
      </c>
    </row>
    <row r="493" spans="13:19" x14ac:dyDescent="0.25">
      <c r="M493" s="46"/>
      <c r="N493" s="46"/>
      <c r="O493" s="46"/>
      <c r="P493" s="46"/>
      <c r="R493" s="15">
        <v>7.0000000000000007E-2</v>
      </c>
      <c r="S493" s="18">
        <f>(Tabela224[[#This Row],[FRETE]]+Tabela224[[#This Row],[DESPESAS]]+Tabela224[[#This Row],[IPI]]+Tabela224[[#This Row],[Vl. Produto]])*Tabela224[[#This Row],[Aliq.%]]</f>
        <v>0</v>
      </c>
    </row>
    <row r="494" spans="13:19" x14ac:dyDescent="0.25">
      <c r="M494" s="46"/>
      <c r="N494" s="46"/>
      <c r="O494" s="46"/>
      <c r="P494" s="46"/>
      <c r="R494" s="15">
        <v>7.0000000000000007E-2</v>
      </c>
      <c r="S494" s="18">
        <f>(Tabela224[[#This Row],[FRETE]]+Tabela224[[#This Row],[DESPESAS]]+Tabela224[[#This Row],[IPI]]+Tabela224[[#This Row],[Vl. Produto]])*Tabela224[[#This Row],[Aliq.%]]</f>
        <v>0</v>
      </c>
    </row>
    <row r="495" spans="13:19" x14ac:dyDescent="0.25">
      <c r="M495" s="46"/>
      <c r="N495" s="46"/>
      <c r="O495" s="46"/>
      <c r="P495" s="46"/>
      <c r="R495" s="15">
        <v>7.0000000000000007E-2</v>
      </c>
      <c r="S495" s="18">
        <f>(Tabela224[[#This Row],[FRETE]]+Tabela224[[#This Row],[DESPESAS]]+Tabela224[[#This Row],[IPI]]+Tabela224[[#This Row],[Vl. Produto]])*Tabela224[[#This Row],[Aliq.%]]</f>
        <v>0</v>
      </c>
    </row>
    <row r="496" spans="13:19" x14ac:dyDescent="0.25">
      <c r="M496" s="46"/>
      <c r="N496" s="46"/>
      <c r="O496" s="46"/>
      <c r="P496" s="46"/>
      <c r="R496" s="15">
        <v>7.0000000000000007E-2</v>
      </c>
      <c r="S496" s="18">
        <f>(Tabela224[[#This Row],[FRETE]]+Tabela224[[#This Row],[DESPESAS]]+Tabela224[[#This Row],[IPI]]+Tabela224[[#This Row],[Vl. Produto]])*Tabela224[[#This Row],[Aliq.%]]</f>
        <v>0</v>
      </c>
    </row>
    <row r="497" spans="13:19" x14ac:dyDescent="0.25">
      <c r="M497" s="46"/>
      <c r="N497" s="46"/>
      <c r="O497" s="46"/>
      <c r="P497" s="46"/>
      <c r="R497" s="15">
        <v>7.0000000000000007E-2</v>
      </c>
      <c r="S497" s="18">
        <f>(Tabela224[[#This Row],[FRETE]]+Tabela224[[#This Row],[DESPESAS]]+Tabela224[[#This Row],[IPI]]+Tabela224[[#This Row],[Vl. Produto]])*Tabela224[[#This Row],[Aliq.%]]</f>
        <v>0</v>
      </c>
    </row>
    <row r="498" spans="13:19" x14ac:dyDescent="0.25">
      <c r="M498" s="46"/>
      <c r="N498" s="46"/>
      <c r="O498" s="46"/>
      <c r="P498" s="46"/>
      <c r="R498" s="15">
        <v>7.0000000000000007E-2</v>
      </c>
      <c r="S498" s="18">
        <f>(Tabela224[[#This Row],[FRETE]]+Tabela224[[#This Row],[DESPESAS]]+Tabela224[[#This Row],[IPI]]+Tabela224[[#This Row],[Vl. Produto]])*Tabela224[[#This Row],[Aliq.%]]</f>
        <v>0</v>
      </c>
    </row>
    <row r="499" spans="13:19" x14ac:dyDescent="0.25">
      <c r="M499" s="46"/>
      <c r="N499" s="46"/>
      <c r="O499" s="46"/>
      <c r="P499" s="46"/>
      <c r="R499" s="15">
        <v>7.0000000000000007E-2</v>
      </c>
      <c r="S499" s="18">
        <f>(Tabela224[[#This Row],[FRETE]]+Tabela224[[#This Row],[DESPESAS]]+Tabela224[[#This Row],[IPI]]+Tabela224[[#This Row],[Vl. Produto]])*Tabela224[[#This Row],[Aliq.%]]</f>
        <v>0</v>
      </c>
    </row>
    <row r="500" spans="13:19" x14ac:dyDescent="0.25">
      <c r="M500" s="46"/>
      <c r="N500" s="46"/>
      <c r="O500" s="46"/>
      <c r="P500" s="46"/>
      <c r="R500" s="15">
        <v>7.0000000000000007E-2</v>
      </c>
      <c r="S500" s="18">
        <f>(Tabela224[[#This Row],[FRETE]]+Tabela224[[#This Row],[DESPESAS]]+Tabela224[[#This Row],[IPI]]+Tabela224[[#This Row],[Vl. Produto]])*Tabela224[[#This Row],[Aliq.%]]</f>
        <v>0</v>
      </c>
    </row>
    <row r="501" spans="13:19" x14ac:dyDescent="0.25">
      <c r="M501" s="46"/>
      <c r="N501" s="46"/>
      <c r="O501" s="46"/>
      <c r="P501" s="46"/>
      <c r="R501" s="15">
        <v>7.0000000000000007E-2</v>
      </c>
      <c r="S501" s="18">
        <f>(Tabela224[[#This Row],[FRETE]]+Tabela224[[#This Row],[DESPESAS]]+Tabela224[[#This Row],[IPI]]+Tabela224[[#This Row],[Vl. Produto]])*Tabela224[[#This Row],[Aliq.%]]</f>
        <v>0</v>
      </c>
    </row>
    <row r="502" spans="13:19" x14ac:dyDescent="0.25">
      <c r="M502" s="46"/>
      <c r="N502" s="46"/>
      <c r="O502" s="46"/>
      <c r="P502" s="46"/>
      <c r="R502" s="15">
        <v>7.0000000000000007E-2</v>
      </c>
      <c r="S502" s="18">
        <f>(Tabela224[[#This Row],[FRETE]]+Tabela224[[#This Row],[DESPESAS]]+Tabela224[[#This Row],[IPI]]+Tabela224[[#This Row],[Vl. Produto]])*Tabela224[[#This Row],[Aliq.%]]</f>
        <v>0</v>
      </c>
    </row>
    <row r="503" spans="13:19" x14ac:dyDescent="0.25">
      <c r="M503" s="46"/>
      <c r="N503" s="46"/>
      <c r="O503" s="46"/>
      <c r="P503" s="46"/>
      <c r="R503" s="15">
        <v>7.0000000000000007E-2</v>
      </c>
      <c r="S503" s="18">
        <f>(Tabela224[[#This Row],[FRETE]]+Tabela224[[#This Row],[DESPESAS]]+Tabela224[[#This Row],[IPI]]+Tabela224[[#This Row],[Vl. Produto]])*Tabela224[[#This Row],[Aliq.%]]</f>
        <v>0</v>
      </c>
    </row>
    <row r="504" spans="13:19" x14ac:dyDescent="0.25">
      <c r="M504" s="46"/>
      <c r="N504" s="46"/>
      <c r="O504" s="46"/>
      <c r="P504" s="46"/>
      <c r="R504" s="15">
        <v>7.0000000000000007E-2</v>
      </c>
      <c r="S504" s="18">
        <f>(Tabela224[[#This Row],[FRETE]]+Tabela224[[#This Row],[DESPESAS]]+Tabela224[[#This Row],[IPI]]+Tabela224[[#This Row],[Vl. Produto]])*Tabela224[[#This Row],[Aliq.%]]</f>
        <v>0</v>
      </c>
    </row>
    <row r="505" spans="13:19" x14ac:dyDescent="0.25">
      <c r="M505" s="46"/>
      <c r="N505" s="46"/>
      <c r="O505" s="46"/>
      <c r="P505" s="46"/>
      <c r="R505" s="15">
        <v>7.0000000000000007E-2</v>
      </c>
      <c r="S505" s="18">
        <f>(Tabela224[[#This Row],[FRETE]]+Tabela224[[#This Row],[DESPESAS]]+Tabela224[[#This Row],[IPI]]+Tabela224[[#This Row],[Vl. Produto]])*Tabela224[[#This Row],[Aliq.%]]</f>
        <v>0</v>
      </c>
    </row>
    <row r="506" spans="13:19" x14ac:dyDescent="0.25">
      <c r="M506" s="46"/>
      <c r="N506" s="46"/>
      <c r="O506" s="46"/>
      <c r="P506" s="46"/>
      <c r="R506" s="15">
        <v>7.0000000000000007E-2</v>
      </c>
      <c r="S506" s="18">
        <f>(Tabela224[[#This Row],[FRETE]]+Tabela224[[#This Row],[DESPESAS]]+Tabela224[[#This Row],[IPI]]+Tabela224[[#This Row],[Vl. Produto]])*Tabela224[[#This Row],[Aliq.%]]</f>
        <v>0</v>
      </c>
    </row>
    <row r="507" spans="13:19" x14ac:dyDescent="0.25">
      <c r="M507" s="46"/>
      <c r="N507" s="46"/>
      <c r="O507" s="46"/>
      <c r="P507" s="46"/>
      <c r="R507" s="15">
        <v>7.0000000000000007E-2</v>
      </c>
      <c r="S507" s="18">
        <f>(Tabela224[[#This Row],[FRETE]]+Tabela224[[#This Row],[DESPESAS]]+Tabela224[[#This Row],[IPI]]+Tabela224[[#This Row],[Vl. Produto]])*Tabela224[[#This Row],[Aliq.%]]</f>
        <v>0</v>
      </c>
    </row>
    <row r="508" spans="13:19" x14ac:dyDescent="0.25">
      <c r="M508" s="46"/>
      <c r="N508" s="46"/>
      <c r="O508" s="46"/>
      <c r="P508" s="46"/>
      <c r="R508" s="15">
        <v>7.0000000000000007E-2</v>
      </c>
      <c r="S508" s="18">
        <f>(Tabela224[[#This Row],[FRETE]]+Tabela224[[#This Row],[DESPESAS]]+Tabela224[[#This Row],[IPI]]+Tabela224[[#This Row],[Vl. Produto]])*Tabela224[[#This Row],[Aliq.%]]</f>
        <v>0</v>
      </c>
    </row>
    <row r="509" spans="13:19" x14ac:dyDescent="0.25">
      <c r="M509" s="46"/>
      <c r="N509" s="46"/>
      <c r="O509" s="46"/>
      <c r="P509" s="46"/>
      <c r="R509" s="15">
        <v>7.0000000000000007E-2</v>
      </c>
      <c r="S509" s="18">
        <f>(Tabela224[[#This Row],[FRETE]]+Tabela224[[#This Row],[DESPESAS]]+Tabela224[[#This Row],[IPI]]+Tabela224[[#This Row],[Vl. Produto]])*Tabela224[[#This Row],[Aliq.%]]</f>
        <v>0</v>
      </c>
    </row>
    <row r="510" spans="13:19" x14ac:dyDescent="0.25">
      <c r="M510" s="46"/>
      <c r="N510" s="46"/>
      <c r="O510" s="46"/>
      <c r="P510" s="46"/>
      <c r="R510" s="15">
        <v>7.0000000000000007E-2</v>
      </c>
      <c r="S510" s="18">
        <f>(Tabela224[[#This Row],[FRETE]]+Tabela224[[#This Row],[DESPESAS]]+Tabela224[[#This Row],[IPI]]+Tabela224[[#This Row],[Vl. Produto]])*Tabela224[[#This Row],[Aliq.%]]</f>
        <v>0</v>
      </c>
    </row>
    <row r="511" spans="13:19" x14ac:dyDescent="0.25">
      <c r="M511" s="46"/>
      <c r="N511" s="46"/>
      <c r="O511" s="46"/>
      <c r="P511" s="46"/>
      <c r="R511" s="15">
        <v>7.0000000000000007E-2</v>
      </c>
      <c r="S511" s="18">
        <f>(Tabela224[[#This Row],[FRETE]]+Tabela224[[#This Row],[DESPESAS]]+Tabela224[[#This Row],[IPI]]+Tabela224[[#This Row],[Vl. Produto]])*Tabela224[[#This Row],[Aliq.%]]</f>
        <v>0</v>
      </c>
    </row>
    <row r="512" spans="13:19" x14ac:dyDescent="0.25">
      <c r="M512" s="46"/>
      <c r="N512" s="46"/>
      <c r="O512" s="46"/>
      <c r="P512" s="46"/>
      <c r="R512" s="15">
        <v>7.0000000000000007E-2</v>
      </c>
      <c r="S512" s="18">
        <f>(Tabela224[[#This Row],[FRETE]]+Tabela224[[#This Row],[DESPESAS]]+Tabela224[[#This Row],[IPI]]+Tabela224[[#This Row],[Vl. Produto]])*Tabela224[[#This Row],[Aliq.%]]</f>
        <v>0</v>
      </c>
    </row>
    <row r="513" spans="13:19" x14ac:dyDescent="0.25">
      <c r="M513" s="46"/>
      <c r="N513" s="46"/>
      <c r="O513" s="46"/>
      <c r="P513" s="46"/>
      <c r="R513" s="15">
        <v>7.0000000000000007E-2</v>
      </c>
      <c r="S513" s="18">
        <f>(Tabela224[[#This Row],[FRETE]]+Tabela224[[#This Row],[DESPESAS]]+Tabela224[[#This Row],[IPI]]+Tabela224[[#This Row],[Vl. Produto]])*Tabela224[[#This Row],[Aliq.%]]</f>
        <v>0</v>
      </c>
    </row>
    <row r="514" spans="13:19" x14ac:dyDescent="0.25">
      <c r="M514" s="46"/>
      <c r="N514" s="46"/>
      <c r="O514" s="46"/>
      <c r="P514" s="46"/>
      <c r="R514" s="15">
        <v>7.0000000000000007E-2</v>
      </c>
      <c r="S514" s="18">
        <f>(Tabela224[[#This Row],[FRETE]]+Tabela224[[#This Row],[DESPESAS]]+Tabela224[[#This Row],[IPI]]+Tabela224[[#This Row],[Vl. Produto]])*Tabela224[[#This Row],[Aliq.%]]</f>
        <v>0</v>
      </c>
    </row>
    <row r="515" spans="13:19" x14ac:dyDescent="0.25">
      <c r="M515" s="46"/>
      <c r="N515" s="46"/>
      <c r="O515" s="46"/>
      <c r="P515" s="46"/>
      <c r="R515" s="15">
        <v>7.0000000000000007E-2</v>
      </c>
      <c r="S515" s="18">
        <f>(Tabela224[[#This Row],[FRETE]]+Tabela224[[#This Row],[DESPESAS]]+Tabela224[[#This Row],[IPI]]+Tabela224[[#This Row],[Vl. Produto]])*Tabela224[[#This Row],[Aliq.%]]</f>
        <v>0</v>
      </c>
    </row>
    <row r="516" spans="13:19" x14ac:dyDescent="0.25">
      <c r="M516" s="46"/>
      <c r="N516" s="46"/>
      <c r="O516" s="46"/>
      <c r="P516" s="46"/>
      <c r="R516" s="15">
        <v>7.0000000000000007E-2</v>
      </c>
      <c r="S516" s="18">
        <f>(Tabela224[[#This Row],[FRETE]]+Tabela224[[#This Row],[DESPESAS]]+Tabela224[[#This Row],[IPI]]+Tabela224[[#This Row],[Vl. Produto]])*Tabela224[[#This Row],[Aliq.%]]</f>
        <v>0</v>
      </c>
    </row>
    <row r="517" spans="13:19" x14ac:dyDescent="0.25">
      <c r="M517" s="46"/>
      <c r="N517" s="46"/>
      <c r="O517" s="46"/>
      <c r="P517" s="46"/>
      <c r="R517" s="15">
        <v>7.0000000000000007E-2</v>
      </c>
      <c r="S517" s="18">
        <f>(Tabela224[[#This Row],[FRETE]]+Tabela224[[#This Row],[DESPESAS]]+Tabela224[[#This Row],[IPI]]+Tabela224[[#This Row],[Vl. Produto]])*Tabela224[[#This Row],[Aliq.%]]</f>
        <v>0</v>
      </c>
    </row>
    <row r="518" spans="13:19" x14ac:dyDescent="0.25">
      <c r="M518" s="46"/>
      <c r="N518" s="46"/>
      <c r="O518" s="46"/>
      <c r="P518" s="46"/>
      <c r="R518" s="15">
        <v>7.0000000000000007E-2</v>
      </c>
      <c r="S518" s="18">
        <f>(Tabela224[[#This Row],[FRETE]]+Tabela224[[#This Row],[DESPESAS]]+Tabela224[[#This Row],[IPI]]+Tabela224[[#This Row],[Vl. Produto]])*Tabela224[[#This Row],[Aliq.%]]</f>
        <v>0</v>
      </c>
    </row>
    <row r="519" spans="13:19" x14ac:dyDescent="0.25">
      <c r="M519" s="46"/>
      <c r="N519" s="46"/>
      <c r="O519" s="46"/>
      <c r="P519" s="46"/>
      <c r="R519" s="15">
        <v>7.0000000000000007E-2</v>
      </c>
      <c r="S519" s="18">
        <f>(Tabela224[[#This Row],[FRETE]]+Tabela224[[#This Row],[DESPESAS]]+Tabela224[[#This Row],[IPI]]+Tabela224[[#This Row],[Vl. Produto]])*Tabela224[[#This Row],[Aliq.%]]</f>
        <v>0</v>
      </c>
    </row>
    <row r="520" spans="13:19" x14ac:dyDescent="0.25">
      <c r="M520" s="46"/>
      <c r="N520" s="46"/>
      <c r="O520" s="46"/>
      <c r="P520" s="46"/>
      <c r="R520" s="15">
        <v>7.0000000000000007E-2</v>
      </c>
      <c r="S520" s="18">
        <f>(Tabela224[[#This Row],[FRETE]]+Tabela224[[#This Row],[DESPESAS]]+Tabela224[[#This Row],[IPI]]+Tabela224[[#This Row],[Vl. Produto]])*Tabela224[[#This Row],[Aliq.%]]</f>
        <v>0</v>
      </c>
    </row>
    <row r="521" spans="13:19" x14ac:dyDescent="0.25">
      <c r="M521" s="46"/>
      <c r="N521" s="46"/>
      <c r="O521" s="46"/>
      <c r="P521" s="46"/>
      <c r="R521" s="15">
        <v>7.0000000000000007E-2</v>
      </c>
      <c r="S521" s="18">
        <f>(Tabela224[[#This Row],[FRETE]]+Tabela224[[#This Row],[DESPESAS]]+Tabela224[[#This Row],[IPI]]+Tabela224[[#This Row],[Vl. Produto]])*Tabela224[[#This Row],[Aliq.%]]</f>
        <v>0</v>
      </c>
    </row>
    <row r="522" spans="13:19" x14ac:dyDescent="0.25">
      <c r="M522" s="46"/>
      <c r="N522" s="46"/>
      <c r="O522" s="46"/>
      <c r="P522" s="46"/>
      <c r="R522" s="15">
        <v>7.0000000000000007E-2</v>
      </c>
      <c r="S522" s="18">
        <f>(Tabela224[[#This Row],[FRETE]]+Tabela224[[#This Row],[DESPESAS]]+Tabela224[[#This Row],[IPI]]+Tabela224[[#This Row],[Vl. Produto]])*Tabela224[[#This Row],[Aliq.%]]</f>
        <v>0</v>
      </c>
    </row>
    <row r="523" spans="13:19" x14ac:dyDescent="0.25">
      <c r="M523" s="46"/>
      <c r="N523" s="46"/>
      <c r="O523" s="46"/>
      <c r="P523" s="46"/>
      <c r="R523" s="15">
        <v>7.0000000000000007E-2</v>
      </c>
      <c r="S523" s="18">
        <f>(Tabela224[[#This Row],[FRETE]]+Tabela224[[#This Row],[DESPESAS]]+Tabela224[[#This Row],[IPI]]+Tabela224[[#This Row],[Vl. Produto]])*Tabela224[[#This Row],[Aliq.%]]</f>
        <v>0</v>
      </c>
    </row>
    <row r="524" spans="13:19" x14ac:dyDescent="0.25">
      <c r="M524" s="46"/>
      <c r="N524" s="46"/>
      <c r="O524" s="46"/>
      <c r="P524" s="46"/>
      <c r="R524" s="15">
        <v>7.0000000000000007E-2</v>
      </c>
      <c r="S524" s="18">
        <f>(Tabela224[[#This Row],[FRETE]]+Tabela224[[#This Row],[DESPESAS]]+Tabela224[[#This Row],[IPI]]+Tabela224[[#This Row],[Vl. Produto]])*Tabela224[[#This Row],[Aliq.%]]</f>
        <v>0</v>
      </c>
    </row>
    <row r="525" spans="13:19" x14ac:dyDescent="0.25">
      <c r="M525" s="46"/>
      <c r="N525" s="46"/>
      <c r="O525" s="46"/>
      <c r="P525" s="46"/>
      <c r="R525" s="15">
        <v>7.0000000000000007E-2</v>
      </c>
      <c r="S525" s="18">
        <f>(Tabela224[[#This Row],[FRETE]]+Tabela224[[#This Row],[DESPESAS]]+Tabela224[[#This Row],[IPI]]+Tabela224[[#This Row],[Vl. Produto]])*Tabela224[[#This Row],[Aliq.%]]</f>
        <v>0</v>
      </c>
    </row>
    <row r="526" spans="13:19" x14ac:dyDescent="0.25">
      <c r="M526" s="46"/>
      <c r="N526" s="46"/>
      <c r="O526" s="46"/>
      <c r="P526" s="46"/>
      <c r="R526" s="15">
        <v>7.0000000000000007E-2</v>
      </c>
      <c r="S526" s="18">
        <f>(Tabela224[[#This Row],[FRETE]]+Tabela224[[#This Row],[DESPESAS]]+Tabela224[[#This Row],[IPI]]+Tabela224[[#This Row],[Vl. Produto]])*Tabela224[[#This Row],[Aliq.%]]</f>
        <v>0</v>
      </c>
    </row>
    <row r="527" spans="13:19" x14ac:dyDescent="0.25">
      <c r="M527" s="46"/>
      <c r="N527" s="46"/>
      <c r="O527" s="46"/>
      <c r="P527" s="46"/>
      <c r="R527" s="15">
        <v>7.0000000000000007E-2</v>
      </c>
      <c r="S527" s="18">
        <f>(Tabela224[[#This Row],[FRETE]]+Tabela224[[#This Row],[DESPESAS]]+Tabela224[[#This Row],[IPI]]+Tabela224[[#This Row],[Vl. Produto]])*Tabela224[[#This Row],[Aliq.%]]</f>
        <v>0</v>
      </c>
    </row>
    <row r="528" spans="13:19" x14ac:dyDescent="0.25">
      <c r="M528" s="46"/>
      <c r="N528" s="46"/>
      <c r="O528" s="46"/>
      <c r="P528" s="46"/>
      <c r="R528" s="15">
        <v>7.0000000000000007E-2</v>
      </c>
      <c r="S528" s="18">
        <f>(Tabela224[[#This Row],[FRETE]]+Tabela224[[#This Row],[DESPESAS]]+Tabela224[[#This Row],[IPI]]+Tabela224[[#This Row],[Vl. Produto]])*Tabela224[[#This Row],[Aliq.%]]</f>
        <v>0</v>
      </c>
    </row>
    <row r="529" spans="13:19" x14ac:dyDescent="0.25">
      <c r="M529" s="46"/>
      <c r="N529" s="46"/>
      <c r="O529" s="46"/>
      <c r="P529" s="46"/>
      <c r="R529" s="15">
        <v>7.0000000000000007E-2</v>
      </c>
      <c r="S529" s="18">
        <f>(Tabela224[[#This Row],[FRETE]]+Tabela224[[#This Row],[DESPESAS]]+Tabela224[[#This Row],[IPI]]+Tabela224[[#This Row],[Vl. Produto]])*Tabela224[[#This Row],[Aliq.%]]</f>
        <v>0</v>
      </c>
    </row>
    <row r="530" spans="13:19" x14ac:dyDescent="0.25">
      <c r="M530" s="46"/>
      <c r="N530" s="46"/>
      <c r="O530" s="46"/>
      <c r="P530" s="46"/>
      <c r="R530" s="15">
        <v>7.0000000000000007E-2</v>
      </c>
      <c r="S530" s="18">
        <f>(Tabela224[[#This Row],[FRETE]]+Tabela224[[#This Row],[DESPESAS]]+Tabela224[[#This Row],[IPI]]+Tabela224[[#This Row],[Vl. Produto]])*Tabela224[[#This Row],[Aliq.%]]</f>
        <v>0</v>
      </c>
    </row>
    <row r="531" spans="13:19" x14ac:dyDescent="0.25">
      <c r="M531" s="46"/>
      <c r="N531" s="46"/>
      <c r="O531" s="46"/>
      <c r="P531" s="46"/>
      <c r="R531" s="15">
        <v>7.0000000000000007E-2</v>
      </c>
      <c r="S531" s="18">
        <f>(Tabela224[[#This Row],[FRETE]]+Tabela224[[#This Row],[DESPESAS]]+Tabela224[[#This Row],[IPI]]+Tabela224[[#This Row],[Vl. Produto]])*Tabela224[[#This Row],[Aliq.%]]</f>
        <v>0</v>
      </c>
    </row>
    <row r="532" spans="13:19" x14ac:dyDescent="0.25">
      <c r="M532" s="46"/>
      <c r="N532" s="46"/>
      <c r="O532" s="46"/>
      <c r="P532" s="46"/>
      <c r="R532" s="15">
        <v>7.0000000000000007E-2</v>
      </c>
      <c r="S532" s="18">
        <f>(Tabela224[[#This Row],[FRETE]]+Tabela224[[#This Row],[DESPESAS]]+Tabela224[[#This Row],[IPI]]+Tabela224[[#This Row],[Vl. Produto]])*Tabela224[[#This Row],[Aliq.%]]</f>
        <v>0</v>
      </c>
    </row>
    <row r="533" spans="13:19" x14ac:dyDescent="0.25">
      <c r="M533" s="46"/>
      <c r="N533" s="46"/>
      <c r="O533" s="46"/>
      <c r="P533" s="46"/>
      <c r="R533" s="15">
        <v>7.0000000000000007E-2</v>
      </c>
      <c r="S533" s="18">
        <f>(Tabela224[[#This Row],[FRETE]]+Tabela224[[#This Row],[DESPESAS]]+Tabela224[[#This Row],[IPI]]+Tabela224[[#This Row],[Vl. Produto]])*Tabela224[[#This Row],[Aliq.%]]</f>
        <v>0</v>
      </c>
    </row>
    <row r="534" spans="13:19" x14ac:dyDescent="0.25">
      <c r="M534" s="46"/>
      <c r="N534" s="46"/>
      <c r="O534" s="46"/>
      <c r="P534" s="46"/>
      <c r="R534" s="15">
        <v>7.0000000000000007E-2</v>
      </c>
      <c r="S534" s="18">
        <f>(Tabela224[[#This Row],[FRETE]]+Tabela224[[#This Row],[DESPESAS]]+Tabela224[[#This Row],[IPI]]+Tabela224[[#This Row],[Vl. Produto]])*Tabela224[[#This Row],[Aliq.%]]</f>
        <v>0</v>
      </c>
    </row>
    <row r="535" spans="13:19" x14ac:dyDescent="0.25">
      <c r="M535" s="46"/>
      <c r="N535" s="46"/>
      <c r="O535" s="46"/>
      <c r="P535" s="46"/>
      <c r="R535" s="15">
        <v>7.0000000000000007E-2</v>
      </c>
      <c r="S535" s="18">
        <f>(Tabela224[[#This Row],[FRETE]]+Tabela224[[#This Row],[DESPESAS]]+Tabela224[[#This Row],[IPI]]+Tabela224[[#This Row],[Vl. Produto]])*Tabela224[[#This Row],[Aliq.%]]</f>
        <v>0</v>
      </c>
    </row>
    <row r="536" spans="13:19" x14ac:dyDescent="0.25">
      <c r="M536" s="46"/>
      <c r="N536" s="46"/>
      <c r="O536" s="46"/>
      <c r="P536" s="46"/>
      <c r="R536" s="15">
        <v>7.0000000000000007E-2</v>
      </c>
      <c r="S536" s="18">
        <f>(Tabela224[[#This Row],[FRETE]]+Tabela224[[#This Row],[DESPESAS]]+Tabela224[[#This Row],[IPI]]+Tabela224[[#This Row],[Vl. Produto]])*Tabela224[[#This Row],[Aliq.%]]</f>
        <v>0</v>
      </c>
    </row>
    <row r="537" spans="13:19" x14ac:dyDescent="0.25">
      <c r="M537" s="46"/>
      <c r="N537" s="46"/>
      <c r="O537" s="46"/>
      <c r="P537" s="46"/>
      <c r="R537" s="15">
        <v>7.0000000000000007E-2</v>
      </c>
      <c r="S537" s="18">
        <f>(Tabela224[[#This Row],[FRETE]]+Tabela224[[#This Row],[DESPESAS]]+Tabela224[[#This Row],[IPI]]+Tabela224[[#This Row],[Vl. Produto]])*Tabela224[[#This Row],[Aliq.%]]</f>
        <v>0</v>
      </c>
    </row>
    <row r="538" spans="13:19" x14ac:dyDescent="0.25">
      <c r="M538" s="46"/>
      <c r="N538" s="46"/>
      <c r="O538" s="46"/>
      <c r="P538" s="46"/>
      <c r="R538" s="15">
        <v>7.0000000000000007E-2</v>
      </c>
      <c r="S538" s="18">
        <f>(Tabela224[[#This Row],[FRETE]]+Tabela224[[#This Row],[DESPESAS]]+Tabela224[[#This Row],[IPI]]+Tabela224[[#This Row],[Vl. Produto]])*Tabela224[[#This Row],[Aliq.%]]</f>
        <v>0</v>
      </c>
    </row>
    <row r="539" spans="13:19" x14ac:dyDescent="0.25">
      <c r="M539" s="46"/>
      <c r="N539" s="46"/>
      <c r="O539" s="46"/>
      <c r="P539" s="46"/>
      <c r="R539" s="15">
        <v>7.0000000000000007E-2</v>
      </c>
      <c r="S539" s="18">
        <f>(Tabela224[[#This Row],[FRETE]]+Tabela224[[#This Row],[DESPESAS]]+Tabela224[[#This Row],[IPI]]+Tabela224[[#This Row],[Vl. Produto]])*Tabela224[[#This Row],[Aliq.%]]</f>
        <v>0</v>
      </c>
    </row>
    <row r="540" spans="13:19" x14ac:dyDescent="0.25">
      <c r="M540" s="46"/>
      <c r="N540" s="46"/>
      <c r="O540" s="46"/>
      <c r="P540" s="46"/>
      <c r="R540" s="15">
        <v>7.0000000000000007E-2</v>
      </c>
      <c r="S540" s="18">
        <f>(Tabela224[[#This Row],[FRETE]]+Tabela224[[#This Row],[DESPESAS]]+Tabela224[[#This Row],[IPI]]+Tabela224[[#This Row],[Vl. Produto]])*Tabela224[[#This Row],[Aliq.%]]</f>
        <v>0</v>
      </c>
    </row>
    <row r="541" spans="13:19" x14ac:dyDescent="0.25">
      <c r="M541" s="46"/>
      <c r="N541" s="46"/>
      <c r="O541" s="46"/>
      <c r="P541" s="46"/>
      <c r="R541" s="15">
        <v>7.0000000000000007E-2</v>
      </c>
      <c r="S541" s="18">
        <f>(Tabela224[[#This Row],[FRETE]]+Tabela224[[#This Row],[DESPESAS]]+Tabela224[[#This Row],[IPI]]+Tabela224[[#This Row],[Vl. Produto]])*Tabela224[[#This Row],[Aliq.%]]</f>
        <v>0</v>
      </c>
    </row>
    <row r="542" spans="13:19" x14ac:dyDescent="0.25">
      <c r="M542" s="46"/>
      <c r="N542" s="46"/>
      <c r="O542" s="46"/>
      <c r="P542" s="46"/>
      <c r="R542" s="15">
        <v>7.0000000000000007E-2</v>
      </c>
      <c r="S542" s="18">
        <f>(Tabela224[[#This Row],[FRETE]]+Tabela224[[#This Row],[DESPESAS]]+Tabela224[[#This Row],[IPI]]+Tabela224[[#This Row],[Vl. Produto]])*Tabela224[[#This Row],[Aliq.%]]</f>
        <v>0</v>
      </c>
    </row>
    <row r="543" spans="13:19" x14ac:dyDescent="0.25">
      <c r="M543" s="46"/>
      <c r="N543" s="46"/>
      <c r="O543" s="46"/>
      <c r="P543" s="46"/>
      <c r="R543" s="15">
        <v>7.0000000000000007E-2</v>
      </c>
      <c r="S543" s="18">
        <f>(Tabela224[[#This Row],[FRETE]]+Tabela224[[#This Row],[DESPESAS]]+Tabela224[[#This Row],[IPI]]+Tabela224[[#This Row],[Vl. Produto]])*Tabela224[[#This Row],[Aliq.%]]</f>
        <v>0</v>
      </c>
    </row>
    <row r="544" spans="13:19" x14ac:dyDescent="0.25">
      <c r="M544" s="46"/>
      <c r="N544" s="46"/>
      <c r="O544" s="46"/>
      <c r="P544" s="46"/>
      <c r="R544" s="15">
        <v>7.0000000000000007E-2</v>
      </c>
      <c r="S544" s="18">
        <f>(Tabela224[[#This Row],[FRETE]]+Tabela224[[#This Row],[DESPESAS]]+Tabela224[[#This Row],[IPI]]+Tabela224[[#This Row],[Vl. Produto]])*Tabela224[[#This Row],[Aliq.%]]</f>
        <v>0</v>
      </c>
    </row>
    <row r="545" spans="13:19" x14ac:dyDescent="0.25">
      <c r="M545" s="46"/>
      <c r="N545" s="46"/>
      <c r="O545" s="46"/>
      <c r="P545" s="46"/>
      <c r="R545" s="15">
        <v>7.0000000000000007E-2</v>
      </c>
      <c r="S545" s="18">
        <f>(Tabela224[[#This Row],[FRETE]]+Tabela224[[#This Row],[DESPESAS]]+Tabela224[[#This Row],[IPI]]+Tabela224[[#This Row],[Vl. Produto]])*Tabela224[[#This Row],[Aliq.%]]</f>
        <v>0</v>
      </c>
    </row>
    <row r="546" spans="13:19" x14ac:dyDescent="0.25">
      <c r="M546" s="46"/>
      <c r="N546" s="46"/>
      <c r="O546" s="46"/>
      <c r="P546" s="46"/>
      <c r="R546" s="15">
        <v>7.0000000000000007E-2</v>
      </c>
      <c r="S546" s="18">
        <f>(Tabela224[[#This Row],[FRETE]]+Tabela224[[#This Row],[DESPESAS]]+Tabela224[[#This Row],[IPI]]+Tabela224[[#This Row],[Vl. Produto]])*Tabela224[[#This Row],[Aliq.%]]</f>
        <v>0</v>
      </c>
    </row>
    <row r="547" spans="13:19" x14ac:dyDescent="0.25">
      <c r="M547" s="46"/>
      <c r="N547" s="46"/>
      <c r="O547" s="46"/>
      <c r="P547" s="46"/>
      <c r="R547" s="15">
        <v>7.0000000000000007E-2</v>
      </c>
      <c r="S547" s="18">
        <f>(Tabela224[[#This Row],[FRETE]]+Tabela224[[#This Row],[DESPESAS]]+Tabela224[[#This Row],[IPI]]+Tabela224[[#This Row],[Vl. Produto]])*Tabela224[[#This Row],[Aliq.%]]</f>
        <v>0</v>
      </c>
    </row>
    <row r="548" spans="13:19" x14ac:dyDescent="0.25">
      <c r="M548" s="46"/>
      <c r="N548" s="46"/>
      <c r="O548" s="46"/>
      <c r="P548" s="46"/>
      <c r="R548" s="15">
        <v>7.0000000000000007E-2</v>
      </c>
      <c r="S548" s="18">
        <f>(Tabela224[[#This Row],[FRETE]]+Tabela224[[#This Row],[DESPESAS]]+Tabela224[[#This Row],[IPI]]+Tabela224[[#This Row],[Vl. Produto]])*Tabela224[[#This Row],[Aliq.%]]</f>
        <v>0</v>
      </c>
    </row>
    <row r="549" spans="13:19" x14ac:dyDescent="0.25">
      <c r="M549" s="46"/>
      <c r="N549" s="46"/>
      <c r="O549" s="46"/>
      <c r="P549" s="46"/>
      <c r="R549" s="15">
        <v>7.0000000000000007E-2</v>
      </c>
      <c r="S549" s="18">
        <f>(Tabela224[[#This Row],[FRETE]]+Tabela224[[#This Row],[DESPESAS]]+Tabela224[[#This Row],[IPI]]+Tabela224[[#This Row],[Vl. Produto]])*Tabela224[[#This Row],[Aliq.%]]</f>
        <v>0</v>
      </c>
    </row>
    <row r="550" spans="13:19" x14ac:dyDescent="0.25">
      <c r="M550" s="46"/>
      <c r="N550" s="46"/>
      <c r="O550" s="46"/>
      <c r="P550" s="46"/>
      <c r="R550" s="15">
        <v>7.0000000000000007E-2</v>
      </c>
      <c r="S550" s="18">
        <f>(Tabela224[[#This Row],[FRETE]]+Tabela224[[#This Row],[DESPESAS]]+Tabela224[[#This Row],[IPI]]+Tabela224[[#This Row],[Vl. Produto]])*Tabela224[[#This Row],[Aliq.%]]</f>
        <v>0</v>
      </c>
    </row>
    <row r="551" spans="13:19" x14ac:dyDescent="0.25">
      <c r="M551" s="46"/>
      <c r="N551" s="46"/>
      <c r="O551" s="46"/>
      <c r="P551" s="46"/>
      <c r="R551" s="15">
        <v>7.0000000000000007E-2</v>
      </c>
      <c r="S551" s="18">
        <f>(Tabela224[[#This Row],[FRETE]]+Tabela224[[#This Row],[DESPESAS]]+Tabela224[[#This Row],[IPI]]+Tabela224[[#This Row],[Vl. Produto]])*Tabela224[[#This Row],[Aliq.%]]</f>
        <v>0</v>
      </c>
    </row>
    <row r="552" spans="13:19" x14ac:dyDescent="0.25">
      <c r="M552" s="46"/>
      <c r="N552" s="46"/>
      <c r="O552" s="46"/>
      <c r="P552" s="46"/>
      <c r="R552" s="15">
        <v>7.0000000000000007E-2</v>
      </c>
      <c r="S552" s="18">
        <f>(Tabela224[[#This Row],[FRETE]]+Tabela224[[#This Row],[DESPESAS]]+Tabela224[[#This Row],[IPI]]+Tabela224[[#This Row],[Vl. Produto]])*Tabela224[[#This Row],[Aliq.%]]</f>
        <v>0</v>
      </c>
    </row>
    <row r="553" spans="13:19" x14ac:dyDescent="0.25">
      <c r="M553" s="46"/>
      <c r="N553" s="46"/>
      <c r="O553" s="46"/>
      <c r="P553" s="46"/>
      <c r="R553" s="15">
        <v>7.0000000000000007E-2</v>
      </c>
      <c r="S553" s="18">
        <f>(Tabela224[[#This Row],[FRETE]]+Tabela224[[#This Row],[DESPESAS]]+Tabela224[[#This Row],[IPI]]+Tabela224[[#This Row],[Vl. Produto]])*Tabela224[[#This Row],[Aliq.%]]</f>
        <v>0</v>
      </c>
    </row>
    <row r="554" spans="13:19" x14ac:dyDescent="0.25">
      <c r="M554" s="46"/>
      <c r="N554" s="46"/>
      <c r="O554" s="46"/>
      <c r="P554" s="46"/>
      <c r="R554" s="15">
        <v>7.0000000000000007E-2</v>
      </c>
      <c r="S554" s="18">
        <f>(Tabela224[[#This Row],[FRETE]]+Tabela224[[#This Row],[DESPESAS]]+Tabela224[[#This Row],[IPI]]+Tabela224[[#This Row],[Vl. Produto]])*Tabela224[[#This Row],[Aliq.%]]</f>
        <v>0</v>
      </c>
    </row>
    <row r="555" spans="13:19" x14ac:dyDescent="0.25">
      <c r="M555" s="46"/>
      <c r="N555" s="46"/>
      <c r="O555" s="46"/>
      <c r="P555" s="46"/>
      <c r="R555" s="15">
        <v>7.0000000000000007E-2</v>
      </c>
      <c r="S555" s="18">
        <f>(Tabela224[[#This Row],[FRETE]]+Tabela224[[#This Row],[DESPESAS]]+Tabela224[[#This Row],[IPI]]+Tabela224[[#This Row],[Vl. Produto]])*Tabela224[[#This Row],[Aliq.%]]</f>
        <v>0</v>
      </c>
    </row>
    <row r="556" spans="13:19" x14ac:dyDescent="0.25">
      <c r="M556" s="46"/>
      <c r="N556" s="46"/>
      <c r="O556" s="46"/>
      <c r="P556" s="46"/>
      <c r="R556" s="15">
        <v>7.0000000000000007E-2</v>
      </c>
      <c r="S556" s="18">
        <f>(Tabela224[[#This Row],[FRETE]]+Tabela224[[#This Row],[DESPESAS]]+Tabela224[[#This Row],[IPI]]+Tabela224[[#This Row],[Vl. Produto]])*Tabela224[[#This Row],[Aliq.%]]</f>
        <v>0</v>
      </c>
    </row>
    <row r="557" spans="13:19" x14ac:dyDescent="0.25">
      <c r="M557" s="46"/>
      <c r="N557" s="46"/>
      <c r="O557" s="46"/>
      <c r="P557" s="46"/>
      <c r="R557" s="15">
        <v>7.0000000000000007E-2</v>
      </c>
      <c r="S557" s="18">
        <f>(Tabela224[[#This Row],[FRETE]]+Tabela224[[#This Row],[DESPESAS]]+Tabela224[[#This Row],[IPI]]+Tabela224[[#This Row],[Vl. Produto]])*Tabela224[[#This Row],[Aliq.%]]</f>
        <v>0</v>
      </c>
    </row>
    <row r="558" spans="13:19" x14ac:dyDescent="0.25">
      <c r="M558" s="46"/>
      <c r="N558" s="46"/>
      <c r="O558" s="46"/>
      <c r="P558" s="46"/>
      <c r="R558" s="15">
        <v>7.0000000000000007E-2</v>
      </c>
      <c r="S558" s="18">
        <f>(Tabela224[[#This Row],[FRETE]]+Tabela224[[#This Row],[DESPESAS]]+Tabela224[[#This Row],[IPI]]+Tabela224[[#This Row],[Vl. Produto]])*Tabela224[[#This Row],[Aliq.%]]</f>
        <v>0</v>
      </c>
    </row>
    <row r="559" spans="13:19" x14ac:dyDescent="0.25">
      <c r="M559" s="46"/>
      <c r="N559" s="46"/>
      <c r="O559" s="46"/>
      <c r="P559" s="46"/>
      <c r="R559" s="15">
        <v>7.0000000000000007E-2</v>
      </c>
      <c r="S559" s="18">
        <f>(Tabela224[[#This Row],[FRETE]]+Tabela224[[#This Row],[DESPESAS]]+Tabela224[[#This Row],[IPI]]+Tabela224[[#This Row],[Vl. Produto]])*Tabela224[[#This Row],[Aliq.%]]</f>
        <v>0</v>
      </c>
    </row>
    <row r="560" spans="13:19" x14ac:dyDescent="0.25">
      <c r="M560" s="46"/>
      <c r="N560" s="46"/>
      <c r="O560" s="46"/>
      <c r="P560" s="46"/>
      <c r="R560" s="15">
        <v>7.0000000000000007E-2</v>
      </c>
      <c r="S560" s="18">
        <f>(Tabela224[[#This Row],[FRETE]]+Tabela224[[#This Row],[DESPESAS]]+Tabela224[[#This Row],[IPI]]+Tabela224[[#This Row],[Vl. Produto]])*Tabela224[[#This Row],[Aliq.%]]</f>
        <v>0</v>
      </c>
    </row>
    <row r="561" spans="13:19" x14ac:dyDescent="0.25">
      <c r="M561" s="46"/>
      <c r="N561" s="46"/>
      <c r="O561" s="46"/>
      <c r="P561" s="46"/>
      <c r="R561" s="15">
        <v>7.0000000000000007E-2</v>
      </c>
      <c r="S561" s="18">
        <f>(Tabela224[[#This Row],[FRETE]]+Tabela224[[#This Row],[DESPESAS]]+Tabela224[[#This Row],[IPI]]+Tabela224[[#This Row],[Vl. Produto]])*Tabela224[[#This Row],[Aliq.%]]</f>
        <v>0</v>
      </c>
    </row>
    <row r="562" spans="13:19" x14ac:dyDescent="0.25">
      <c r="M562" s="46"/>
      <c r="N562" s="46"/>
      <c r="O562" s="46"/>
      <c r="P562" s="46"/>
      <c r="R562" s="15">
        <v>7.0000000000000007E-2</v>
      </c>
      <c r="S562" s="18">
        <f>(Tabela224[[#This Row],[FRETE]]+Tabela224[[#This Row],[DESPESAS]]+Tabela224[[#This Row],[IPI]]+Tabela224[[#This Row],[Vl. Produto]])*Tabela224[[#This Row],[Aliq.%]]</f>
        <v>0</v>
      </c>
    </row>
    <row r="563" spans="13:19" x14ac:dyDescent="0.25">
      <c r="M563" s="46"/>
      <c r="N563" s="46"/>
      <c r="O563" s="46"/>
      <c r="P563" s="46"/>
      <c r="R563" s="15">
        <v>7.0000000000000007E-2</v>
      </c>
      <c r="S563" s="18">
        <f>(Tabela224[[#This Row],[FRETE]]+Tabela224[[#This Row],[DESPESAS]]+Tabela224[[#This Row],[IPI]]+Tabela224[[#This Row],[Vl. Produto]])*Tabela224[[#This Row],[Aliq.%]]</f>
        <v>0</v>
      </c>
    </row>
    <row r="564" spans="13:19" x14ac:dyDescent="0.25">
      <c r="M564" s="46"/>
      <c r="N564" s="46"/>
      <c r="O564" s="46"/>
      <c r="P564" s="46"/>
      <c r="R564" s="15">
        <v>7.0000000000000007E-2</v>
      </c>
      <c r="S564" s="18">
        <f>(Tabela224[[#This Row],[FRETE]]+Tabela224[[#This Row],[DESPESAS]]+Tabela224[[#This Row],[IPI]]+Tabela224[[#This Row],[Vl. Produto]])*Tabela224[[#This Row],[Aliq.%]]</f>
        <v>0</v>
      </c>
    </row>
    <row r="565" spans="13:19" x14ac:dyDescent="0.25">
      <c r="M565" s="46"/>
      <c r="N565" s="46"/>
      <c r="O565" s="46"/>
      <c r="P565" s="46"/>
      <c r="R565" s="15">
        <v>7.0000000000000007E-2</v>
      </c>
      <c r="S565" s="18">
        <f>(Tabela224[[#This Row],[FRETE]]+Tabela224[[#This Row],[DESPESAS]]+Tabela224[[#This Row],[IPI]]+Tabela224[[#This Row],[Vl. Produto]])*Tabela224[[#This Row],[Aliq.%]]</f>
        <v>0</v>
      </c>
    </row>
    <row r="566" spans="13:19" x14ac:dyDescent="0.25">
      <c r="M566" s="46"/>
      <c r="N566" s="46"/>
      <c r="O566" s="46"/>
      <c r="P566" s="46"/>
      <c r="R566" s="15">
        <v>7.0000000000000007E-2</v>
      </c>
      <c r="S566" s="18">
        <f>(Tabela224[[#This Row],[FRETE]]+Tabela224[[#This Row],[DESPESAS]]+Tabela224[[#This Row],[IPI]]+Tabela224[[#This Row],[Vl. Produto]])*Tabela224[[#This Row],[Aliq.%]]</f>
        <v>0</v>
      </c>
    </row>
    <row r="567" spans="13:19" x14ac:dyDescent="0.25">
      <c r="M567" s="46"/>
      <c r="N567" s="46"/>
      <c r="O567" s="46"/>
      <c r="P567" s="46"/>
      <c r="R567" s="15">
        <v>7.0000000000000007E-2</v>
      </c>
      <c r="S567" s="18">
        <f>(Tabela224[[#This Row],[FRETE]]+Tabela224[[#This Row],[DESPESAS]]+Tabela224[[#This Row],[IPI]]+Tabela224[[#This Row],[Vl. Produto]])*Tabela224[[#This Row],[Aliq.%]]</f>
        <v>0</v>
      </c>
    </row>
    <row r="568" spans="13:19" x14ac:dyDescent="0.25">
      <c r="M568" s="46"/>
      <c r="N568" s="46"/>
      <c r="O568" s="46"/>
      <c r="P568" s="46"/>
      <c r="R568" s="15">
        <v>7.0000000000000007E-2</v>
      </c>
      <c r="S568" s="18">
        <f>(Tabela224[[#This Row],[FRETE]]+Tabela224[[#This Row],[DESPESAS]]+Tabela224[[#This Row],[IPI]]+Tabela224[[#This Row],[Vl. Produto]])*Tabela224[[#This Row],[Aliq.%]]</f>
        <v>0</v>
      </c>
    </row>
    <row r="569" spans="13:19" x14ac:dyDescent="0.25">
      <c r="M569" s="46"/>
      <c r="N569" s="46"/>
      <c r="O569" s="46"/>
      <c r="P569" s="46"/>
      <c r="R569" s="15">
        <v>7.0000000000000007E-2</v>
      </c>
      <c r="S569" s="18">
        <f>(Tabela224[[#This Row],[FRETE]]+Tabela224[[#This Row],[DESPESAS]]+Tabela224[[#This Row],[IPI]]+Tabela224[[#This Row],[Vl. Produto]])*Tabela224[[#This Row],[Aliq.%]]</f>
        <v>0</v>
      </c>
    </row>
    <row r="570" spans="13:19" x14ac:dyDescent="0.25">
      <c r="M570" s="46"/>
      <c r="N570" s="46"/>
      <c r="O570" s="46"/>
      <c r="P570" s="46"/>
      <c r="R570" s="15">
        <v>7.0000000000000007E-2</v>
      </c>
      <c r="S570" s="18">
        <f>(Tabela224[[#This Row],[FRETE]]+Tabela224[[#This Row],[DESPESAS]]+Tabela224[[#This Row],[IPI]]+Tabela224[[#This Row],[Vl. Produto]])*Tabela224[[#This Row],[Aliq.%]]</f>
        <v>0</v>
      </c>
    </row>
    <row r="571" spans="13:19" x14ac:dyDescent="0.25">
      <c r="M571" s="46"/>
      <c r="N571" s="46"/>
      <c r="O571" s="46"/>
      <c r="P571" s="46"/>
      <c r="R571" s="15">
        <v>7.0000000000000007E-2</v>
      </c>
      <c r="S571" s="18">
        <f>(Tabela224[[#This Row],[FRETE]]+Tabela224[[#This Row],[DESPESAS]]+Tabela224[[#This Row],[IPI]]+Tabela224[[#This Row],[Vl. Produto]])*Tabela224[[#This Row],[Aliq.%]]</f>
        <v>0</v>
      </c>
    </row>
    <row r="572" spans="13:19" x14ac:dyDescent="0.25">
      <c r="M572" s="46"/>
      <c r="N572" s="46"/>
      <c r="O572" s="46"/>
      <c r="P572" s="46"/>
      <c r="R572" s="15">
        <v>7.0000000000000007E-2</v>
      </c>
      <c r="S572" s="18">
        <f>(Tabela224[[#This Row],[FRETE]]+Tabela224[[#This Row],[DESPESAS]]+Tabela224[[#This Row],[IPI]]+Tabela224[[#This Row],[Vl. Produto]])*Tabela224[[#This Row],[Aliq.%]]</f>
        <v>0</v>
      </c>
    </row>
    <row r="573" spans="13:19" x14ac:dyDescent="0.25">
      <c r="M573" s="46"/>
      <c r="N573" s="46"/>
      <c r="O573" s="46"/>
      <c r="P573" s="46"/>
      <c r="R573" s="15">
        <v>7.0000000000000007E-2</v>
      </c>
      <c r="S573" s="18">
        <f>(Tabela224[[#This Row],[FRETE]]+Tabela224[[#This Row],[DESPESAS]]+Tabela224[[#This Row],[IPI]]+Tabela224[[#This Row],[Vl. Produto]])*Tabela224[[#This Row],[Aliq.%]]</f>
        <v>0</v>
      </c>
    </row>
    <row r="574" spans="13:19" x14ac:dyDescent="0.25">
      <c r="M574" s="46"/>
      <c r="N574" s="46"/>
      <c r="O574" s="46"/>
      <c r="P574" s="46"/>
      <c r="R574" s="15">
        <v>7.0000000000000007E-2</v>
      </c>
      <c r="S574" s="18">
        <f>(Tabela224[[#This Row],[FRETE]]+Tabela224[[#This Row],[DESPESAS]]+Tabela224[[#This Row],[IPI]]+Tabela224[[#This Row],[Vl. Produto]])*Tabela224[[#This Row],[Aliq.%]]</f>
        <v>0</v>
      </c>
    </row>
    <row r="575" spans="13:19" x14ac:dyDescent="0.25">
      <c r="M575" s="46"/>
      <c r="N575" s="46"/>
      <c r="O575" s="46"/>
      <c r="P575" s="46"/>
      <c r="R575" s="15">
        <v>7.0000000000000007E-2</v>
      </c>
      <c r="S575" s="18">
        <f>(Tabela224[[#This Row],[FRETE]]+Tabela224[[#This Row],[DESPESAS]]+Tabela224[[#This Row],[IPI]]+Tabela224[[#This Row],[Vl. Produto]])*Tabela224[[#This Row],[Aliq.%]]</f>
        <v>0</v>
      </c>
    </row>
    <row r="576" spans="13:19" x14ac:dyDescent="0.25">
      <c r="M576" s="46"/>
      <c r="N576" s="46"/>
      <c r="O576" s="46"/>
      <c r="P576" s="46"/>
      <c r="R576" s="15">
        <v>7.0000000000000007E-2</v>
      </c>
      <c r="S576" s="18">
        <f>(Tabela224[[#This Row],[FRETE]]+Tabela224[[#This Row],[DESPESAS]]+Tabela224[[#This Row],[IPI]]+Tabela224[[#This Row],[Vl. Produto]])*Tabela224[[#This Row],[Aliq.%]]</f>
        <v>0</v>
      </c>
    </row>
    <row r="577" spans="13:19" x14ac:dyDescent="0.25">
      <c r="M577" s="46"/>
      <c r="N577" s="46"/>
      <c r="O577" s="46"/>
      <c r="P577" s="46"/>
      <c r="R577" s="15">
        <v>7.0000000000000007E-2</v>
      </c>
      <c r="S577" s="18">
        <f>(Tabela224[[#This Row],[FRETE]]+Tabela224[[#This Row],[DESPESAS]]+Tabela224[[#This Row],[IPI]]+Tabela224[[#This Row],[Vl. Produto]])*Tabela224[[#This Row],[Aliq.%]]</f>
        <v>0</v>
      </c>
    </row>
    <row r="578" spans="13:19" x14ac:dyDescent="0.25">
      <c r="M578" s="46"/>
      <c r="N578" s="46"/>
      <c r="O578" s="46"/>
      <c r="P578" s="46"/>
      <c r="R578" s="15">
        <v>7.0000000000000007E-2</v>
      </c>
      <c r="S578" s="18">
        <f>(Tabela224[[#This Row],[FRETE]]+Tabela224[[#This Row],[DESPESAS]]+Tabela224[[#This Row],[IPI]]+Tabela224[[#This Row],[Vl. Produto]])*Tabela224[[#This Row],[Aliq.%]]</f>
        <v>0</v>
      </c>
    </row>
    <row r="579" spans="13:19" x14ac:dyDescent="0.25">
      <c r="M579" s="46"/>
      <c r="N579" s="46"/>
      <c r="O579" s="46"/>
      <c r="P579" s="46"/>
      <c r="R579" s="15">
        <v>7.0000000000000007E-2</v>
      </c>
      <c r="S579" s="18">
        <f>(Tabela224[[#This Row],[FRETE]]+Tabela224[[#This Row],[DESPESAS]]+Tabela224[[#This Row],[IPI]]+Tabela224[[#This Row],[Vl. Produto]])*Tabela224[[#This Row],[Aliq.%]]</f>
        <v>0</v>
      </c>
    </row>
    <row r="580" spans="13:19" x14ac:dyDescent="0.25">
      <c r="M580" s="46"/>
      <c r="N580" s="46"/>
      <c r="O580" s="46"/>
      <c r="P580" s="46"/>
      <c r="R580" s="15">
        <v>7.0000000000000007E-2</v>
      </c>
      <c r="S580" s="18">
        <f>(Tabela224[[#This Row],[FRETE]]+Tabela224[[#This Row],[DESPESAS]]+Tabela224[[#This Row],[IPI]]+Tabela224[[#This Row],[Vl. Produto]])*Tabela224[[#This Row],[Aliq.%]]</f>
        <v>0</v>
      </c>
    </row>
    <row r="581" spans="13:19" x14ac:dyDescent="0.25">
      <c r="M581" s="46"/>
      <c r="N581" s="46"/>
      <c r="O581" s="46"/>
      <c r="P581" s="46"/>
      <c r="R581" s="15">
        <v>7.0000000000000007E-2</v>
      </c>
      <c r="S581" s="18">
        <f>(Tabela224[[#This Row],[FRETE]]+Tabela224[[#This Row],[DESPESAS]]+Tabela224[[#This Row],[IPI]]+Tabela224[[#This Row],[Vl. Produto]])*Tabela224[[#This Row],[Aliq.%]]</f>
        <v>0</v>
      </c>
    </row>
    <row r="582" spans="13:19" x14ac:dyDescent="0.25">
      <c r="M582" s="46"/>
      <c r="N582" s="46"/>
      <c r="O582" s="46"/>
      <c r="P582" s="46"/>
      <c r="R582" s="15">
        <v>7.0000000000000007E-2</v>
      </c>
      <c r="S582" s="18">
        <f>(Tabela224[[#This Row],[FRETE]]+Tabela224[[#This Row],[DESPESAS]]+Tabela224[[#This Row],[IPI]]+Tabela224[[#This Row],[Vl. Produto]])*Tabela224[[#This Row],[Aliq.%]]</f>
        <v>0</v>
      </c>
    </row>
    <row r="583" spans="13:19" x14ac:dyDescent="0.25">
      <c r="M583" s="46"/>
      <c r="N583" s="46"/>
      <c r="O583" s="46"/>
      <c r="P583" s="46"/>
      <c r="R583" s="15">
        <v>7.0000000000000007E-2</v>
      </c>
      <c r="S583" s="18">
        <f>(Tabela224[[#This Row],[FRETE]]+Tabela224[[#This Row],[DESPESAS]]+Tabela224[[#This Row],[IPI]]+Tabela224[[#This Row],[Vl. Produto]])*Tabela224[[#This Row],[Aliq.%]]</f>
        <v>0</v>
      </c>
    </row>
    <row r="584" spans="13:19" x14ac:dyDescent="0.25">
      <c r="M584" s="46"/>
      <c r="N584" s="46"/>
      <c r="O584" s="46"/>
      <c r="P584" s="46"/>
      <c r="R584" s="15">
        <v>7.0000000000000007E-2</v>
      </c>
      <c r="S584" s="18">
        <f>(Tabela224[[#This Row],[FRETE]]+Tabela224[[#This Row],[DESPESAS]]+Tabela224[[#This Row],[IPI]]+Tabela224[[#This Row],[Vl. Produto]])*Tabela224[[#This Row],[Aliq.%]]</f>
        <v>0</v>
      </c>
    </row>
    <row r="585" spans="13:19" x14ac:dyDescent="0.25">
      <c r="M585" s="46"/>
      <c r="N585" s="46"/>
      <c r="O585" s="46"/>
      <c r="P585" s="46"/>
      <c r="R585" s="15">
        <v>7.0000000000000007E-2</v>
      </c>
      <c r="S585" s="18">
        <f>(Tabela224[[#This Row],[FRETE]]+Tabela224[[#This Row],[DESPESAS]]+Tabela224[[#This Row],[IPI]]+Tabela224[[#This Row],[Vl. Produto]])*Tabela224[[#This Row],[Aliq.%]]</f>
        <v>0</v>
      </c>
    </row>
    <row r="586" spans="13:19" x14ac:dyDescent="0.25">
      <c r="M586" s="46"/>
      <c r="N586" s="46"/>
      <c r="O586" s="46"/>
      <c r="P586" s="46"/>
      <c r="R586" s="15">
        <v>7.0000000000000007E-2</v>
      </c>
      <c r="S586" s="18">
        <f>(Tabela224[[#This Row],[FRETE]]+Tabela224[[#This Row],[DESPESAS]]+Tabela224[[#This Row],[IPI]]+Tabela224[[#This Row],[Vl. Produto]])*Tabela224[[#This Row],[Aliq.%]]</f>
        <v>0</v>
      </c>
    </row>
    <row r="587" spans="13:19" x14ac:dyDescent="0.25">
      <c r="M587" s="46"/>
      <c r="N587" s="46"/>
      <c r="O587" s="46"/>
      <c r="P587" s="46"/>
      <c r="R587" s="15">
        <v>7.0000000000000007E-2</v>
      </c>
      <c r="S587" s="18">
        <f>(Tabela224[[#This Row],[FRETE]]+Tabela224[[#This Row],[DESPESAS]]+Tabela224[[#This Row],[IPI]]+Tabela224[[#This Row],[Vl. Produto]])*Tabela224[[#This Row],[Aliq.%]]</f>
        <v>0</v>
      </c>
    </row>
    <row r="588" spans="13:19" x14ac:dyDescent="0.25">
      <c r="M588" s="46"/>
      <c r="N588" s="46"/>
      <c r="O588" s="46"/>
      <c r="P588" s="46"/>
      <c r="R588" s="15">
        <v>7.0000000000000007E-2</v>
      </c>
      <c r="S588" s="18">
        <f>(Tabela224[[#This Row],[FRETE]]+Tabela224[[#This Row],[DESPESAS]]+Tabela224[[#This Row],[IPI]]+Tabela224[[#This Row],[Vl. Produto]])*Tabela224[[#This Row],[Aliq.%]]</f>
        <v>0</v>
      </c>
    </row>
    <row r="589" spans="13:19" x14ac:dyDescent="0.25">
      <c r="M589" s="46"/>
      <c r="N589" s="46"/>
      <c r="O589" s="46"/>
      <c r="P589" s="46"/>
      <c r="R589" s="15">
        <v>7.0000000000000007E-2</v>
      </c>
      <c r="S589" s="18">
        <f>(Tabela224[[#This Row],[FRETE]]+Tabela224[[#This Row],[DESPESAS]]+Tabela224[[#This Row],[IPI]]+Tabela224[[#This Row],[Vl. Produto]])*Tabela224[[#This Row],[Aliq.%]]</f>
        <v>0</v>
      </c>
    </row>
    <row r="590" spans="13:19" x14ac:dyDescent="0.25">
      <c r="M590" s="46"/>
      <c r="N590" s="46"/>
      <c r="O590" s="46"/>
      <c r="P590" s="46"/>
      <c r="R590" s="15">
        <v>7.0000000000000007E-2</v>
      </c>
      <c r="S590" s="18">
        <f>(Tabela224[[#This Row],[FRETE]]+Tabela224[[#This Row],[DESPESAS]]+Tabela224[[#This Row],[IPI]]+Tabela224[[#This Row],[Vl. Produto]])*Tabela224[[#This Row],[Aliq.%]]</f>
        <v>0</v>
      </c>
    </row>
    <row r="591" spans="13:19" x14ac:dyDescent="0.25">
      <c r="M591" s="46"/>
      <c r="N591" s="46"/>
      <c r="O591" s="46"/>
      <c r="P591" s="46"/>
      <c r="R591" s="15">
        <v>7.0000000000000007E-2</v>
      </c>
      <c r="S591" s="18">
        <f>(Tabela224[[#This Row],[FRETE]]+Tabela224[[#This Row],[DESPESAS]]+Tabela224[[#This Row],[IPI]]+Tabela224[[#This Row],[Vl. Produto]])*Tabela224[[#This Row],[Aliq.%]]</f>
        <v>0</v>
      </c>
    </row>
    <row r="592" spans="13:19" x14ac:dyDescent="0.25">
      <c r="M592" s="46"/>
      <c r="N592" s="46"/>
      <c r="O592" s="46"/>
      <c r="P592" s="46"/>
      <c r="R592" s="15">
        <v>7.0000000000000007E-2</v>
      </c>
      <c r="S592" s="18">
        <f>(Tabela224[[#This Row],[FRETE]]+Tabela224[[#This Row],[DESPESAS]]+Tabela224[[#This Row],[IPI]]+Tabela224[[#This Row],[Vl. Produto]])*Tabela224[[#This Row],[Aliq.%]]</f>
        <v>0</v>
      </c>
    </row>
    <row r="593" spans="13:19" x14ac:dyDescent="0.25">
      <c r="M593" s="46"/>
      <c r="N593" s="46"/>
      <c r="O593" s="46"/>
      <c r="P593" s="46"/>
      <c r="R593" s="15">
        <v>7.0000000000000007E-2</v>
      </c>
      <c r="S593" s="18">
        <f>(Tabela224[[#This Row],[FRETE]]+Tabela224[[#This Row],[DESPESAS]]+Tabela224[[#This Row],[IPI]]+Tabela224[[#This Row],[Vl. Produto]])*Tabela224[[#This Row],[Aliq.%]]</f>
        <v>0</v>
      </c>
    </row>
    <row r="594" spans="13:19" x14ac:dyDescent="0.25">
      <c r="M594" s="46"/>
      <c r="N594" s="46"/>
      <c r="O594" s="46"/>
      <c r="P594" s="46"/>
      <c r="R594" s="15">
        <v>7.0000000000000007E-2</v>
      </c>
      <c r="S594" s="18">
        <f>(Tabela224[[#This Row],[FRETE]]+Tabela224[[#This Row],[DESPESAS]]+Tabela224[[#This Row],[IPI]]+Tabela224[[#This Row],[Vl. Produto]])*Tabela224[[#This Row],[Aliq.%]]</f>
        <v>0</v>
      </c>
    </row>
    <row r="595" spans="13:19" x14ac:dyDescent="0.25">
      <c r="M595" s="46"/>
      <c r="N595" s="46"/>
      <c r="O595" s="46"/>
      <c r="P595" s="46"/>
      <c r="R595" s="15">
        <v>7.0000000000000007E-2</v>
      </c>
      <c r="S595" s="18">
        <f>(Tabela224[[#This Row],[FRETE]]+Tabela224[[#This Row],[DESPESAS]]+Tabela224[[#This Row],[IPI]]+Tabela224[[#This Row],[Vl. Produto]])*Tabela224[[#This Row],[Aliq.%]]</f>
        <v>0</v>
      </c>
    </row>
    <row r="596" spans="13:19" x14ac:dyDescent="0.25">
      <c r="M596" s="46"/>
      <c r="N596" s="46"/>
      <c r="O596" s="46"/>
      <c r="P596" s="46"/>
      <c r="R596" s="15">
        <v>7.0000000000000007E-2</v>
      </c>
      <c r="S596" s="18">
        <f>(Tabela224[[#This Row],[FRETE]]+Tabela224[[#This Row],[DESPESAS]]+Tabela224[[#This Row],[IPI]]+Tabela224[[#This Row],[Vl. Produto]])*Tabela224[[#This Row],[Aliq.%]]</f>
        <v>0</v>
      </c>
    </row>
    <row r="597" spans="13:19" x14ac:dyDescent="0.25">
      <c r="M597" s="46"/>
      <c r="N597" s="46"/>
      <c r="O597" s="46"/>
      <c r="P597" s="46"/>
      <c r="R597" s="15">
        <v>7.0000000000000007E-2</v>
      </c>
      <c r="S597" s="18">
        <f>(Tabela224[[#This Row],[FRETE]]+Tabela224[[#This Row],[DESPESAS]]+Tabela224[[#This Row],[IPI]]+Tabela224[[#This Row],[Vl. Produto]])*Tabela224[[#This Row],[Aliq.%]]</f>
        <v>0</v>
      </c>
    </row>
    <row r="598" spans="13:19" x14ac:dyDescent="0.25">
      <c r="M598" s="46"/>
      <c r="N598" s="46"/>
      <c r="O598" s="46"/>
      <c r="P598" s="46"/>
      <c r="R598" s="15">
        <v>7.0000000000000007E-2</v>
      </c>
      <c r="S598" s="18">
        <f>(Tabela224[[#This Row],[FRETE]]+Tabela224[[#This Row],[DESPESAS]]+Tabela224[[#This Row],[IPI]]+Tabela224[[#This Row],[Vl. Produto]])*Tabela224[[#This Row],[Aliq.%]]</f>
        <v>0</v>
      </c>
    </row>
    <row r="599" spans="13:19" x14ac:dyDescent="0.25">
      <c r="M599" s="46"/>
      <c r="N599" s="46"/>
      <c r="O599" s="46"/>
      <c r="P599" s="46"/>
      <c r="R599" s="15">
        <v>7.0000000000000007E-2</v>
      </c>
      <c r="S599" s="18">
        <f>(Tabela224[[#This Row],[FRETE]]+Tabela224[[#This Row],[DESPESAS]]+Tabela224[[#This Row],[IPI]]+Tabela224[[#This Row],[Vl. Produto]])*Tabela224[[#This Row],[Aliq.%]]</f>
        <v>0</v>
      </c>
    </row>
    <row r="600" spans="13:19" x14ac:dyDescent="0.25">
      <c r="M600" s="46"/>
      <c r="N600" s="46"/>
      <c r="O600" s="46"/>
      <c r="P600" s="46"/>
      <c r="R600" s="15">
        <v>7.0000000000000007E-2</v>
      </c>
      <c r="S600" s="18">
        <f>(Tabela224[[#This Row],[FRETE]]+Tabela224[[#This Row],[DESPESAS]]+Tabela224[[#This Row],[IPI]]+Tabela224[[#This Row],[Vl. Produto]])*Tabela224[[#This Row],[Aliq.%]]</f>
        <v>0</v>
      </c>
    </row>
    <row r="601" spans="13:19" x14ac:dyDescent="0.25">
      <c r="M601" s="46"/>
      <c r="N601" s="46"/>
      <c r="O601" s="46"/>
      <c r="P601" s="46"/>
      <c r="R601" s="15">
        <v>7.0000000000000007E-2</v>
      </c>
      <c r="S601" s="18">
        <f>(Tabela224[[#This Row],[FRETE]]+Tabela224[[#This Row],[DESPESAS]]+Tabela224[[#This Row],[IPI]]+Tabela224[[#This Row],[Vl. Produto]])*Tabela224[[#This Row],[Aliq.%]]</f>
        <v>0</v>
      </c>
    </row>
    <row r="602" spans="13:19" x14ac:dyDescent="0.25">
      <c r="M602" s="46"/>
      <c r="N602" s="46"/>
      <c r="O602" s="46"/>
      <c r="P602" s="46"/>
      <c r="R602" s="15">
        <v>7.0000000000000007E-2</v>
      </c>
      <c r="S602" s="18">
        <f>(Tabela224[[#This Row],[FRETE]]+Tabela224[[#This Row],[DESPESAS]]+Tabela224[[#This Row],[IPI]]+Tabela224[[#This Row],[Vl. Produto]])*Tabela224[[#This Row],[Aliq.%]]</f>
        <v>0</v>
      </c>
    </row>
    <row r="603" spans="13:19" x14ac:dyDescent="0.25">
      <c r="M603" s="46"/>
      <c r="N603" s="46"/>
      <c r="O603" s="46"/>
      <c r="P603" s="46"/>
      <c r="R603" s="15">
        <v>7.0000000000000007E-2</v>
      </c>
      <c r="S603" s="18">
        <f>(Tabela224[[#This Row],[FRETE]]+Tabela224[[#This Row],[DESPESAS]]+Tabela224[[#This Row],[IPI]]+Tabela224[[#This Row],[Vl. Produto]])*Tabela224[[#This Row],[Aliq.%]]</f>
        <v>0</v>
      </c>
    </row>
    <row r="604" spans="13:19" x14ac:dyDescent="0.25">
      <c r="M604" s="46"/>
      <c r="N604" s="46"/>
      <c r="O604" s="46"/>
      <c r="P604" s="46"/>
      <c r="R604" s="15">
        <v>7.0000000000000007E-2</v>
      </c>
      <c r="S604" s="18">
        <f>(Tabela224[[#This Row],[FRETE]]+Tabela224[[#This Row],[DESPESAS]]+Tabela224[[#This Row],[IPI]]+Tabela224[[#This Row],[Vl. Produto]])*Tabela224[[#This Row],[Aliq.%]]</f>
        <v>0</v>
      </c>
    </row>
    <row r="605" spans="13:19" x14ac:dyDescent="0.25">
      <c r="M605" s="46"/>
      <c r="N605" s="46"/>
      <c r="O605" s="46"/>
      <c r="P605" s="46"/>
      <c r="R605" s="15">
        <v>7.0000000000000007E-2</v>
      </c>
      <c r="S605" s="18">
        <f>(Tabela224[[#This Row],[FRETE]]+Tabela224[[#This Row],[DESPESAS]]+Tabela224[[#This Row],[IPI]]+Tabela224[[#This Row],[Vl. Produto]])*Tabela224[[#This Row],[Aliq.%]]</f>
        <v>0</v>
      </c>
    </row>
    <row r="606" spans="13:19" x14ac:dyDescent="0.25">
      <c r="M606" s="46"/>
      <c r="N606" s="46"/>
      <c r="O606" s="46"/>
      <c r="P606" s="46"/>
      <c r="R606" s="15">
        <v>7.0000000000000007E-2</v>
      </c>
      <c r="S606" s="18">
        <f>(Tabela224[[#This Row],[FRETE]]+Tabela224[[#This Row],[DESPESAS]]+Tabela224[[#This Row],[IPI]]+Tabela224[[#This Row],[Vl. Produto]])*Tabela224[[#This Row],[Aliq.%]]</f>
        <v>0</v>
      </c>
    </row>
    <row r="607" spans="13:19" x14ac:dyDescent="0.25">
      <c r="M607" s="46"/>
      <c r="N607" s="46"/>
      <c r="O607" s="46"/>
      <c r="P607" s="46"/>
      <c r="R607" s="15">
        <v>7.0000000000000007E-2</v>
      </c>
      <c r="S607" s="18">
        <f>(Tabela224[[#This Row],[FRETE]]+Tabela224[[#This Row],[DESPESAS]]+Tabela224[[#This Row],[IPI]]+Tabela224[[#This Row],[Vl. Produto]])*Tabela224[[#This Row],[Aliq.%]]</f>
        <v>0</v>
      </c>
    </row>
    <row r="608" spans="13:19" x14ac:dyDescent="0.25">
      <c r="M608" s="46"/>
      <c r="N608" s="46"/>
      <c r="O608" s="46"/>
      <c r="P608" s="46"/>
      <c r="R608" s="15">
        <v>7.0000000000000007E-2</v>
      </c>
      <c r="S608" s="18">
        <f>(Tabela224[[#This Row],[FRETE]]+Tabela224[[#This Row],[DESPESAS]]+Tabela224[[#This Row],[IPI]]+Tabela224[[#This Row],[Vl. Produto]])*Tabela224[[#This Row],[Aliq.%]]</f>
        <v>0</v>
      </c>
    </row>
    <row r="609" spans="13:19" x14ac:dyDescent="0.25">
      <c r="M609" s="46"/>
      <c r="N609" s="46"/>
      <c r="O609" s="46"/>
      <c r="P609" s="46"/>
      <c r="R609" s="15">
        <v>7.0000000000000007E-2</v>
      </c>
      <c r="S609" s="18">
        <f>(Tabela224[[#This Row],[FRETE]]+Tabela224[[#This Row],[DESPESAS]]+Tabela224[[#This Row],[IPI]]+Tabela224[[#This Row],[Vl. Produto]])*Tabela224[[#This Row],[Aliq.%]]</f>
        <v>0</v>
      </c>
    </row>
    <row r="610" spans="13:19" x14ac:dyDescent="0.25">
      <c r="M610" s="46"/>
      <c r="N610" s="46"/>
      <c r="O610" s="46"/>
      <c r="P610" s="46"/>
      <c r="R610" s="15">
        <v>7.0000000000000007E-2</v>
      </c>
      <c r="S610" s="18">
        <f>(Tabela224[[#This Row],[FRETE]]+Tabela224[[#This Row],[DESPESAS]]+Tabela224[[#This Row],[IPI]]+Tabela224[[#This Row],[Vl. Produto]])*Tabela224[[#This Row],[Aliq.%]]</f>
        <v>0</v>
      </c>
    </row>
    <row r="611" spans="13:19" x14ac:dyDescent="0.25">
      <c r="M611" s="46"/>
      <c r="N611" s="46"/>
      <c r="O611" s="46"/>
      <c r="P611" s="46"/>
      <c r="R611" s="15">
        <v>7.0000000000000007E-2</v>
      </c>
      <c r="S611" s="18">
        <f>(Tabela224[[#This Row],[FRETE]]+Tabela224[[#This Row],[DESPESAS]]+Tabela224[[#This Row],[IPI]]+Tabela224[[#This Row],[Vl. Produto]])*Tabela224[[#This Row],[Aliq.%]]</f>
        <v>0</v>
      </c>
    </row>
    <row r="612" spans="13:19" x14ac:dyDescent="0.25">
      <c r="M612" s="46"/>
      <c r="N612" s="46"/>
      <c r="O612" s="46"/>
      <c r="P612" s="46"/>
      <c r="R612" s="15">
        <v>7.0000000000000007E-2</v>
      </c>
      <c r="S612" s="18">
        <f>(Tabela224[[#This Row],[FRETE]]+Tabela224[[#This Row],[DESPESAS]]+Tabela224[[#This Row],[IPI]]+Tabela224[[#This Row],[Vl. Produto]])*Tabela224[[#This Row],[Aliq.%]]</f>
        <v>0</v>
      </c>
    </row>
    <row r="613" spans="13:19" x14ac:dyDescent="0.25">
      <c r="M613" s="46"/>
      <c r="N613" s="46"/>
      <c r="O613" s="46"/>
      <c r="P613" s="46"/>
      <c r="R613" s="15">
        <v>7.0000000000000007E-2</v>
      </c>
      <c r="S613" s="18">
        <f>(Tabela224[[#This Row],[FRETE]]+Tabela224[[#This Row],[DESPESAS]]+Tabela224[[#This Row],[IPI]]+Tabela224[[#This Row],[Vl. Produto]])*Tabela224[[#This Row],[Aliq.%]]</f>
        <v>0</v>
      </c>
    </row>
    <row r="614" spans="13:19" x14ac:dyDescent="0.25">
      <c r="M614" s="46"/>
      <c r="N614" s="46"/>
      <c r="O614" s="46"/>
      <c r="P614" s="46"/>
      <c r="R614" s="15">
        <v>7.0000000000000007E-2</v>
      </c>
      <c r="S614" s="18">
        <f>(Tabela224[[#This Row],[FRETE]]+Tabela224[[#This Row],[DESPESAS]]+Tabela224[[#This Row],[IPI]]+Tabela224[[#This Row],[Vl. Produto]])*Tabela224[[#This Row],[Aliq.%]]</f>
        <v>0</v>
      </c>
    </row>
    <row r="615" spans="13:19" x14ac:dyDescent="0.25">
      <c r="M615" s="46"/>
      <c r="N615" s="46"/>
      <c r="O615" s="46"/>
      <c r="P615" s="46"/>
      <c r="R615" s="15">
        <v>7.0000000000000007E-2</v>
      </c>
      <c r="S615" s="18">
        <f>(Tabela224[[#This Row],[FRETE]]+Tabela224[[#This Row],[DESPESAS]]+Tabela224[[#This Row],[IPI]]+Tabela224[[#This Row],[Vl. Produto]])*Tabela224[[#This Row],[Aliq.%]]</f>
        <v>0</v>
      </c>
    </row>
    <row r="616" spans="13:19" x14ac:dyDescent="0.25">
      <c r="M616" s="46"/>
      <c r="N616" s="46"/>
      <c r="O616" s="46"/>
      <c r="P616" s="46"/>
      <c r="R616" s="15">
        <v>7.0000000000000007E-2</v>
      </c>
      <c r="S616" s="18">
        <f>(Tabela224[[#This Row],[FRETE]]+Tabela224[[#This Row],[DESPESAS]]+Tabela224[[#This Row],[IPI]]+Tabela224[[#This Row],[Vl. Produto]])*Tabela224[[#This Row],[Aliq.%]]</f>
        <v>0</v>
      </c>
    </row>
    <row r="617" spans="13:19" x14ac:dyDescent="0.25">
      <c r="M617" s="46"/>
      <c r="N617" s="46"/>
      <c r="O617" s="46"/>
      <c r="P617" s="46"/>
      <c r="R617" s="15">
        <v>7.0000000000000007E-2</v>
      </c>
      <c r="S617" s="18">
        <f>(Tabela224[[#This Row],[FRETE]]+Tabela224[[#This Row],[DESPESAS]]+Tabela224[[#This Row],[IPI]]+Tabela224[[#This Row],[Vl. Produto]])*Tabela224[[#This Row],[Aliq.%]]</f>
        <v>0</v>
      </c>
    </row>
    <row r="618" spans="13:19" x14ac:dyDescent="0.25">
      <c r="M618" s="46"/>
      <c r="N618" s="46"/>
      <c r="O618" s="46"/>
      <c r="P618" s="46"/>
      <c r="R618" s="15">
        <v>7.0000000000000007E-2</v>
      </c>
      <c r="S618" s="18">
        <f>(Tabela224[[#This Row],[FRETE]]+Tabela224[[#This Row],[DESPESAS]]+Tabela224[[#This Row],[IPI]]+Tabela224[[#This Row],[Vl. Produto]])*Tabela224[[#This Row],[Aliq.%]]</f>
        <v>0</v>
      </c>
    </row>
    <row r="619" spans="13:19" x14ac:dyDescent="0.25">
      <c r="M619" s="46"/>
      <c r="N619" s="46"/>
      <c r="O619" s="46"/>
      <c r="P619" s="46"/>
      <c r="R619" s="15">
        <v>7.0000000000000007E-2</v>
      </c>
      <c r="S619" s="18">
        <f>(Tabela224[[#This Row],[FRETE]]+Tabela224[[#This Row],[DESPESAS]]+Tabela224[[#This Row],[IPI]]+Tabela224[[#This Row],[Vl. Produto]])*Tabela224[[#This Row],[Aliq.%]]</f>
        <v>0</v>
      </c>
    </row>
    <row r="620" spans="13:19" x14ac:dyDescent="0.25">
      <c r="M620" s="46"/>
      <c r="N620" s="46"/>
      <c r="O620" s="46"/>
      <c r="P620" s="46"/>
      <c r="R620" s="15">
        <v>7.0000000000000007E-2</v>
      </c>
      <c r="S620" s="18">
        <f>(Tabela224[[#This Row],[FRETE]]+Tabela224[[#This Row],[DESPESAS]]+Tabela224[[#This Row],[IPI]]+Tabela224[[#This Row],[Vl. Produto]])*Tabela224[[#This Row],[Aliq.%]]</f>
        <v>0</v>
      </c>
    </row>
    <row r="621" spans="13:19" x14ac:dyDescent="0.25">
      <c r="M621" s="46"/>
      <c r="N621" s="46"/>
      <c r="O621" s="46"/>
      <c r="P621" s="46"/>
      <c r="R621" s="15">
        <v>7.0000000000000007E-2</v>
      </c>
      <c r="S621" s="18">
        <f>(Tabela224[[#This Row],[FRETE]]+Tabela224[[#This Row],[DESPESAS]]+Tabela224[[#This Row],[IPI]]+Tabela224[[#This Row],[Vl. Produto]])*Tabela224[[#This Row],[Aliq.%]]</f>
        <v>0</v>
      </c>
    </row>
    <row r="622" spans="13:19" x14ac:dyDescent="0.25">
      <c r="M622" s="46"/>
      <c r="N622" s="46"/>
      <c r="O622" s="46"/>
      <c r="P622" s="46"/>
      <c r="R622" s="15">
        <v>7.0000000000000007E-2</v>
      </c>
      <c r="S622" s="18">
        <f>(Tabela224[[#This Row],[FRETE]]+Tabela224[[#This Row],[DESPESAS]]+Tabela224[[#This Row],[IPI]]+Tabela224[[#This Row],[Vl. Produto]])*Tabela224[[#This Row],[Aliq.%]]</f>
        <v>0</v>
      </c>
    </row>
    <row r="623" spans="13:19" x14ac:dyDescent="0.25">
      <c r="M623" s="46"/>
      <c r="N623" s="46"/>
      <c r="O623" s="46"/>
      <c r="P623" s="46"/>
      <c r="R623" s="15">
        <v>7.0000000000000007E-2</v>
      </c>
      <c r="S623" s="18">
        <f>(Tabela224[[#This Row],[FRETE]]+Tabela224[[#This Row],[DESPESAS]]+Tabela224[[#This Row],[IPI]]+Tabela224[[#This Row],[Vl. Produto]])*Tabela224[[#This Row],[Aliq.%]]</f>
        <v>0</v>
      </c>
    </row>
    <row r="624" spans="13:19" x14ac:dyDescent="0.25">
      <c r="M624" s="46"/>
      <c r="N624" s="46"/>
      <c r="O624" s="46"/>
      <c r="P624" s="46"/>
      <c r="R624" s="15">
        <v>7.0000000000000007E-2</v>
      </c>
      <c r="S624" s="18">
        <f>(Tabela224[[#This Row],[FRETE]]+Tabela224[[#This Row],[DESPESAS]]+Tabela224[[#This Row],[IPI]]+Tabela224[[#This Row],[Vl. Produto]])*Tabela224[[#This Row],[Aliq.%]]</f>
        <v>0</v>
      </c>
    </row>
    <row r="625" spans="13:19" x14ac:dyDescent="0.25">
      <c r="M625" s="46"/>
      <c r="N625" s="46"/>
      <c r="O625" s="46"/>
      <c r="P625" s="46"/>
      <c r="R625" s="15">
        <v>7.0000000000000007E-2</v>
      </c>
      <c r="S625" s="18">
        <f>(Tabela224[[#This Row],[FRETE]]+Tabela224[[#This Row],[DESPESAS]]+Tabela224[[#This Row],[IPI]]+Tabela224[[#This Row],[Vl. Produto]])*Tabela224[[#This Row],[Aliq.%]]</f>
        <v>0</v>
      </c>
    </row>
    <row r="626" spans="13:19" x14ac:dyDescent="0.25">
      <c r="M626" s="46"/>
      <c r="N626" s="46"/>
      <c r="O626" s="46"/>
      <c r="P626" s="46"/>
      <c r="R626" s="15">
        <v>7.0000000000000007E-2</v>
      </c>
      <c r="S626" s="18">
        <f>(Tabela224[[#This Row],[FRETE]]+Tabela224[[#This Row],[DESPESAS]]+Tabela224[[#This Row],[IPI]]+Tabela224[[#This Row],[Vl. Produto]])*Tabela224[[#This Row],[Aliq.%]]</f>
        <v>0</v>
      </c>
    </row>
    <row r="627" spans="13:19" x14ac:dyDescent="0.25">
      <c r="M627" s="46"/>
      <c r="N627" s="46"/>
      <c r="O627" s="46"/>
      <c r="P627" s="46"/>
      <c r="R627" s="15">
        <v>7.0000000000000007E-2</v>
      </c>
      <c r="S627" s="18">
        <f>(Tabela224[[#This Row],[FRETE]]+Tabela224[[#This Row],[DESPESAS]]+Tabela224[[#This Row],[IPI]]+Tabela224[[#This Row],[Vl. Produto]])*Tabela224[[#This Row],[Aliq.%]]</f>
        <v>0</v>
      </c>
    </row>
    <row r="628" spans="13:19" x14ac:dyDescent="0.25">
      <c r="M628" s="46"/>
      <c r="N628" s="46"/>
      <c r="O628" s="46"/>
      <c r="P628" s="46"/>
      <c r="R628" s="15">
        <v>7.0000000000000007E-2</v>
      </c>
      <c r="S628" s="18">
        <f>(Tabela224[[#This Row],[FRETE]]+Tabela224[[#This Row],[DESPESAS]]+Tabela224[[#This Row],[IPI]]+Tabela224[[#This Row],[Vl. Produto]])*Tabela224[[#This Row],[Aliq.%]]</f>
        <v>0</v>
      </c>
    </row>
    <row r="629" spans="13:19" x14ac:dyDescent="0.25">
      <c r="M629" s="46"/>
      <c r="N629" s="46"/>
      <c r="O629" s="46"/>
      <c r="P629" s="46"/>
      <c r="R629" s="15">
        <v>7.0000000000000007E-2</v>
      </c>
      <c r="S629" s="18">
        <f>(Tabela224[[#This Row],[FRETE]]+Tabela224[[#This Row],[DESPESAS]]+Tabela224[[#This Row],[IPI]]+Tabela224[[#This Row],[Vl. Produto]])*Tabela224[[#This Row],[Aliq.%]]</f>
        <v>0</v>
      </c>
    </row>
    <row r="630" spans="13:19" x14ac:dyDescent="0.25">
      <c r="M630" s="46"/>
      <c r="N630" s="46"/>
      <c r="O630" s="46"/>
      <c r="P630" s="46"/>
      <c r="R630" s="15">
        <v>7.0000000000000007E-2</v>
      </c>
      <c r="S630" s="18">
        <f>(Tabela224[[#This Row],[FRETE]]+Tabela224[[#This Row],[DESPESAS]]+Tabela224[[#This Row],[IPI]]+Tabela224[[#This Row],[Vl. Produto]])*Tabela224[[#This Row],[Aliq.%]]</f>
        <v>0</v>
      </c>
    </row>
    <row r="631" spans="13:19" x14ac:dyDescent="0.25">
      <c r="M631" s="46"/>
      <c r="N631" s="46"/>
      <c r="O631" s="46"/>
      <c r="P631" s="46"/>
      <c r="R631" s="15">
        <v>7.0000000000000007E-2</v>
      </c>
      <c r="S631" s="18">
        <f>(Tabela224[[#This Row],[FRETE]]+Tabela224[[#This Row],[DESPESAS]]+Tabela224[[#This Row],[IPI]]+Tabela224[[#This Row],[Vl. Produto]])*Tabela224[[#This Row],[Aliq.%]]</f>
        <v>0</v>
      </c>
    </row>
    <row r="632" spans="13:19" x14ac:dyDescent="0.25">
      <c r="M632" s="46"/>
      <c r="N632" s="46"/>
      <c r="O632" s="46"/>
      <c r="P632" s="46"/>
      <c r="R632" s="15">
        <v>7.0000000000000007E-2</v>
      </c>
      <c r="S632" s="18">
        <f>(Tabela224[[#This Row],[FRETE]]+Tabela224[[#This Row],[DESPESAS]]+Tabela224[[#This Row],[IPI]]+Tabela224[[#This Row],[Vl. Produto]])*Tabela224[[#This Row],[Aliq.%]]</f>
        <v>0</v>
      </c>
    </row>
    <row r="633" spans="13:19" x14ac:dyDescent="0.25">
      <c r="M633" s="46"/>
      <c r="N633" s="46"/>
      <c r="O633" s="46"/>
      <c r="P633" s="46"/>
      <c r="R633" s="15">
        <v>7.0000000000000007E-2</v>
      </c>
      <c r="S633" s="18">
        <f>(Tabela224[[#This Row],[FRETE]]+Tabela224[[#This Row],[DESPESAS]]+Tabela224[[#This Row],[IPI]]+Tabela224[[#This Row],[Vl. Produto]])*Tabela224[[#This Row],[Aliq.%]]</f>
        <v>0</v>
      </c>
    </row>
    <row r="634" spans="13:19" x14ac:dyDescent="0.25">
      <c r="M634" s="46"/>
      <c r="N634" s="46"/>
      <c r="O634" s="46"/>
      <c r="P634" s="46"/>
      <c r="R634" s="15">
        <v>7.0000000000000007E-2</v>
      </c>
      <c r="S634" s="18">
        <f>(Tabela224[[#This Row],[FRETE]]+Tabela224[[#This Row],[DESPESAS]]+Tabela224[[#This Row],[IPI]]+Tabela224[[#This Row],[Vl. Produto]])*Tabela224[[#This Row],[Aliq.%]]</f>
        <v>0</v>
      </c>
    </row>
    <row r="635" spans="13:19" x14ac:dyDescent="0.25">
      <c r="M635" s="46"/>
      <c r="N635" s="46"/>
      <c r="O635" s="46"/>
      <c r="P635" s="46"/>
      <c r="R635" s="15">
        <v>7.0000000000000007E-2</v>
      </c>
      <c r="S635" s="18">
        <f>(Tabela224[[#This Row],[FRETE]]+Tabela224[[#This Row],[DESPESAS]]+Tabela224[[#This Row],[IPI]]+Tabela224[[#This Row],[Vl. Produto]])*Tabela224[[#This Row],[Aliq.%]]</f>
        <v>0</v>
      </c>
    </row>
    <row r="636" spans="13:19" x14ac:dyDescent="0.25">
      <c r="M636" s="46"/>
      <c r="N636" s="46"/>
      <c r="O636" s="46"/>
      <c r="P636" s="46"/>
      <c r="R636" s="15">
        <v>7.0000000000000007E-2</v>
      </c>
      <c r="S636" s="18">
        <f>(Tabela224[[#This Row],[FRETE]]+Tabela224[[#This Row],[DESPESAS]]+Tabela224[[#This Row],[IPI]]+Tabela224[[#This Row],[Vl. Produto]])*Tabela224[[#This Row],[Aliq.%]]</f>
        <v>0</v>
      </c>
    </row>
    <row r="637" spans="13:19" x14ac:dyDescent="0.25">
      <c r="M637" s="46"/>
      <c r="N637" s="46"/>
      <c r="O637" s="46"/>
      <c r="P637" s="46"/>
      <c r="R637" s="15">
        <v>7.0000000000000007E-2</v>
      </c>
      <c r="S637" s="18">
        <f>(Tabela224[[#This Row],[FRETE]]+Tabela224[[#This Row],[DESPESAS]]+Tabela224[[#This Row],[IPI]]+Tabela224[[#This Row],[Vl. Produto]])*Tabela224[[#This Row],[Aliq.%]]</f>
        <v>0</v>
      </c>
    </row>
    <row r="638" spans="13:19" x14ac:dyDescent="0.25">
      <c r="M638" s="46"/>
      <c r="N638" s="46"/>
      <c r="O638" s="46"/>
      <c r="P638" s="46"/>
      <c r="R638" s="15">
        <v>7.0000000000000007E-2</v>
      </c>
      <c r="S638" s="18">
        <f>(Tabela224[[#This Row],[FRETE]]+Tabela224[[#This Row],[DESPESAS]]+Tabela224[[#This Row],[IPI]]+Tabela224[[#This Row],[Vl. Produto]])*Tabela224[[#This Row],[Aliq.%]]</f>
        <v>0</v>
      </c>
    </row>
    <row r="639" spans="13:19" x14ac:dyDescent="0.25">
      <c r="M639" s="46"/>
      <c r="N639" s="46"/>
      <c r="O639" s="46"/>
      <c r="P639" s="46"/>
      <c r="R639" s="15">
        <v>7.0000000000000007E-2</v>
      </c>
      <c r="S639" s="18">
        <f>(Tabela224[[#This Row],[FRETE]]+Tabela224[[#This Row],[DESPESAS]]+Tabela224[[#This Row],[IPI]]+Tabela224[[#This Row],[Vl. Produto]])*Tabela224[[#This Row],[Aliq.%]]</f>
        <v>0</v>
      </c>
    </row>
    <row r="640" spans="13:19" x14ac:dyDescent="0.25">
      <c r="M640" s="46"/>
      <c r="N640" s="46"/>
      <c r="O640" s="46"/>
      <c r="P640" s="46"/>
      <c r="R640" s="15">
        <v>7.0000000000000007E-2</v>
      </c>
      <c r="S640" s="18">
        <f>(Tabela224[[#This Row],[FRETE]]+Tabela224[[#This Row],[DESPESAS]]+Tabela224[[#This Row],[IPI]]+Tabela224[[#This Row],[Vl. Produto]])*Tabela224[[#This Row],[Aliq.%]]</f>
        <v>0</v>
      </c>
    </row>
    <row r="641" spans="13:19" x14ac:dyDescent="0.25">
      <c r="M641" s="46"/>
      <c r="N641" s="46"/>
      <c r="O641" s="46"/>
      <c r="P641" s="46"/>
      <c r="R641" s="15">
        <v>7.0000000000000007E-2</v>
      </c>
      <c r="S641" s="18">
        <f>(Tabela224[[#This Row],[FRETE]]+Tabela224[[#This Row],[DESPESAS]]+Tabela224[[#This Row],[IPI]]+Tabela224[[#This Row],[Vl. Produto]])*Tabela224[[#This Row],[Aliq.%]]</f>
        <v>0</v>
      </c>
    </row>
    <row r="642" spans="13:19" x14ac:dyDescent="0.25">
      <c r="M642" s="46"/>
      <c r="N642" s="46"/>
      <c r="O642" s="46"/>
      <c r="P642" s="46"/>
      <c r="R642" s="15">
        <v>7.0000000000000007E-2</v>
      </c>
      <c r="S642" s="18">
        <f>(Tabela224[[#This Row],[FRETE]]+Tabela224[[#This Row],[DESPESAS]]+Tabela224[[#This Row],[IPI]]+Tabela224[[#This Row],[Vl. Produto]])*Tabela224[[#This Row],[Aliq.%]]</f>
        <v>0</v>
      </c>
    </row>
    <row r="643" spans="13:19" x14ac:dyDescent="0.25">
      <c r="M643" s="46"/>
      <c r="N643" s="46"/>
      <c r="O643" s="46"/>
      <c r="P643" s="46"/>
      <c r="R643" s="15">
        <v>7.0000000000000007E-2</v>
      </c>
      <c r="S643" s="18">
        <f>(Tabela224[[#This Row],[FRETE]]+Tabela224[[#This Row],[DESPESAS]]+Tabela224[[#This Row],[IPI]]+Tabela224[[#This Row],[Vl. Produto]])*Tabela224[[#This Row],[Aliq.%]]</f>
        <v>0</v>
      </c>
    </row>
    <row r="644" spans="13:19" x14ac:dyDescent="0.25">
      <c r="M644" s="46"/>
      <c r="N644" s="46"/>
      <c r="O644" s="46"/>
      <c r="P644" s="46"/>
      <c r="R644" s="15">
        <v>7.0000000000000007E-2</v>
      </c>
      <c r="S644" s="18">
        <f>(Tabela224[[#This Row],[FRETE]]+Tabela224[[#This Row],[DESPESAS]]+Tabela224[[#This Row],[IPI]]+Tabela224[[#This Row],[Vl. Produto]])*Tabela224[[#This Row],[Aliq.%]]</f>
        <v>0</v>
      </c>
    </row>
    <row r="645" spans="13:19" x14ac:dyDescent="0.25">
      <c r="M645" s="46"/>
      <c r="N645" s="46"/>
      <c r="O645" s="46"/>
      <c r="P645" s="46"/>
      <c r="R645" s="15">
        <v>7.0000000000000007E-2</v>
      </c>
      <c r="S645" s="18">
        <f>(Tabela224[[#This Row],[FRETE]]+Tabela224[[#This Row],[DESPESAS]]+Tabela224[[#This Row],[IPI]]+Tabela224[[#This Row],[Vl. Produto]])*Tabela224[[#This Row],[Aliq.%]]</f>
        <v>0</v>
      </c>
    </row>
    <row r="646" spans="13:19" x14ac:dyDescent="0.25">
      <c r="M646" s="46"/>
      <c r="N646" s="46"/>
      <c r="O646" s="46"/>
      <c r="P646" s="46"/>
      <c r="R646" s="15">
        <v>7.0000000000000007E-2</v>
      </c>
      <c r="S646" s="18">
        <f>(Tabela224[[#This Row],[FRETE]]+Tabela224[[#This Row],[DESPESAS]]+Tabela224[[#This Row],[IPI]]+Tabela224[[#This Row],[Vl. Produto]])*Tabela224[[#This Row],[Aliq.%]]</f>
        <v>0</v>
      </c>
    </row>
    <row r="647" spans="13:19" x14ac:dyDescent="0.25">
      <c r="M647" s="46"/>
      <c r="N647" s="46"/>
      <c r="O647" s="46"/>
      <c r="P647" s="46"/>
      <c r="R647" s="15">
        <v>7.0000000000000007E-2</v>
      </c>
      <c r="S647" s="18">
        <f>(Tabela224[[#This Row],[FRETE]]+Tabela224[[#This Row],[DESPESAS]]+Tabela224[[#This Row],[IPI]]+Tabela224[[#This Row],[Vl. Produto]])*Tabela224[[#This Row],[Aliq.%]]</f>
        <v>0</v>
      </c>
    </row>
    <row r="648" spans="13:19" x14ac:dyDescent="0.25">
      <c r="M648" s="46"/>
      <c r="N648" s="46"/>
      <c r="O648" s="46"/>
      <c r="P648" s="46"/>
      <c r="R648" s="15">
        <v>7.0000000000000007E-2</v>
      </c>
      <c r="S648" s="18">
        <f>(Tabela224[[#This Row],[FRETE]]+Tabela224[[#This Row],[DESPESAS]]+Tabela224[[#This Row],[IPI]]+Tabela224[[#This Row],[Vl. Produto]])*Tabela224[[#This Row],[Aliq.%]]</f>
        <v>0</v>
      </c>
    </row>
    <row r="649" spans="13:19" x14ac:dyDescent="0.25">
      <c r="M649" s="46"/>
      <c r="N649" s="46"/>
      <c r="O649" s="46"/>
      <c r="P649" s="46"/>
      <c r="R649" s="15">
        <v>7.0000000000000007E-2</v>
      </c>
      <c r="S649" s="18">
        <f>(Tabela224[[#This Row],[FRETE]]+Tabela224[[#This Row],[DESPESAS]]+Tabela224[[#This Row],[IPI]]+Tabela224[[#This Row],[Vl. Produto]])*Tabela224[[#This Row],[Aliq.%]]</f>
        <v>0</v>
      </c>
    </row>
    <row r="650" spans="13:19" x14ac:dyDescent="0.25">
      <c r="M650" s="46"/>
      <c r="N650" s="46"/>
      <c r="O650" s="46"/>
      <c r="P650" s="46"/>
      <c r="R650" s="15">
        <v>7.0000000000000007E-2</v>
      </c>
      <c r="S650" s="18">
        <f>(Tabela224[[#This Row],[FRETE]]+Tabela224[[#This Row],[DESPESAS]]+Tabela224[[#This Row],[IPI]]+Tabela224[[#This Row],[Vl. Produto]])*Tabela224[[#This Row],[Aliq.%]]</f>
        <v>0</v>
      </c>
    </row>
    <row r="651" spans="13:19" x14ac:dyDescent="0.25">
      <c r="M651" s="46"/>
      <c r="N651" s="46"/>
      <c r="O651" s="46"/>
      <c r="P651" s="46"/>
      <c r="R651" s="15">
        <v>7.0000000000000007E-2</v>
      </c>
      <c r="S651" s="18">
        <f>(Tabela224[[#This Row],[FRETE]]+Tabela224[[#This Row],[DESPESAS]]+Tabela224[[#This Row],[IPI]]+Tabela224[[#This Row],[Vl. Produto]])*Tabela224[[#This Row],[Aliq.%]]</f>
        <v>0</v>
      </c>
    </row>
    <row r="652" spans="13:19" x14ac:dyDescent="0.25">
      <c r="M652" s="46"/>
      <c r="N652" s="46"/>
      <c r="O652" s="46"/>
      <c r="P652" s="46"/>
      <c r="R652" s="15">
        <v>7.0000000000000007E-2</v>
      </c>
      <c r="S652" s="18">
        <f>(Tabela224[[#This Row],[FRETE]]+Tabela224[[#This Row],[DESPESAS]]+Tabela224[[#This Row],[IPI]]+Tabela224[[#This Row],[Vl. Produto]])*Tabela224[[#This Row],[Aliq.%]]</f>
        <v>0</v>
      </c>
    </row>
    <row r="653" spans="13:19" x14ac:dyDescent="0.25">
      <c r="M653" s="46"/>
      <c r="N653" s="46"/>
      <c r="O653" s="46"/>
      <c r="P653" s="46"/>
      <c r="R653" s="15">
        <v>7.0000000000000007E-2</v>
      </c>
      <c r="S653" s="18">
        <f>(Tabela224[[#This Row],[FRETE]]+Tabela224[[#This Row],[DESPESAS]]+Tabela224[[#This Row],[IPI]]+Tabela224[[#This Row],[Vl. Produto]])*Tabela224[[#This Row],[Aliq.%]]</f>
        <v>0</v>
      </c>
    </row>
    <row r="654" spans="13:19" x14ac:dyDescent="0.25">
      <c r="M654" s="46"/>
      <c r="N654" s="46"/>
      <c r="O654" s="46"/>
      <c r="P654" s="46"/>
      <c r="R654" s="15">
        <v>7.0000000000000007E-2</v>
      </c>
      <c r="S654" s="18">
        <f>(Tabela224[[#This Row],[FRETE]]+Tabela224[[#This Row],[DESPESAS]]+Tabela224[[#This Row],[IPI]]+Tabela224[[#This Row],[Vl. Produto]])*Tabela224[[#This Row],[Aliq.%]]</f>
        <v>0</v>
      </c>
    </row>
    <row r="655" spans="13:19" x14ac:dyDescent="0.25">
      <c r="M655" s="46"/>
      <c r="N655" s="46"/>
      <c r="O655" s="46"/>
      <c r="P655" s="46"/>
      <c r="R655" s="15">
        <v>7.0000000000000007E-2</v>
      </c>
      <c r="S655" s="18">
        <f>(Tabela224[[#This Row],[FRETE]]+Tabela224[[#This Row],[DESPESAS]]+Tabela224[[#This Row],[IPI]]+Tabela224[[#This Row],[Vl. Produto]])*Tabela224[[#This Row],[Aliq.%]]</f>
        <v>0</v>
      </c>
    </row>
    <row r="656" spans="13:19" x14ac:dyDescent="0.25">
      <c r="M656" s="46"/>
      <c r="N656" s="46"/>
      <c r="O656" s="46"/>
      <c r="P656" s="46"/>
      <c r="R656" s="15">
        <v>7.0000000000000007E-2</v>
      </c>
      <c r="S656" s="18">
        <f>(Tabela224[[#This Row],[FRETE]]+Tabela224[[#This Row],[DESPESAS]]+Tabela224[[#This Row],[IPI]]+Tabela224[[#This Row],[Vl. Produto]])*Tabela224[[#This Row],[Aliq.%]]</f>
        <v>0</v>
      </c>
    </row>
    <row r="657" spans="13:19" x14ac:dyDescent="0.25">
      <c r="M657" s="46"/>
      <c r="N657" s="46"/>
      <c r="O657" s="46"/>
      <c r="P657" s="46"/>
      <c r="R657" s="15">
        <v>7.0000000000000007E-2</v>
      </c>
      <c r="S657" s="18">
        <f>(Tabela224[[#This Row],[FRETE]]+Tabela224[[#This Row],[DESPESAS]]+Tabela224[[#This Row],[IPI]]+Tabela224[[#This Row],[Vl. Produto]])*Tabela224[[#This Row],[Aliq.%]]</f>
        <v>0</v>
      </c>
    </row>
    <row r="658" spans="13:19" x14ac:dyDescent="0.25">
      <c r="M658" s="46"/>
      <c r="N658" s="46"/>
      <c r="O658" s="46"/>
      <c r="P658" s="46"/>
      <c r="R658" s="15">
        <v>7.0000000000000007E-2</v>
      </c>
      <c r="S658" s="18">
        <f>(Tabela224[[#This Row],[FRETE]]+Tabela224[[#This Row],[DESPESAS]]+Tabela224[[#This Row],[IPI]]+Tabela224[[#This Row],[Vl. Produto]])*Tabela224[[#This Row],[Aliq.%]]</f>
        <v>0</v>
      </c>
    </row>
    <row r="659" spans="13:19" x14ac:dyDescent="0.25">
      <c r="M659" s="46"/>
      <c r="N659" s="46"/>
      <c r="O659" s="46"/>
      <c r="P659" s="46"/>
      <c r="R659" s="15">
        <v>7.0000000000000007E-2</v>
      </c>
      <c r="S659" s="18">
        <f>(Tabela224[[#This Row],[FRETE]]+Tabela224[[#This Row],[DESPESAS]]+Tabela224[[#This Row],[IPI]]+Tabela224[[#This Row],[Vl. Produto]])*Tabela224[[#This Row],[Aliq.%]]</f>
        <v>0</v>
      </c>
    </row>
    <row r="660" spans="13:19" x14ac:dyDescent="0.25">
      <c r="M660" s="46"/>
      <c r="N660" s="46"/>
      <c r="O660" s="46"/>
      <c r="P660" s="46"/>
      <c r="R660" s="15">
        <v>7.0000000000000007E-2</v>
      </c>
      <c r="S660" s="18">
        <f>(Tabela224[[#This Row],[FRETE]]+Tabela224[[#This Row],[DESPESAS]]+Tabela224[[#This Row],[IPI]]+Tabela224[[#This Row],[Vl. Produto]])*Tabela224[[#This Row],[Aliq.%]]</f>
        <v>0</v>
      </c>
    </row>
    <row r="661" spans="13:19" x14ac:dyDescent="0.25">
      <c r="M661" s="46"/>
      <c r="N661" s="46"/>
      <c r="O661" s="46"/>
      <c r="P661" s="46"/>
      <c r="R661" s="15">
        <v>7.0000000000000007E-2</v>
      </c>
      <c r="S661" s="18">
        <f>(Tabela224[[#This Row],[FRETE]]+Tabela224[[#This Row],[DESPESAS]]+Tabela224[[#This Row],[IPI]]+Tabela224[[#This Row],[Vl. Produto]])*Tabela224[[#This Row],[Aliq.%]]</f>
        <v>0</v>
      </c>
    </row>
    <row r="662" spans="13:19" x14ac:dyDescent="0.25">
      <c r="M662" s="46"/>
      <c r="N662" s="46"/>
      <c r="O662" s="46"/>
      <c r="P662" s="46"/>
      <c r="R662" s="15">
        <v>7.0000000000000007E-2</v>
      </c>
      <c r="S662" s="18">
        <f>(Tabela224[[#This Row],[FRETE]]+Tabela224[[#This Row],[DESPESAS]]+Tabela224[[#This Row],[IPI]]+Tabela224[[#This Row],[Vl. Produto]])*Tabela224[[#This Row],[Aliq.%]]</f>
        <v>0</v>
      </c>
    </row>
    <row r="663" spans="13:19" x14ac:dyDescent="0.25">
      <c r="M663" s="46"/>
      <c r="N663" s="46"/>
      <c r="O663" s="46"/>
      <c r="P663" s="46"/>
      <c r="R663" s="15">
        <v>7.0000000000000007E-2</v>
      </c>
      <c r="S663" s="18">
        <f>(Tabela224[[#This Row],[FRETE]]+Tabela224[[#This Row],[DESPESAS]]+Tabela224[[#This Row],[IPI]]+Tabela224[[#This Row],[Vl. Produto]])*Tabela224[[#This Row],[Aliq.%]]</f>
        <v>0</v>
      </c>
    </row>
    <row r="664" spans="13:19" x14ac:dyDescent="0.25">
      <c r="M664" s="46"/>
      <c r="N664" s="46"/>
      <c r="O664" s="46"/>
      <c r="P664" s="46"/>
      <c r="R664" s="15">
        <v>7.0000000000000007E-2</v>
      </c>
      <c r="S664" s="18">
        <f>(Tabela224[[#This Row],[FRETE]]+Tabela224[[#This Row],[DESPESAS]]+Tabela224[[#This Row],[IPI]]+Tabela224[[#This Row],[Vl. Produto]])*Tabela224[[#This Row],[Aliq.%]]</f>
        <v>0</v>
      </c>
    </row>
    <row r="665" spans="13:19" x14ac:dyDescent="0.25">
      <c r="M665" s="46"/>
      <c r="N665" s="46"/>
      <c r="O665" s="46"/>
      <c r="P665" s="46"/>
      <c r="R665" s="15">
        <v>7.0000000000000007E-2</v>
      </c>
      <c r="S665" s="18">
        <f>(Tabela224[[#This Row],[FRETE]]+Tabela224[[#This Row],[DESPESAS]]+Tabela224[[#This Row],[IPI]]+Tabela224[[#This Row],[Vl. Produto]])*Tabela224[[#This Row],[Aliq.%]]</f>
        <v>0</v>
      </c>
    </row>
    <row r="666" spans="13:19" x14ac:dyDescent="0.25">
      <c r="M666" s="46"/>
      <c r="N666" s="46"/>
      <c r="O666" s="46"/>
      <c r="P666" s="46"/>
      <c r="R666" s="15">
        <v>7.0000000000000007E-2</v>
      </c>
      <c r="S666" s="18">
        <f>(Tabela224[[#This Row],[FRETE]]+Tabela224[[#This Row],[DESPESAS]]+Tabela224[[#This Row],[IPI]]+Tabela224[[#This Row],[Vl. Produto]])*Tabela224[[#This Row],[Aliq.%]]</f>
        <v>0</v>
      </c>
    </row>
    <row r="667" spans="13:19" x14ac:dyDescent="0.25">
      <c r="M667" s="46"/>
      <c r="N667" s="46"/>
      <c r="O667" s="46"/>
      <c r="P667" s="46"/>
      <c r="R667" s="15">
        <v>7.0000000000000007E-2</v>
      </c>
      <c r="S667" s="18">
        <f>(Tabela224[[#This Row],[FRETE]]+Tabela224[[#This Row],[DESPESAS]]+Tabela224[[#This Row],[IPI]]+Tabela224[[#This Row],[Vl. Produto]])*Tabela224[[#This Row],[Aliq.%]]</f>
        <v>0</v>
      </c>
    </row>
    <row r="668" spans="13:19" x14ac:dyDescent="0.25">
      <c r="M668" s="46"/>
      <c r="N668" s="46"/>
      <c r="O668" s="46"/>
      <c r="P668" s="46"/>
      <c r="R668" s="15">
        <v>7.0000000000000007E-2</v>
      </c>
      <c r="S668" s="18">
        <f>(Tabela224[[#This Row],[FRETE]]+Tabela224[[#This Row],[DESPESAS]]+Tabela224[[#This Row],[IPI]]+Tabela224[[#This Row],[Vl. Produto]])*Tabela224[[#This Row],[Aliq.%]]</f>
        <v>0</v>
      </c>
    </row>
    <row r="669" spans="13:19" x14ac:dyDescent="0.25">
      <c r="M669" s="46"/>
      <c r="N669" s="46"/>
      <c r="O669" s="46"/>
      <c r="P669" s="46"/>
      <c r="R669" s="15">
        <v>7.0000000000000007E-2</v>
      </c>
      <c r="S669" s="18">
        <f>(Tabela224[[#This Row],[FRETE]]+Tabela224[[#This Row],[DESPESAS]]+Tabela224[[#This Row],[IPI]]+Tabela224[[#This Row],[Vl. Produto]])*Tabela224[[#This Row],[Aliq.%]]</f>
        <v>0</v>
      </c>
    </row>
    <row r="670" spans="13:19" x14ac:dyDescent="0.25">
      <c r="M670" s="46"/>
      <c r="N670" s="46"/>
      <c r="O670" s="46"/>
      <c r="P670" s="46"/>
      <c r="R670" s="15">
        <v>7.0000000000000007E-2</v>
      </c>
      <c r="S670" s="18">
        <f>(Tabela224[[#This Row],[FRETE]]+Tabela224[[#This Row],[DESPESAS]]+Tabela224[[#This Row],[IPI]]+Tabela224[[#This Row],[Vl. Produto]])*Tabela224[[#This Row],[Aliq.%]]</f>
        <v>0</v>
      </c>
    </row>
    <row r="671" spans="13:19" x14ac:dyDescent="0.25">
      <c r="M671" s="46"/>
      <c r="N671" s="46"/>
      <c r="O671" s="46"/>
      <c r="P671" s="46"/>
      <c r="R671" s="15">
        <v>7.0000000000000007E-2</v>
      </c>
      <c r="S671" s="18">
        <f>(Tabela224[[#This Row],[FRETE]]+Tabela224[[#This Row],[DESPESAS]]+Tabela224[[#This Row],[IPI]]+Tabela224[[#This Row],[Vl. Produto]])*Tabela224[[#This Row],[Aliq.%]]</f>
        <v>0</v>
      </c>
    </row>
    <row r="672" spans="13:19" x14ac:dyDescent="0.25">
      <c r="M672" s="46"/>
      <c r="N672" s="46"/>
      <c r="O672" s="46"/>
      <c r="P672" s="46"/>
      <c r="R672" s="15">
        <v>7.0000000000000007E-2</v>
      </c>
      <c r="S672" s="18">
        <f>(Tabela224[[#This Row],[FRETE]]+Tabela224[[#This Row],[DESPESAS]]+Tabela224[[#This Row],[IPI]]+Tabela224[[#This Row],[Vl. Produto]])*Tabela224[[#This Row],[Aliq.%]]</f>
        <v>0</v>
      </c>
    </row>
    <row r="673" spans="13:19" x14ac:dyDescent="0.25">
      <c r="M673" s="46"/>
      <c r="N673" s="46"/>
      <c r="O673" s="46"/>
      <c r="P673" s="46"/>
      <c r="R673" s="15">
        <v>7.0000000000000007E-2</v>
      </c>
      <c r="S673" s="18">
        <f>(Tabela224[[#This Row],[FRETE]]+Tabela224[[#This Row],[DESPESAS]]+Tabela224[[#This Row],[IPI]]+Tabela224[[#This Row],[Vl. Produto]])*Tabela224[[#This Row],[Aliq.%]]</f>
        <v>0</v>
      </c>
    </row>
    <row r="674" spans="13:19" x14ac:dyDescent="0.25">
      <c r="M674" s="46"/>
      <c r="N674" s="46"/>
      <c r="O674" s="46"/>
      <c r="P674" s="46"/>
      <c r="R674" s="15">
        <v>7.0000000000000007E-2</v>
      </c>
      <c r="S674" s="18">
        <f>(Tabela224[[#This Row],[FRETE]]+Tabela224[[#This Row],[DESPESAS]]+Tabela224[[#This Row],[IPI]]+Tabela224[[#This Row],[Vl. Produto]])*Tabela224[[#This Row],[Aliq.%]]</f>
        <v>0</v>
      </c>
    </row>
    <row r="675" spans="13:19" x14ac:dyDescent="0.25">
      <c r="M675" s="46"/>
      <c r="N675" s="46"/>
      <c r="O675" s="46"/>
      <c r="P675" s="46"/>
      <c r="R675" s="15">
        <v>7.0000000000000007E-2</v>
      </c>
      <c r="S675" s="18">
        <f>(Tabela224[[#This Row],[FRETE]]+Tabela224[[#This Row],[DESPESAS]]+Tabela224[[#This Row],[IPI]]+Tabela224[[#This Row],[Vl. Produto]])*Tabela224[[#This Row],[Aliq.%]]</f>
        <v>0</v>
      </c>
    </row>
    <row r="676" spans="13:19" x14ac:dyDescent="0.25">
      <c r="M676" s="46"/>
      <c r="N676" s="46"/>
      <c r="O676" s="46"/>
      <c r="P676" s="46"/>
      <c r="R676" s="15">
        <v>7.0000000000000007E-2</v>
      </c>
      <c r="S676" s="18">
        <f>(Tabela224[[#This Row],[FRETE]]+Tabela224[[#This Row],[DESPESAS]]+Tabela224[[#This Row],[IPI]]+Tabela224[[#This Row],[Vl. Produto]])*Tabela224[[#This Row],[Aliq.%]]</f>
        <v>0</v>
      </c>
    </row>
    <row r="677" spans="13:19" x14ac:dyDescent="0.25">
      <c r="M677" s="46"/>
      <c r="N677" s="46"/>
      <c r="O677" s="46"/>
      <c r="P677" s="46"/>
      <c r="R677" s="15">
        <v>7.0000000000000007E-2</v>
      </c>
      <c r="S677" s="18">
        <f>(Tabela224[[#This Row],[FRETE]]+Tabela224[[#This Row],[DESPESAS]]+Tabela224[[#This Row],[IPI]]+Tabela224[[#This Row],[Vl. Produto]])*Tabela224[[#This Row],[Aliq.%]]</f>
        <v>0</v>
      </c>
    </row>
    <row r="678" spans="13:19" x14ac:dyDescent="0.25">
      <c r="M678" s="46"/>
      <c r="N678" s="46"/>
      <c r="O678" s="46"/>
      <c r="P678" s="46"/>
      <c r="R678" s="15">
        <v>7.0000000000000007E-2</v>
      </c>
      <c r="S678" s="18">
        <f>(Tabela224[[#This Row],[FRETE]]+Tabela224[[#This Row],[DESPESAS]]+Tabela224[[#This Row],[IPI]]+Tabela224[[#This Row],[Vl. Produto]])*Tabela224[[#This Row],[Aliq.%]]</f>
        <v>0</v>
      </c>
    </row>
    <row r="679" spans="13:19" x14ac:dyDescent="0.25">
      <c r="M679" s="46"/>
      <c r="N679" s="46"/>
      <c r="O679" s="46"/>
      <c r="P679" s="46"/>
      <c r="R679" s="15">
        <v>7.0000000000000007E-2</v>
      </c>
      <c r="S679" s="18">
        <f>(Tabela224[[#This Row],[FRETE]]+Tabela224[[#This Row],[DESPESAS]]+Tabela224[[#This Row],[IPI]]+Tabela224[[#This Row],[Vl. Produto]])*Tabela224[[#This Row],[Aliq.%]]</f>
        <v>0</v>
      </c>
    </row>
    <row r="680" spans="13:19" x14ac:dyDescent="0.25">
      <c r="M680" s="46"/>
      <c r="N680" s="46"/>
      <c r="O680" s="46"/>
      <c r="P680" s="46"/>
      <c r="R680" s="15">
        <v>7.0000000000000007E-2</v>
      </c>
      <c r="S680" s="18">
        <f>(Tabela224[[#This Row],[FRETE]]+Tabela224[[#This Row],[DESPESAS]]+Tabela224[[#This Row],[IPI]]+Tabela224[[#This Row],[Vl. Produto]])*Tabela224[[#This Row],[Aliq.%]]</f>
        <v>0</v>
      </c>
    </row>
    <row r="681" spans="13:19" x14ac:dyDescent="0.25">
      <c r="M681" s="46"/>
      <c r="N681" s="46"/>
      <c r="O681" s="46"/>
      <c r="P681" s="46"/>
      <c r="R681" s="15">
        <v>7.0000000000000007E-2</v>
      </c>
      <c r="S681" s="18">
        <f>(Tabela224[[#This Row],[FRETE]]+Tabela224[[#This Row],[DESPESAS]]+Tabela224[[#This Row],[IPI]]+Tabela224[[#This Row],[Vl. Produto]])*Tabela224[[#This Row],[Aliq.%]]</f>
        <v>0</v>
      </c>
    </row>
    <row r="682" spans="13:19" x14ac:dyDescent="0.25">
      <c r="M682" s="46"/>
      <c r="N682" s="46"/>
      <c r="O682" s="46"/>
      <c r="P682" s="46"/>
      <c r="R682" s="15">
        <v>7.0000000000000007E-2</v>
      </c>
      <c r="S682" s="18">
        <f>(Tabela224[[#This Row],[FRETE]]+Tabela224[[#This Row],[DESPESAS]]+Tabela224[[#This Row],[IPI]]+Tabela224[[#This Row],[Vl. Produto]])*Tabela224[[#This Row],[Aliq.%]]</f>
        <v>0</v>
      </c>
    </row>
    <row r="683" spans="13:19" x14ac:dyDescent="0.25">
      <c r="M683" s="46"/>
      <c r="N683" s="46"/>
      <c r="O683" s="46"/>
      <c r="P683" s="46"/>
      <c r="R683" s="15">
        <v>7.0000000000000007E-2</v>
      </c>
      <c r="S683" s="18">
        <f>(Tabela224[[#This Row],[FRETE]]+Tabela224[[#This Row],[DESPESAS]]+Tabela224[[#This Row],[IPI]]+Tabela224[[#This Row],[Vl. Produto]])*Tabela224[[#This Row],[Aliq.%]]</f>
        <v>0</v>
      </c>
    </row>
    <row r="684" spans="13:19" x14ac:dyDescent="0.25">
      <c r="M684" s="46"/>
      <c r="N684" s="46"/>
      <c r="O684" s="46"/>
      <c r="P684" s="46"/>
      <c r="R684" s="15">
        <v>7.0000000000000007E-2</v>
      </c>
      <c r="S684" s="18">
        <f>(Tabela224[[#This Row],[FRETE]]+Tabela224[[#This Row],[DESPESAS]]+Tabela224[[#This Row],[IPI]]+Tabela224[[#This Row],[Vl. Produto]])*Tabela224[[#This Row],[Aliq.%]]</f>
        <v>0</v>
      </c>
    </row>
    <row r="685" spans="13:19" x14ac:dyDescent="0.25">
      <c r="M685" s="46"/>
      <c r="N685" s="46"/>
      <c r="O685" s="46"/>
      <c r="P685" s="46"/>
      <c r="R685" s="15">
        <v>7.0000000000000007E-2</v>
      </c>
      <c r="S685" s="18">
        <f>(Tabela224[[#This Row],[FRETE]]+Tabela224[[#This Row],[DESPESAS]]+Tabela224[[#This Row],[IPI]]+Tabela224[[#This Row],[Vl. Produto]])*Tabela224[[#This Row],[Aliq.%]]</f>
        <v>0</v>
      </c>
    </row>
    <row r="686" spans="13:19" x14ac:dyDescent="0.25">
      <c r="M686" s="46"/>
      <c r="N686" s="46"/>
      <c r="O686" s="46"/>
      <c r="P686" s="46"/>
      <c r="R686" s="15">
        <v>7.0000000000000007E-2</v>
      </c>
      <c r="S686" s="18">
        <f>(Tabela224[[#This Row],[FRETE]]+Tabela224[[#This Row],[DESPESAS]]+Tabela224[[#This Row],[IPI]]+Tabela224[[#This Row],[Vl. Produto]])*Tabela224[[#This Row],[Aliq.%]]</f>
        <v>0</v>
      </c>
    </row>
    <row r="687" spans="13:19" x14ac:dyDescent="0.25">
      <c r="M687" s="46"/>
      <c r="N687" s="46"/>
      <c r="O687" s="46"/>
      <c r="P687" s="46"/>
      <c r="R687" s="15">
        <v>7.0000000000000007E-2</v>
      </c>
      <c r="S687" s="18">
        <f>(Tabela224[[#This Row],[FRETE]]+Tabela224[[#This Row],[DESPESAS]]+Tabela224[[#This Row],[IPI]]+Tabela224[[#This Row],[Vl. Produto]])*Tabela224[[#This Row],[Aliq.%]]</f>
        <v>0</v>
      </c>
    </row>
    <row r="688" spans="13:19" x14ac:dyDescent="0.25">
      <c r="M688" s="46"/>
      <c r="N688" s="46"/>
      <c r="O688" s="46"/>
      <c r="P688" s="46"/>
      <c r="R688" s="15">
        <v>7.0000000000000007E-2</v>
      </c>
      <c r="S688" s="18">
        <f>(Tabela224[[#This Row],[FRETE]]+Tabela224[[#This Row],[DESPESAS]]+Tabela224[[#This Row],[IPI]]+Tabela224[[#This Row],[Vl. Produto]])*Tabela224[[#This Row],[Aliq.%]]</f>
        <v>0</v>
      </c>
    </row>
    <row r="689" spans="13:19" x14ac:dyDescent="0.25">
      <c r="M689" s="46"/>
      <c r="N689" s="46"/>
      <c r="O689" s="46"/>
      <c r="P689" s="46"/>
      <c r="R689" s="15">
        <v>7.0000000000000007E-2</v>
      </c>
      <c r="S689" s="18">
        <f>(Tabela224[[#This Row],[FRETE]]+Tabela224[[#This Row],[DESPESAS]]+Tabela224[[#This Row],[IPI]]+Tabela224[[#This Row],[Vl. Produto]])*Tabela224[[#This Row],[Aliq.%]]</f>
        <v>0</v>
      </c>
    </row>
    <row r="690" spans="13:19" x14ac:dyDescent="0.25">
      <c r="M690" s="46"/>
      <c r="N690" s="46"/>
      <c r="O690" s="46"/>
      <c r="P690" s="46"/>
      <c r="R690" s="15">
        <v>7.0000000000000007E-2</v>
      </c>
      <c r="S690" s="18">
        <f>(Tabela224[[#This Row],[FRETE]]+Tabela224[[#This Row],[DESPESAS]]+Tabela224[[#This Row],[IPI]]+Tabela224[[#This Row],[Vl. Produto]])*Tabela224[[#This Row],[Aliq.%]]</f>
        <v>0</v>
      </c>
    </row>
    <row r="691" spans="13:19" x14ac:dyDescent="0.25">
      <c r="M691" s="46"/>
      <c r="N691" s="46"/>
      <c r="O691" s="46"/>
      <c r="P691" s="46"/>
      <c r="R691" s="15">
        <v>7.0000000000000007E-2</v>
      </c>
      <c r="S691" s="18">
        <f>(Tabela224[[#This Row],[FRETE]]+Tabela224[[#This Row],[DESPESAS]]+Tabela224[[#This Row],[IPI]]+Tabela224[[#This Row],[Vl. Produto]])*Tabela224[[#This Row],[Aliq.%]]</f>
        <v>0</v>
      </c>
    </row>
    <row r="692" spans="13:19" x14ac:dyDescent="0.25">
      <c r="M692" s="46"/>
      <c r="N692" s="46"/>
      <c r="O692" s="46"/>
      <c r="P692" s="46"/>
      <c r="R692" s="15">
        <v>7.0000000000000007E-2</v>
      </c>
      <c r="S692" s="18">
        <f>(Tabela224[[#This Row],[FRETE]]+Tabela224[[#This Row],[DESPESAS]]+Tabela224[[#This Row],[IPI]]+Tabela224[[#This Row],[Vl. Produto]])*Tabela224[[#This Row],[Aliq.%]]</f>
        <v>0</v>
      </c>
    </row>
    <row r="693" spans="13:19" x14ac:dyDescent="0.25">
      <c r="M693" s="46"/>
      <c r="N693" s="46"/>
      <c r="O693" s="46"/>
      <c r="P693" s="46"/>
      <c r="R693" s="15">
        <v>7.0000000000000007E-2</v>
      </c>
      <c r="S693" s="18">
        <f>(Tabela224[[#This Row],[FRETE]]+Tabela224[[#This Row],[DESPESAS]]+Tabela224[[#This Row],[IPI]]+Tabela224[[#This Row],[Vl. Produto]])*Tabela224[[#This Row],[Aliq.%]]</f>
        <v>0</v>
      </c>
    </row>
    <row r="694" spans="13:19" x14ac:dyDescent="0.25">
      <c r="M694" s="46"/>
      <c r="N694" s="46"/>
      <c r="O694" s="46"/>
      <c r="P694" s="46"/>
      <c r="R694" s="15">
        <v>7.0000000000000007E-2</v>
      </c>
      <c r="S694" s="18">
        <f>(Tabela224[[#This Row],[FRETE]]+Tabela224[[#This Row],[DESPESAS]]+Tabela224[[#This Row],[IPI]]+Tabela224[[#This Row],[Vl. Produto]])*Tabela224[[#This Row],[Aliq.%]]</f>
        <v>0</v>
      </c>
    </row>
    <row r="695" spans="13:19" x14ac:dyDescent="0.25">
      <c r="M695" s="46"/>
      <c r="N695" s="46"/>
      <c r="O695" s="46"/>
      <c r="P695" s="46"/>
      <c r="R695" s="15">
        <v>7.0000000000000007E-2</v>
      </c>
      <c r="S695" s="18">
        <f>(Tabela224[[#This Row],[FRETE]]+Tabela224[[#This Row],[DESPESAS]]+Tabela224[[#This Row],[IPI]]+Tabela224[[#This Row],[Vl. Produto]])*Tabela224[[#This Row],[Aliq.%]]</f>
        <v>0</v>
      </c>
    </row>
    <row r="696" spans="13:19" x14ac:dyDescent="0.25">
      <c r="M696" s="46"/>
      <c r="N696" s="46"/>
      <c r="O696" s="46"/>
      <c r="P696" s="46"/>
      <c r="R696" s="15">
        <v>7.0000000000000007E-2</v>
      </c>
      <c r="S696" s="18">
        <f>(Tabela224[[#This Row],[FRETE]]+Tabela224[[#This Row],[DESPESAS]]+Tabela224[[#This Row],[IPI]]+Tabela224[[#This Row],[Vl. Produto]])*Tabela224[[#This Row],[Aliq.%]]</f>
        <v>0</v>
      </c>
    </row>
    <row r="697" spans="13:19" x14ac:dyDescent="0.25">
      <c r="M697" s="46"/>
      <c r="N697" s="46"/>
      <c r="O697" s="46"/>
      <c r="P697" s="46"/>
      <c r="R697" s="15">
        <v>7.0000000000000007E-2</v>
      </c>
      <c r="S697" s="18">
        <f>(Tabela224[[#This Row],[FRETE]]+Tabela224[[#This Row],[DESPESAS]]+Tabela224[[#This Row],[IPI]]+Tabela224[[#This Row],[Vl. Produto]])*Tabela224[[#This Row],[Aliq.%]]</f>
        <v>0</v>
      </c>
    </row>
    <row r="698" spans="13:19" x14ac:dyDescent="0.25">
      <c r="M698" s="46"/>
      <c r="N698" s="46"/>
      <c r="O698" s="46"/>
      <c r="P698" s="46"/>
      <c r="R698" s="15">
        <v>7.0000000000000007E-2</v>
      </c>
      <c r="S698" s="18">
        <f>(Tabela224[[#This Row],[FRETE]]+Tabela224[[#This Row],[DESPESAS]]+Tabela224[[#This Row],[IPI]]+Tabela224[[#This Row],[Vl. Produto]])*Tabela224[[#This Row],[Aliq.%]]</f>
        <v>0</v>
      </c>
    </row>
    <row r="699" spans="13:19" x14ac:dyDescent="0.25">
      <c r="M699" s="46"/>
      <c r="N699" s="46"/>
      <c r="O699" s="46"/>
      <c r="P699" s="46"/>
      <c r="R699" s="15">
        <v>7.0000000000000007E-2</v>
      </c>
      <c r="S699" s="18">
        <f>(Tabela224[[#This Row],[FRETE]]+Tabela224[[#This Row],[DESPESAS]]+Tabela224[[#This Row],[IPI]]+Tabela224[[#This Row],[Vl. Produto]])*Tabela224[[#This Row],[Aliq.%]]</f>
        <v>0</v>
      </c>
    </row>
    <row r="700" spans="13:19" x14ac:dyDescent="0.25">
      <c r="M700" s="46"/>
      <c r="N700" s="46"/>
      <c r="O700" s="46"/>
      <c r="P700" s="46"/>
      <c r="R700" s="15">
        <v>7.0000000000000007E-2</v>
      </c>
      <c r="S700" s="18">
        <f>(Tabela224[[#This Row],[FRETE]]+Tabela224[[#This Row],[DESPESAS]]+Tabela224[[#This Row],[IPI]]+Tabela224[[#This Row],[Vl. Produto]])*Tabela224[[#This Row],[Aliq.%]]</f>
        <v>0</v>
      </c>
    </row>
    <row r="701" spans="13:19" x14ac:dyDescent="0.25">
      <c r="M701" s="46"/>
      <c r="N701" s="46"/>
      <c r="O701" s="46"/>
      <c r="P701" s="46"/>
      <c r="R701" s="15">
        <v>7.0000000000000007E-2</v>
      </c>
      <c r="S701" s="18">
        <f>(Tabela224[[#This Row],[FRETE]]+Tabela224[[#This Row],[DESPESAS]]+Tabela224[[#This Row],[IPI]]+Tabela224[[#This Row],[Vl. Produto]])*Tabela224[[#This Row],[Aliq.%]]</f>
        <v>0</v>
      </c>
    </row>
    <row r="702" spans="13:19" x14ac:dyDescent="0.25">
      <c r="M702" s="46"/>
      <c r="N702" s="46"/>
      <c r="O702" s="46"/>
      <c r="P702" s="46"/>
      <c r="R702" s="15">
        <v>7.0000000000000007E-2</v>
      </c>
      <c r="S702" s="18">
        <f>(Tabela224[[#This Row],[FRETE]]+Tabela224[[#This Row],[DESPESAS]]+Tabela224[[#This Row],[IPI]]+Tabela224[[#This Row],[Vl. Produto]])*Tabela224[[#This Row],[Aliq.%]]</f>
        <v>0</v>
      </c>
    </row>
    <row r="703" spans="13:19" x14ac:dyDescent="0.25">
      <c r="M703" s="46"/>
      <c r="N703" s="46"/>
      <c r="O703" s="46"/>
      <c r="P703" s="46"/>
      <c r="R703" s="15">
        <v>7.0000000000000007E-2</v>
      </c>
      <c r="S703" s="18">
        <f>(Tabela224[[#This Row],[FRETE]]+Tabela224[[#This Row],[DESPESAS]]+Tabela224[[#This Row],[IPI]]+Tabela224[[#This Row],[Vl. Produto]])*Tabela224[[#This Row],[Aliq.%]]</f>
        <v>0</v>
      </c>
    </row>
    <row r="704" spans="13:19" x14ac:dyDescent="0.25">
      <c r="M704" s="46"/>
      <c r="N704" s="46"/>
      <c r="O704" s="46"/>
      <c r="P704" s="46"/>
      <c r="R704" s="15">
        <v>7.0000000000000007E-2</v>
      </c>
      <c r="S704" s="18">
        <f>(Tabela224[[#This Row],[FRETE]]+Tabela224[[#This Row],[DESPESAS]]+Tabela224[[#This Row],[IPI]]+Tabela224[[#This Row],[Vl. Produto]])*Tabela224[[#This Row],[Aliq.%]]</f>
        <v>0</v>
      </c>
    </row>
    <row r="705" spans="13:19" x14ac:dyDescent="0.25">
      <c r="M705" s="46"/>
      <c r="N705" s="46"/>
      <c r="O705" s="46"/>
      <c r="P705" s="46"/>
      <c r="R705" s="15">
        <v>7.0000000000000007E-2</v>
      </c>
      <c r="S705" s="18">
        <f>(Tabela224[[#This Row],[FRETE]]+Tabela224[[#This Row],[DESPESAS]]+Tabela224[[#This Row],[IPI]]+Tabela224[[#This Row],[Vl. Produto]])*Tabela224[[#This Row],[Aliq.%]]</f>
        <v>0</v>
      </c>
    </row>
    <row r="706" spans="13:19" x14ac:dyDescent="0.25">
      <c r="M706" s="46"/>
      <c r="N706" s="46"/>
      <c r="O706" s="46"/>
      <c r="P706" s="46"/>
      <c r="R706" s="15">
        <v>7.0000000000000007E-2</v>
      </c>
      <c r="S706" s="18">
        <f>(Tabela224[[#This Row],[FRETE]]+Tabela224[[#This Row],[DESPESAS]]+Tabela224[[#This Row],[IPI]]+Tabela224[[#This Row],[Vl. Produto]])*Tabela224[[#This Row],[Aliq.%]]</f>
        <v>0</v>
      </c>
    </row>
    <row r="707" spans="13:19" x14ac:dyDescent="0.25">
      <c r="M707" s="46"/>
      <c r="N707" s="46"/>
      <c r="O707" s="46"/>
      <c r="P707" s="46"/>
      <c r="R707" s="15">
        <v>7.0000000000000007E-2</v>
      </c>
      <c r="S707" s="18">
        <f>(Tabela224[[#This Row],[FRETE]]+Tabela224[[#This Row],[DESPESAS]]+Tabela224[[#This Row],[IPI]]+Tabela224[[#This Row],[Vl. Produto]])*Tabela224[[#This Row],[Aliq.%]]</f>
        <v>0</v>
      </c>
    </row>
    <row r="708" spans="13:19" x14ac:dyDescent="0.25">
      <c r="M708" s="46"/>
      <c r="N708" s="46"/>
      <c r="O708" s="46"/>
      <c r="P708" s="46"/>
      <c r="R708" s="15">
        <v>7.0000000000000007E-2</v>
      </c>
      <c r="S708" s="18">
        <f>(Tabela224[[#This Row],[FRETE]]+Tabela224[[#This Row],[DESPESAS]]+Tabela224[[#This Row],[IPI]]+Tabela224[[#This Row],[Vl. Produto]])*Tabela224[[#This Row],[Aliq.%]]</f>
        <v>0</v>
      </c>
    </row>
    <row r="709" spans="13:19" x14ac:dyDescent="0.25">
      <c r="M709" s="46"/>
      <c r="N709" s="46"/>
      <c r="O709" s="46"/>
      <c r="P709" s="46"/>
      <c r="R709" s="15">
        <v>7.0000000000000007E-2</v>
      </c>
      <c r="S709" s="18">
        <f>(Tabela224[[#This Row],[FRETE]]+Tabela224[[#This Row],[DESPESAS]]+Tabela224[[#This Row],[IPI]]+Tabela224[[#This Row],[Vl. Produto]])*Tabela224[[#This Row],[Aliq.%]]</f>
        <v>0</v>
      </c>
    </row>
    <row r="710" spans="13:19" x14ac:dyDescent="0.25">
      <c r="M710" s="46"/>
      <c r="N710" s="46"/>
      <c r="O710" s="46"/>
      <c r="P710" s="46"/>
      <c r="R710" s="15">
        <v>7.0000000000000007E-2</v>
      </c>
      <c r="S710" s="18">
        <f>(Tabela224[[#This Row],[FRETE]]+Tabela224[[#This Row],[DESPESAS]]+Tabela224[[#This Row],[IPI]]+Tabela224[[#This Row],[Vl. Produto]])*Tabela224[[#This Row],[Aliq.%]]</f>
        <v>0</v>
      </c>
    </row>
    <row r="711" spans="13:19" x14ac:dyDescent="0.25">
      <c r="M711" s="46"/>
      <c r="N711" s="46"/>
      <c r="O711" s="46"/>
      <c r="P711" s="46"/>
      <c r="R711" s="15">
        <v>7.0000000000000007E-2</v>
      </c>
      <c r="S711" s="18">
        <f>(Tabela224[[#This Row],[FRETE]]+Tabela224[[#This Row],[DESPESAS]]+Tabela224[[#This Row],[IPI]]+Tabela224[[#This Row],[Vl. Produto]])*Tabela224[[#This Row],[Aliq.%]]</f>
        <v>0</v>
      </c>
    </row>
    <row r="712" spans="13:19" x14ac:dyDescent="0.25">
      <c r="M712" s="46"/>
      <c r="N712" s="46"/>
      <c r="O712" s="46"/>
      <c r="P712" s="46"/>
      <c r="R712" s="15">
        <v>7.0000000000000007E-2</v>
      </c>
      <c r="S712" s="18">
        <f>(Tabela224[[#This Row],[FRETE]]+Tabela224[[#This Row],[DESPESAS]]+Tabela224[[#This Row],[IPI]]+Tabela224[[#This Row],[Vl. Produto]])*Tabela224[[#This Row],[Aliq.%]]</f>
        <v>0</v>
      </c>
    </row>
    <row r="713" spans="13:19" x14ac:dyDescent="0.25">
      <c r="M713" s="46"/>
      <c r="N713" s="46"/>
      <c r="O713" s="46"/>
      <c r="P713" s="46"/>
      <c r="R713" s="15">
        <v>7.0000000000000007E-2</v>
      </c>
      <c r="S713" s="18">
        <f>(Tabela224[[#This Row],[FRETE]]+Tabela224[[#This Row],[DESPESAS]]+Tabela224[[#This Row],[IPI]]+Tabela224[[#This Row],[Vl. Produto]])*Tabela224[[#This Row],[Aliq.%]]</f>
        <v>0</v>
      </c>
    </row>
    <row r="714" spans="13:19" x14ac:dyDescent="0.25">
      <c r="M714" s="46"/>
      <c r="N714" s="46"/>
      <c r="O714" s="46"/>
      <c r="P714" s="46"/>
      <c r="R714" s="15">
        <v>7.0000000000000007E-2</v>
      </c>
      <c r="S714" s="18">
        <f>(Tabela224[[#This Row],[FRETE]]+Tabela224[[#This Row],[DESPESAS]]+Tabela224[[#This Row],[IPI]]+Tabela224[[#This Row],[Vl. Produto]])*Tabela224[[#This Row],[Aliq.%]]</f>
        <v>0</v>
      </c>
    </row>
    <row r="715" spans="13:19" x14ac:dyDescent="0.25">
      <c r="M715" s="46"/>
      <c r="N715" s="46"/>
      <c r="O715" s="46"/>
      <c r="P715" s="46"/>
      <c r="R715" s="15">
        <v>7.0000000000000007E-2</v>
      </c>
      <c r="S715" s="18">
        <f>(Tabela224[[#This Row],[FRETE]]+Tabela224[[#This Row],[DESPESAS]]+Tabela224[[#This Row],[IPI]]+Tabela224[[#This Row],[Vl. Produto]])*Tabela224[[#This Row],[Aliq.%]]</f>
        <v>0</v>
      </c>
    </row>
    <row r="716" spans="13:19" x14ac:dyDescent="0.25">
      <c r="M716" s="46"/>
      <c r="N716" s="46"/>
      <c r="O716" s="46"/>
      <c r="P716" s="46"/>
      <c r="R716" s="15">
        <v>7.0000000000000007E-2</v>
      </c>
      <c r="S716" s="18">
        <f>(Tabela224[[#This Row],[FRETE]]+Tabela224[[#This Row],[DESPESAS]]+Tabela224[[#This Row],[IPI]]+Tabela224[[#This Row],[Vl. Produto]])*Tabela224[[#This Row],[Aliq.%]]</f>
        <v>0</v>
      </c>
    </row>
    <row r="717" spans="13:19" x14ac:dyDescent="0.25">
      <c r="M717" s="46"/>
      <c r="N717" s="46"/>
      <c r="O717" s="46"/>
      <c r="P717" s="46"/>
      <c r="R717" s="15">
        <v>7.0000000000000007E-2</v>
      </c>
      <c r="S717" s="18">
        <f>(Tabela224[[#This Row],[FRETE]]+Tabela224[[#This Row],[DESPESAS]]+Tabela224[[#This Row],[IPI]]+Tabela224[[#This Row],[Vl. Produto]])*Tabela224[[#This Row],[Aliq.%]]</f>
        <v>0</v>
      </c>
    </row>
    <row r="718" spans="13:19" x14ac:dyDescent="0.25">
      <c r="M718" s="46"/>
      <c r="N718" s="46"/>
      <c r="O718" s="46"/>
      <c r="P718" s="46"/>
      <c r="R718" s="15">
        <v>7.0000000000000007E-2</v>
      </c>
      <c r="S718" s="18">
        <f>(Tabela224[[#This Row],[FRETE]]+Tabela224[[#This Row],[DESPESAS]]+Tabela224[[#This Row],[IPI]]+Tabela224[[#This Row],[Vl. Produto]])*Tabela224[[#This Row],[Aliq.%]]</f>
        <v>0</v>
      </c>
    </row>
    <row r="719" spans="13:19" x14ac:dyDescent="0.25">
      <c r="M719" s="46"/>
      <c r="N719" s="46"/>
      <c r="O719" s="46"/>
      <c r="P719" s="46"/>
      <c r="R719" s="15">
        <v>7.0000000000000007E-2</v>
      </c>
      <c r="S719" s="18">
        <f>(Tabela224[[#This Row],[FRETE]]+Tabela224[[#This Row],[DESPESAS]]+Tabela224[[#This Row],[IPI]]+Tabela224[[#This Row],[Vl. Produto]])*Tabela224[[#This Row],[Aliq.%]]</f>
        <v>0</v>
      </c>
    </row>
    <row r="720" spans="13:19" x14ac:dyDescent="0.25">
      <c r="M720" s="46"/>
      <c r="N720" s="46"/>
      <c r="O720" s="46"/>
      <c r="P720" s="46"/>
      <c r="R720" s="15">
        <v>7.0000000000000007E-2</v>
      </c>
      <c r="S720" s="18">
        <f>(Tabela224[[#This Row],[FRETE]]+Tabela224[[#This Row],[DESPESAS]]+Tabela224[[#This Row],[IPI]]+Tabela224[[#This Row],[Vl. Produto]])*Tabela224[[#This Row],[Aliq.%]]</f>
        <v>0</v>
      </c>
    </row>
    <row r="721" spans="13:19" x14ac:dyDescent="0.25">
      <c r="M721" s="46"/>
      <c r="N721" s="46"/>
      <c r="O721" s="46"/>
      <c r="P721" s="46"/>
      <c r="R721" s="15">
        <v>7.0000000000000007E-2</v>
      </c>
      <c r="S721" s="18">
        <f>(Tabela224[[#This Row],[FRETE]]+Tabela224[[#This Row],[DESPESAS]]+Tabela224[[#This Row],[IPI]]+Tabela224[[#This Row],[Vl. Produto]])*Tabela224[[#This Row],[Aliq.%]]</f>
        <v>0</v>
      </c>
    </row>
    <row r="722" spans="13:19" x14ac:dyDescent="0.25">
      <c r="M722" s="46"/>
      <c r="N722" s="46"/>
      <c r="O722" s="46"/>
      <c r="P722" s="46"/>
      <c r="R722" s="15">
        <v>7.0000000000000007E-2</v>
      </c>
      <c r="S722" s="18">
        <f>(Tabela224[[#This Row],[FRETE]]+Tabela224[[#This Row],[DESPESAS]]+Tabela224[[#This Row],[IPI]]+Tabela224[[#This Row],[Vl. Produto]])*Tabela224[[#This Row],[Aliq.%]]</f>
        <v>0</v>
      </c>
    </row>
    <row r="723" spans="13:19" x14ac:dyDescent="0.25">
      <c r="M723" s="46"/>
      <c r="N723" s="46"/>
      <c r="O723" s="46"/>
      <c r="P723" s="46"/>
      <c r="R723" s="15">
        <v>7.0000000000000007E-2</v>
      </c>
      <c r="S723" s="18">
        <f>(Tabela224[[#This Row],[FRETE]]+Tabela224[[#This Row],[DESPESAS]]+Tabela224[[#This Row],[IPI]]+Tabela224[[#This Row],[Vl. Produto]])*Tabela224[[#This Row],[Aliq.%]]</f>
        <v>0</v>
      </c>
    </row>
    <row r="724" spans="13:19" x14ac:dyDescent="0.25">
      <c r="M724" s="46"/>
      <c r="N724" s="46"/>
      <c r="O724" s="46"/>
      <c r="P724" s="46"/>
      <c r="R724" s="15">
        <v>7.0000000000000007E-2</v>
      </c>
      <c r="S724" s="18">
        <f>(Tabela224[[#This Row],[FRETE]]+Tabela224[[#This Row],[DESPESAS]]+Tabela224[[#This Row],[IPI]]+Tabela224[[#This Row],[Vl. Produto]])*Tabela224[[#This Row],[Aliq.%]]</f>
        <v>0</v>
      </c>
    </row>
    <row r="725" spans="13:19" x14ac:dyDescent="0.25">
      <c r="M725" s="46"/>
      <c r="N725" s="46"/>
      <c r="O725" s="46"/>
      <c r="P725" s="46"/>
      <c r="R725" s="15">
        <v>7.0000000000000007E-2</v>
      </c>
      <c r="S725" s="18">
        <f>(Tabela224[[#This Row],[FRETE]]+Tabela224[[#This Row],[DESPESAS]]+Tabela224[[#This Row],[IPI]]+Tabela224[[#This Row],[Vl. Produto]])*Tabela224[[#This Row],[Aliq.%]]</f>
        <v>0</v>
      </c>
    </row>
    <row r="726" spans="13:19" x14ac:dyDescent="0.25">
      <c r="M726" s="46"/>
      <c r="N726" s="46"/>
      <c r="O726" s="46"/>
      <c r="P726" s="46"/>
      <c r="R726" s="15">
        <v>7.0000000000000007E-2</v>
      </c>
      <c r="S726" s="18">
        <f>(Tabela224[[#This Row],[FRETE]]+Tabela224[[#This Row],[DESPESAS]]+Tabela224[[#This Row],[IPI]]+Tabela224[[#This Row],[Vl. Produto]])*Tabela224[[#This Row],[Aliq.%]]</f>
        <v>0</v>
      </c>
    </row>
    <row r="727" spans="13:19" x14ac:dyDescent="0.25">
      <c r="M727" s="46"/>
      <c r="N727" s="46"/>
      <c r="O727" s="46"/>
      <c r="P727" s="46"/>
      <c r="R727" s="15">
        <v>7.0000000000000007E-2</v>
      </c>
      <c r="S727" s="18">
        <f>(Tabela224[[#This Row],[FRETE]]+Tabela224[[#This Row],[DESPESAS]]+Tabela224[[#This Row],[IPI]]+Tabela224[[#This Row],[Vl. Produto]])*Tabela224[[#This Row],[Aliq.%]]</f>
        <v>0</v>
      </c>
    </row>
    <row r="728" spans="13:19" x14ac:dyDescent="0.25">
      <c r="M728" s="46"/>
      <c r="N728" s="46"/>
      <c r="O728" s="46"/>
      <c r="P728" s="46"/>
      <c r="R728" s="15">
        <v>7.0000000000000007E-2</v>
      </c>
      <c r="S728" s="18">
        <f>(Tabela224[[#This Row],[FRETE]]+Tabela224[[#This Row],[DESPESAS]]+Tabela224[[#This Row],[IPI]]+Tabela224[[#This Row],[Vl. Produto]])*Tabela224[[#This Row],[Aliq.%]]</f>
        <v>0</v>
      </c>
    </row>
    <row r="729" spans="13:19" x14ac:dyDescent="0.25">
      <c r="M729" s="46"/>
      <c r="N729" s="46"/>
      <c r="O729" s="46"/>
      <c r="P729" s="46"/>
      <c r="R729" s="15">
        <v>7.0000000000000007E-2</v>
      </c>
      <c r="S729" s="18">
        <f>(Tabela224[[#This Row],[FRETE]]+Tabela224[[#This Row],[DESPESAS]]+Tabela224[[#This Row],[IPI]]+Tabela224[[#This Row],[Vl. Produto]])*Tabela224[[#This Row],[Aliq.%]]</f>
        <v>0</v>
      </c>
    </row>
    <row r="730" spans="13:19" x14ac:dyDescent="0.25">
      <c r="M730" s="46"/>
      <c r="N730" s="46"/>
      <c r="O730" s="46"/>
      <c r="P730" s="46"/>
      <c r="R730" s="15">
        <v>7.0000000000000007E-2</v>
      </c>
      <c r="S730" s="18">
        <f>(Tabela224[[#This Row],[FRETE]]+Tabela224[[#This Row],[DESPESAS]]+Tabela224[[#This Row],[IPI]]+Tabela224[[#This Row],[Vl. Produto]])*Tabela224[[#This Row],[Aliq.%]]</f>
        <v>0</v>
      </c>
    </row>
    <row r="731" spans="13:19" x14ac:dyDescent="0.25">
      <c r="M731" s="46"/>
      <c r="N731" s="46"/>
      <c r="O731" s="46"/>
      <c r="P731" s="46"/>
      <c r="R731" s="15">
        <v>7.0000000000000007E-2</v>
      </c>
      <c r="S731" s="18">
        <f>(Tabela224[[#This Row],[FRETE]]+Tabela224[[#This Row],[DESPESAS]]+Tabela224[[#This Row],[IPI]]+Tabela224[[#This Row],[Vl. Produto]])*Tabela224[[#This Row],[Aliq.%]]</f>
        <v>0</v>
      </c>
    </row>
    <row r="732" spans="13:19" x14ac:dyDescent="0.25">
      <c r="M732" s="46"/>
      <c r="N732" s="46"/>
      <c r="O732" s="46"/>
      <c r="P732" s="46"/>
      <c r="R732" s="15">
        <v>7.0000000000000007E-2</v>
      </c>
      <c r="S732" s="18">
        <f>(Tabela224[[#This Row],[FRETE]]+Tabela224[[#This Row],[DESPESAS]]+Tabela224[[#This Row],[IPI]]+Tabela224[[#This Row],[Vl. Produto]])*Tabela224[[#This Row],[Aliq.%]]</f>
        <v>0</v>
      </c>
    </row>
    <row r="733" spans="13:19" x14ac:dyDescent="0.25">
      <c r="M733" s="46"/>
      <c r="N733" s="46"/>
      <c r="O733" s="46"/>
      <c r="P733" s="46"/>
      <c r="R733" s="15">
        <v>7.0000000000000007E-2</v>
      </c>
      <c r="S733" s="18">
        <f>(Tabela224[[#This Row],[FRETE]]+Tabela224[[#This Row],[DESPESAS]]+Tabela224[[#This Row],[IPI]]+Tabela224[[#This Row],[Vl. Produto]])*Tabela224[[#This Row],[Aliq.%]]</f>
        <v>0</v>
      </c>
    </row>
    <row r="734" spans="13:19" x14ac:dyDescent="0.25">
      <c r="M734" s="46"/>
      <c r="N734" s="46"/>
      <c r="O734" s="46"/>
      <c r="P734" s="46"/>
      <c r="R734" s="15">
        <v>7.0000000000000007E-2</v>
      </c>
      <c r="S734" s="18">
        <f>(Tabela224[[#This Row],[FRETE]]+Tabela224[[#This Row],[DESPESAS]]+Tabela224[[#This Row],[IPI]]+Tabela224[[#This Row],[Vl. Produto]])*Tabela224[[#This Row],[Aliq.%]]</f>
        <v>0</v>
      </c>
    </row>
    <row r="735" spans="13:19" x14ac:dyDescent="0.25">
      <c r="M735" s="46"/>
      <c r="N735" s="46"/>
      <c r="O735" s="46"/>
      <c r="P735" s="46"/>
      <c r="R735" s="15">
        <v>7.0000000000000007E-2</v>
      </c>
      <c r="S735" s="18">
        <f>(Tabela224[[#This Row],[FRETE]]+Tabela224[[#This Row],[DESPESAS]]+Tabela224[[#This Row],[IPI]]+Tabela224[[#This Row],[Vl. Produto]])*Tabela224[[#This Row],[Aliq.%]]</f>
        <v>0</v>
      </c>
    </row>
    <row r="736" spans="13:19" x14ac:dyDescent="0.25">
      <c r="M736" s="46"/>
      <c r="N736" s="46"/>
      <c r="O736" s="46"/>
      <c r="P736" s="46"/>
      <c r="R736" s="15">
        <v>7.0000000000000007E-2</v>
      </c>
      <c r="S736" s="18">
        <f>(Tabela224[[#This Row],[FRETE]]+Tabela224[[#This Row],[DESPESAS]]+Tabela224[[#This Row],[IPI]]+Tabela224[[#This Row],[Vl. Produto]])*Tabela224[[#This Row],[Aliq.%]]</f>
        <v>0</v>
      </c>
    </row>
    <row r="737" spans="13:19" x14ac:dyDescent="0.25">
      <c r="M737" s="46"/>
      <c r="N737" s="46"/>
      <c r="O737" s="46"/>
      <c r="P737" s="46"/>
      <c r="R737" s="15">
        <v>7.0000000000000007E-2</v>
      </c>
      <c r="S737" s="18">
        <f>(Tabela224[[#This Row],[FRETE]]+Tabela224[[#This Row],[DESPESAS]]+Tabela224[[#This Row],[IPI]]+Tabela224[[#This Row],[Vl. Produto]])*Tabela224[[#This Row],[Aliq.%]]</f>
        <v>0</v>
      </c>
    </row>
    <row r="738" spans="13:19" x14ac:dyDescent="0.25">
      <c r="M738" s="46"/>
      <c r="N738" s="46"/>
      <c r="O738" s="46"/>
      <c r="P738" s="46"/>
      <c r="R738" s="15">
        <v>7.0000000000000007E-2</v>
      </c>
      <c r="S738" s="18">
        <f>(Tabela224[[#This Row],[FRETE]]+Tabela224[[#This Row],[DESPESAS]]+Tabela224[[#This Row],[IPI]]+Tabela224[[#This Row],[Vl. Produto]])*Tabela224[[#This Row],[Aliq.%]]</f>
        <v>0</v>
      </c>
    </row>
    <row r="739" spans="13:19" x14ac:dyDescent="0.25">
      <c r="M739" s="46"/>
      <c r="N739" s="46"/>
      <c r="O739" s="46"/>
      <c r="P739" s="46"/>
      <c r="R739" s="15">
        <v>7.0000000000000007E-2</v>
      </c>
      <c r="S739" s="18">
        <f>(Tabela224[[#This Row],[FRETE]]+Tabela224[[#This Row],[DESPESAS]]+Tabela224[[#This Row],[IPI]]+Tabela224[[#This Row],[Vl. Produto]])*Tabela224[[#This Row],[Aliq.%]]</f>
        <v>0</v>
      </c>
    </row>
    <row r="740" spans="13:19" x14ac:dyDescent="0.25">
      <c r="M740" s="46"/>
      <c r="N740" s="46"/>
      <c r="O740" s="46"/>
      <c r="P740" s="46"/>
      <c r="R740" s="15">
        <v>7.0000000000000007E-2</v>
      </c>
      <c r="S740" s="18">
        <f>(Tabela224[[#This Row],[FRETE]]+Tabela224[[#This Row],[DESPESAS]]+Tabela224[[#This Row],[IPI]]+Tabela224[[#This Row],[Vl. Produto]])*Tabela224[[#This Row],[Aliq.%]]</f>
        <v>0</v>
      </c>
    </row>
    <row r="741" spans="13:19" x14ac:dyDescent="0.25">
      <c r="M741" s="46"/>
      <c r="N741" s="46"/>
      <c r="O741" s="46"/>
      <c r="P741" s="46"/>
      <c r="R741" s="15">
        <v>7.0000000000000007E-2</v>
      </c>
      <c r="S741" s="18">
        <f>(Tabela224[[#This Row],[FRETE]]+Tabela224[[#This Row],[DESPESAS]]+Tabela224[[#This Row],[IPI]]+Tabela224[[#This Row],[Vl. Produto]])*Tabela224[[#This Row],[Aliq.%]]</f>
        <v>0</v>
      </c>
    </row>
    <row r="742" spans="13:19" x14ac:dyDescent="0.25">
      <c r="M742" s="46"/>
      <c r="N742" s="46"/>
      <c r="O742" s="46"/>
      <c r="P742" s="46"/>
      <c r="R742" s="15">
        <v>7.0000000000000007E-2</v>
      </c>
      <c r="S742" s="18">
        <f>(Tabela224[[#This Row],[FRETE]]+Tabela224[[#This Row],[DESPESAS]]+Tabela224[[#This Row],[IPI]]+Tabela224[[#This Row],[Vl. Produto]])*Tabela224[[#This Row],[Aliq.%]]</f>
        <v>0</v>
      </c>
    </row>
    <row r="743" spans="13:19" x14ac:dyDescent="0.25">
      <c r="M743" s="46"/>
      <c r="N743" s="46"/>
      <c r="O743" s="46"/>
      <c r="P743" s="46"/>
      <c r="R743" s="15">
        <v>7.0000000000000007E-2</v>
      </c>
      <c r="S743" s="18">
        <f>(Tabela224[[#This Row],[FRETE]]+Tabela224[[#This Row],[DESPESAS]]+Tabela224[[#This Row],[IPI]]+Tabela224[[#This Row],[Vl. Produto]])*Tabela224[[#This Row],[Aliq.%]]</f>
        <v>0</v>
      </c>
    </row>
    <row r="744" spans="13:19" x14ac:dyDescent="0.25">
      <c r="M744" s="46"/>
      <c r="N744" s="46"/>
      <c r="O744" s="46"/>
      <c r="P744" s="46"/>
      <c r="R744" s="15">
        <v>7.0000000000000007E-2</v>
      </c>
      <c r="S744" s="18">
        <f>(Tabela224[[#This Row],[FRETE]]+Tabela224[[#This Row],[DESPESAS]]+Tabela224[[#This Row],[IPI]]+Tabela224[[#This Row],[Vl. Produto]])*Tabela224[[#This Row],[Aliq.%]]</f>
        <v>0</v>
      </c>
    </row>
    <row r="745" spans="13:19" x14ac:dyDescent="0.25">
      <c r="M745" s="46"/>
      <c r="N745" s="46"/>
      <c r="O745" s="46"/>
      <c r="P745" s="46"/>
      <c r="R745" s="15">
        <v>7.0000000000000007E-2</v>
      </c>
      <c r="S745" s="18">
        <f>(Tabela224[[#This Row],[FRETE]]+Tabela224[[#This Row],[DESPESAS]]+Tabela224[[#This Row],[IPI]]+Tabela224[[#This Row],[Vl. Produto]])*Tabela224[[#This Row],[Aliq.%]]</f>
        <v>0</v>
      </c>
    </row>
    <row r="746" spans="13:19" x14ac:dyDescent="0.25">
      <c r="M746" s="46"/>
      <c r="N746" s="46"/>
      <c r="O746" s="46"/>
      <c r="P746" s="46"/>
      <c r="R746" s="15">
        <v>7.0000000000000007E-2</v>
      </c>
      <c r="S746" s="18">
        <f>(Tabela224[[#This Row],[FRETE]]+Tabela224[[#This Row],[DESPESAS]]+Tabela224[[#This Row],[IPI]]+Tabela224[[#This Row],[Vl. Produto]])*Tabela224[[#This Row],[Aliq.%]]</f>
        <v>0</v>
      </c>
    </row>
    <row r="747" spans="13:19" x14ac:dyDescent="0.25">
      <c r="M747" s="46"/>
      <c r="N747" s="46"/>
      <c r="O747" s="46"/>
      <c r="P747" s="46"/>
      <c r="R747" s="15">
        <v>7.0000000000000007E-2</v>
      </c>
      <c r="S747" s="18">
        <f>(Tabela224[[#This Row],[FRETE]]+Tabela224[[#This Row],[DESPESAS]]+Tabela224[[#This Row],[IPI]]+Tabela224[[#This Row],[Vl. Produto]])*Tabela224[[#This Row],[Aliq.%]]</f>
        <v>0</v>
      </c>
    </row>
    <row r="748" spans="13:19" x14ac:dyDescent="0.25">
      <c r="M748" s="46"/>
      <c r="N748" s="46"/>
      <c r="O748" s="46"/>
      <c r="P748" s="46"/>
      <c r="R748" s="15">
        <v>7.0000000000000007E-2</v>
      </c>
      <c r="S748" s="18">
        <f>(Tabela224[[#This Row],[FRETE]]+Tabela224[[#This Row],[DESPESAS]]+Tabela224[[#This Row],[IPI]]+Tabela224[[#This Row],[Vl. Produto]])*Tabela224[[#This Row],[Aliq.%]]</f>
        <v>0</v>
      </c>
    </row>
    <row r="749" spans="13:19" x14ac:dyDescent="0.25">
      <c r="M749" s="46"/>
      <c r="N749" s="46"/>
      <c r="O749" s="46"/>
      <c r="P749" s="46"/>
      <c r="R749" s="15">
        <v>7.0000000000000007E-2</v>
      </c>
      <c r="S749" s="18">
        <f>(Tabela224[[#This Row],[FRETE]]+Tabela224[[#This Row],[DESPESAS]]+Tabela224[[#This Row],[IPI]]+Tabela224[[#This Row],[Vl. Produto]])*Tabela224[[#This Row],[Aliq.%]]</f>
        <v>0</v>
      </c>
    </row>
    <row r="750" spans="13:19" x14ac:dyDescent="0.25">
      <c r="M750" s="46"/>
      <c r="N750" s="46"/>
      <c r="O750" s="46"/>
      <c r="P750" s="46"/>
      <c r="R750" s="15">
        <v>7.0000000000000007E-2</v>
      </c>
      <c r="S750" s="18">
        <f>(Tabela224[[#This Row],[FRETE]]+Tabela224[[#This Row],[DESPESAS]]+Tabela224[[#This Row],[IPI]]+Tabela224[[#This Row],[Vl. Produto]])*Tabela224[[#This Row],[Aliq.%]]</f>
        <v>0</v>
      </c>
    </row>
    <row r="751" spans="13:19" x14ac:dyDescent="0.25">
      <c r="M751" s="46"/>
      <c r="N751" s="46"/>
      <c r="O751" s="46"/>
      <c r="P751" s="46"/>
      <c r="R751" s="15">
        <v>7.0000000000000007E-2</v>
      </c>
      <c r="S751" s="18">
        <f>(Tabela224[[#This Row],[FRETE]]+Tabela224[[#This Row],[DESPESAS]]+Tabela224[[#This Row],[IPI]]+Tabela224[[#This Row],[Vl. Produto]])*Tabela224[[#This Row],[Aliq.%]]</f>
        <v>0</v>
      </c>
    </row>
    <row r="752" spans="13:19" x14ac:dyDescent="0.25">
      <c r="M752" s="46"/>
      <c r="N752" s="46"/>
      <c r="O752" s="46"/>
      <c r="P752" s="46"/>
      <c r="R752" s="15">
        <v>7.0000000000000007E-2</v>
      </c>
      <c r="S752" s="18">
        <f>(Tabela224[[#This Row],[FRETE]]+Tabela224[[#This Row],[DESPESAS]]+Tabela224[[#This Row],[IPI]]+Tabela224[[#This Row],[Vl. Produto]])*Tabela224[[#This Row],[Aliq.%]]</f>
        <v>0</v>
      </c>
    </row>
    <row r="753" spans="13:19" x14ac:dyDescent="0.25">
      <c r="M753" s="46"/>
      <c r="N753" s="46"/>
      <c r="O753" s="46"/>
      <c r="P753" s="46"/>
      <c r="R753" s="15">
        <v>7.0000000000000007E-2</v>
      </c>
      <c r="S753" s="18">
        <f>(Tabela224[[#This Row],[FRETE]]+Tabela224[[#This Row],[DESPESAS]]+Tabela224[[#This Row],[IPI]]+Tabela224[[#This Row],[Vl. Produto]])*Tabela224[[#This Row],[Aliq.%]]</f>
        <v>0</v>
      </c>
    </row>
    <row r="754" spans="13:19" x14ac:dyDescent="0.25">
      <c r="M754" s="46"/>
      <c r="N754" s="46"/>
      <c r="O754" s="46"/>
      <c r="P754" s="46"/>
      <c r="R754" s="15">
        <v>7.0000000000000007E-2</v>
      </c>
      <c r="S754" s="18">
        <f>(Tabela224[[#This Row],[FRETE]]+Tabela224[[#This Row],[DESPESAS]]+Tabela224[[#This Row],[IPI]]+Tabela224[[#This Row],[Vl. Produto]])*Tabela224[[#This Row],[Aliq.%]]</f>
        <v>0</v>
      </c>
    </row>
    <row r="755" spans="13:19" x14ac:dyDescent="0.25">
      <c r="M755" s="46"/>
      <c r="N755" s="46"/>
      <c r="O755" s="46"/>
      <c r="P755" s="46"/>
      <c r="R755" s="15">
        <v>7.0000000000000007E-2</v>
      </c>
      <c r="S755" s="18">
        <f>(Tabela224[[#This Row],[FRETE]]+Tabela224[[#This Row],[DESPESAS]]+Tabela224[[#This Row],[IPI]]+Tabela224[[#This Row],[Vl. Produto]])*Tabela224[[#This Row],[Aliq.%]]</f>
        <v>0</v>
      </c>
    </row>
    <row r="756" spans="13:19" x14ac:dyDescent="0.25">
      <c r="M756" s="46"/>
      <c r="N756" s="46"/>
      <c r="O756" s="46"/>
      <c r="P756" s="46"/>
      <c r="R756" s="15">
        <v>7.0000000000000007E-2</v>
      </c>
      <c r="S756" s="18">
        <f>(Tabela224[[#This Row],[FRETE]]+Tabela224[[#This Row],[DESPESAS]]+Tabela224[[#This Row],[IPI]]+Tabela224[[#This Row],[Vl. Produto]])*Tabela224[[#This Row],[Aliq.%]]</f>
        <v>0</v>
      </c>
    </row>
    <row r="757" spans="13:19" x14ac:dyDescent="0.25">
      <c r="M757" s="46"/>
      <c r="N757" s="46"/>
      <c r="O757" s="46"/>
      <c r="P757" s="46"/>
      <c r="R757" s="15">
        <v>7.0000000000000007E-2</v>
      </c>
      <c r="S757" s="18">
        <f>(Tabela224[[#This Row],[FRETE]]+Tabela224[[#This Row],[DESPESAS]]+Tabela224[[#This Row],[IPI]]+Tabela224[[#This Row],[Vl. Produto]])*Tabela224[[#This Row],[Aliq.%]]</f>
        <v>0</v>
      </c>
    </row>
    <row r="758" spans="13:19" x14ac:dyDescent="0.25">
      <c r="M758" s="46"/>
      <c r="N758" s="46"/>
      <c r="O758" s="46"/>
      <c r="P758" s="46"/>
      <c r="R758" s="15">
        <v>7.0000000000000007E-2</v>
      </c>
      <c r="S758" s="18">
        <f>(Tabela224[[#This Row],[FRETE]]+Tabela224[[#This Row],[DESPESAS]]+Tabela224[[#This Row],[IPI]]+Tabela224[[#This Row],[Vl. Produto]])*Tabela224[[#This Row],[Aliq.%]]</f>
        <v>0</v>
      </c>
    </row>
    <row r="759" spans="13:19" x14ac:dyDescent="0.25">
      <c r="M759" s="46"/>
      <c r="N759" s="46"/>
      <c r="O759" s="46"/>
      <c r="P759" s="46"/>
      <c r="R759" s="15">
        <v>7.0000000000000007E-2</v>
      </c>
      <c r="S759" s="18">
        <f>(Tabela224[[#This Row],[FRETE]]+Tabela224[[#This Row],[DESPESAS]]+Tabela224[[#This Row],[IPI]]+Tabela224[[#This Row],[Vl. Produto]])*Tabela224[[#This Row],[Aliq.%]]</f>
        <v>0</v>
      </c>
    </row>
    <row r="760" spans="13:19" x14ac:dyDescent="0.25">
      <c r="M760" s="46"/>
      <c r="N760" s="46"/>
      <c r="O760" s="46"/>
      <c r="P760" s="46"/>
      <c r="R760" s="15">
        <v>7.0000000000000007E-2</v>
      </c>
      <c r="S760" s="18">
        <f>(Tabela224[[#This Row],[FRETE]]+Tabela224[[#This Row],[DESPESAS]]+Tabela224[[#This Row],[IPI]]+Tabela224[[#This Row],[Vl. Produto]])*Tabela224[[#This Row],[Aliq.%]]</f>
        <v>0</v>
      </c>
    </row>
    <row r="761" spans="13:19" x14ac:dyDescent="0.25">
      <c r="M761" s="46"/>
      <c r="N761" s="46"/>
      <c r="O761" s="46"/>
      <c r="P761" s="46"/>
      <c r="R761" s="15">
        <v>7.0000000000000007E-2</v>
      </c>
      <c r="S761" s="18">
        <f>(Tabela224[[#This Row],[FRETE]]+Tabela224[[#This Row],[DESPESAS]]+Tabela224[[#This Row],[IPI]]+Tabela224[[#This Row],[Vl. Produto]])*Tabela224[[#This Row],[Aliq.%]]</f>
        <v>0</v>
      </c>
    </row>
    <row r="762" spans="13:19" x14ac:dyDescent="0.25">
      <c r="M762" s="46"/>
      <c r="N762" s="46"/>
      <c r="O762" s="46"/>
      <c r="P762" s="46"/>
      <c r="R762" s="15">
        <v>7.0000000000000007E-2</v>
      </c>
      <c r="S762" s="18">
        <f>(Tabela224[[#This Row],[FRETE]]+Tabela224[[#This Row],[DESPESAS]]+Tabela224[[#This Row],[IPI]]+Tabela224[[#This Row],[Vl. Produto]])*Tabela224[[#This Row],[Aliq.%]]</f>
        <v>0</v>
      </c>
    </row>
    <row r="763" spans="13:19" x14ac:dyDescent="0.25">
      <c r="M763" s="46"/>
      <c r="N763" s="46"/>
      <c r="O763" s="46"/>
      <c r="P763" s="46"/>
      <c r="R763" s="15">
        <v>7.0000000000000007E-2</v>
      </c>
      <c r="S763" s="18">
        <f>(Tabela224[[#This Row],[FRETE]]+Tabela224[[#This Row],[DESPESAS]]+Tabela224[[#This Row],[IPI]]+Tabela224[[#This Row],[Vl. Produto]])*Tabela224[[#This Row],[Aliq.%]]</f>
        <v>0</v>
      </c>
    </row>
    <row r="764" spans="13:19" x14ac:dyDescent="0.25">
      <c r="M764" s="46"/>
      <c r="N764" s="46"/>
      <c r="O764" s="46"/>
      <c r="P764" s="46"/>
      <c r="R764" s="15">
        <v>7.0000000000000007E-2</v>
      </c>
      <c r="S764" s="18">
        <f>(Tabela224[[#This Row],[FRETE]]+Tabela224[[#This Row],[DESPESAS]]+Tabela224[[#This Row],[IPI]]+Tabela224[[#This Row],[Vl. Produto]])*Tabela224[[#This Row],[Aliq.%]]</f>
        <v>0</v>
      </c>
    </row>
    <row r="765" spans="13:19" x14ac:dyDescent="0.25">
      <c r="M765" s="46"/>
      <c r="N765" s="46"/>
      <c r="O765" s="46"/>
      <c r="P765" s="46"/>
      <c r="R765" s="15">
        <v>7.0000000000000007E-2</v>
      </c>
      <c r="S765" s="18">
        <f>(Tabela224[[#This Row],[FRETE]]+Tabela224[[#This Row],[DESPESAS]]+Tabela224[[#This Row],[IPI]]+Tabela224[[#This Row],[Vl. Produto]])*Tabela224[[#This Row],[Aliq.%]]</f>
        <v>0</v>
      </c>
    </row>
    <row r="766" spans="13:19" x14ac:dyDescent="0.25">
      <c r="M766" s="46"/>
      <c r="N766" s="46"/>
      <c r="O766" s="46"/>
      <c r="P766" s="46"/>
      <c r="R766" s="15">
        <v>7.0000000000000007E-2</v>
      </c>
      <c r="S766" s="18">
        <f>(Tabela224[[#This Row],[FRETE]]+Tabela224[[#This Row],[DESPESAS]]+Tabela224[[#This Row],[IPI]]+Tabela224[[#This Row],[Vl. Produto]])*Tabela224[[#This Row],[Aliq.%]]</f>
        <v>0</v>
      </c>
    </row>
    <row r="767" spans="13:19" x14ac:dyDescent="0.25">
      <c r="M767" s="46"/>
      <c r="N767" s="46"/>
      <c r="O767" s="46"/>
      <c r="P767" s="46"/>
      <c r="R767" s="15">
        <v>7.0000000000000007E-2</v>
      </c>
      <c r="S767" s="18">
        <f>(Tabela224[[#This Row],[FRETE]]+Tabela224[[#This Row],[DESPESAS]]+Tabela224[[#This Row],[IPI]]+Tabela224[[#This Row],[Vl. Produto]])*Tabela224[[#This Row],[Aliq.%]]</f>
        <v>0</v>
      </c>
    </row>
    <row r="768" spans="13:19" x14ac:dyDescent="0.25">
      <c r="M768" s="46"/>
      <c r="N768" s="46"/>
      <c r="O768" s="46"/>
      <c r="P768" s="46"/>
      <c r="R768" s="15">
        <v>7.0000000000000007E-2</v>
      </c>
      <c r="S768" s="18">
        <f>(Tabela224[[#This Row],[FRETE]]+Tabela224[[#This Row],[DESPESAS]]+Tabela224[[#This Row],[IPI]]+Tabela224[[#This Row],[Vl. Produto]])*Tabela224[[#This Row],[Aliq.%]]</f>
        <v>0</v>
      </c>
    </row>
    <row r="769" spans="13:19" x14ac:dyDescent="0.25">
      <c r="M769" s="46"/>
      <c r="N769" s="46"/>
      <c r="O769" s="46"/>
      <c r="P769" s="46"/>
      <c r="R769" s="15">
        <v>7.0000000000000007E-2</v>
      </c>
      <c r="S769" s="18">
        <f>(Tabela224[[#This Row],[FRETE]]+Tabela224[[#This Row],[DESPESAS]]+Tabela224[[#This Row],[IPI]]+Tabela224[[#This Row],[Vl. Produto]])*Tabela224[[#This Row],[Aliq.%]]</f>
        <v>0</v>
      </c>
    </row>
    <row r="770" spans="13:19" x14ac:dyDescent="0.25">
      <c r="M770" s="46"/>
      <c r="N770" s="46"/>
      <c r="O770" s="46"/>
      <c r="P770" s="46"/>
      <c r="R770" s="15">
        <v>7.0000000000000007E-2</v>
      </c>
      <c r="S770" s="18">
        <f>(Tabela224[[#This Row],[FRETE]]+Tabela224[[#This Row],[DESPESAS]]+Tabela224[[#This Row],[IPI]]+Tabela224[[#This Row],[Vl. Produto]])*Tabela224[[#This Row],[Aliq.%]]</f>
        <v>0</v>
      </c>
    </row>
    <row r="771" spans="13:19" x14ac:dyDescent="0.25">
      <c r="M771" s="46"/>
      <c r="N771" s="46"/>
      <c r="O771" s="46"/>
      <c r="P771" s="46"/>
      <c r="R771" s="15">
        <v>7.0000000000000007E-2</v>
      </c>
      <c r="S771" s="18">
        <f>(Tabela224[[#This Row],[FRETE]]+Tabela224[[#This Row],[DESPESAS]]+Tabela224[[#This Row],[IPI]]+Tabela224[[#This Row],[Vl. Produto]])*Tabela224[[#This Row],[Aliq.%]]</f>
        <v>0</v>
      </c>
    </row>
    <row r="772" spans="13:19" x14ac:dyDescent="0.25">
      <c r="M772" s="46"/>
      <c r="N772" s="46"/>
      <c r="O772" s="46"/>
      <c r="P772" s="46"/>
      <c r="R772" s="15">
        <v>7.0000000000000007E-2</v>
      </c>
      <c r="S772" s="18">
        <f>(Tabela224[[#This Row],[FRETE]]+Tabela224[[#This Row],[DESPESAS]]+Tabela224[[#This Row],[IPI]]+Tabela224[[#This Row],[Vl. Produto]])*Tabela224[[#This Row],[Aliq.%]]</f>
        <v>0</v>
      </c>
    </row>
    <row r="773" spans="13:19" x14ac:dyDescent="0.25">
      <c r="M773" s="46"/>
      <c r="N773" s="46"/>
      <c r="O773" s="46"/>
      <c r="P773" s="46"/>
      <c r="R773" s="15">
        <v>7.0000000000000007E-2</v>
      </c>
      <c r="S773" s="18">
        <f>(Tabela224[[#This Row],[FRETE]]+Tabela224[[#This Row],[DESPESAS]]+Tabela224[[#This Row],[IPI]]+Tabela224[[#This Row],[Vl. Produto]])*Tabela224[[#This Row],[Aliq.%]]</f>
        <v>0</v>
      </c>
    </row>
    <row r="774" spans="13:19" x14ac:dyDescent="0.25">
      <c r="M774" s="46"/>
      <c r="N774" s="46"/>
      <c r="O774" s="46"/>
      <c r="P774" s="46"/>
      <c r="R774" s="15">
        <v>7.0000000000000007E-2</v>
      </c>
      <c r="S774" s="18">
        <f>(Tabela224[[#This Row],[FRETE]]+Tabela224[[#This Row],[DESPESAS]]+Tabela224[[#This Row],[IPI]]+Tabela224[[#This Row],[Vl. Produto]])*Tabela224[[#This Row],[Aliq.%]]</f>
        <v>0</v>
      </c>
    </row>
    <row r="775" spans="13:19" x14ac:dyDescent="0.25">
      <c r="M775" s="46"/>
      <c r="N775" s="46"/>
      <c r="O775" s="46"/>
      <c r="P775" s="46"/>
      <c r="R775" s="15">
        <v>7.0000000000000007E-2</v>
      </c>
      <c r="S775" s="18">
        <f>(Tabela224[[#This Row],[FRETE]]+Tabela224[[#This Row],[DESPESAS]]+Tabela224[[#This Row],[IPI]]+Tabela224[[#This Row],[Vl. Produto]])*Tabela224[[#This Row],[Aliq.%]]</f>
        <v>0</v>
      </c>
    </row>
    <row r="776" spans="13:19" x14ac:dyDescent="0.25">
      <c r="M776" s="46"/>
      <c r="N776" s="46"/>
      <c r="O776" s="46"/>
      <c r="P776" s="46"/>
      <c r="R776" s="15">
        <v>7.0000000000000007E-2</v>
      </c>
      <c r="S776" s="18">
        <f>(Tabela224[[#This Row],[FRETE]]+Tabela224[[#This Row],[DESPESAS]]+Tabela224[[#This Row],[IPI]]+Tabela224[[#This Row],[Vl. Produto]])*Tabela224[[#This Row],[Aliq.%]]</f>
        <v>0</v>
      </c>
    </row>
    <row r="777" spans="13:19" x14ac:dyDescent="0.25">
      <c r="M777" s="46"/>
      <c r="N777" s="46"/>
      <c r="O777" s="46"/>
      <c r="P777" s="46"/>
      <c r="R777" s="15">
        <v>7.0000000000000007E-2</v>
      </c>
      <c r="S777" s="18">
        <f>(Tabela224[[#This Row],[FRETE]]+Tabela224[[#This Row],[DESPESAS]]+Tabela224[[#This Row],[IPI]]+Tabela224[[#This Row],[Vl. Produto]])*Tabela224[[#This Row],[Aliq.%]]</f>
        <v>0</v>
      </c>
    </row>
    <row r="778" spans="13:19" x14ac:dyDescent="0.25">
      <c r="M778" s="46"/>
      <c r="N778" s="46"/>
      <c r="O778" s="46"/>
      <c r="P778" s="46"/>
      <c r="R778" s="15">
        <v>7.0000000000000007E-2</v>
      </c>
      <c r="S778" s="18">
        <f>(Tabela224[[#This Row],[FRETE]]+Tabela224[[#This Row],[DESPESAS]]+Tabela224[[#This Row],[IPI]]+Tabela224[[#This Row],[Vl. Produto]])*Tabela224[[#This Row],[Aliq.%]]</f>
        <v>0</v>
      </c>
    </row>
    <row r="779" spans="13:19" x14ac:dyDescent="0.25">
      <c r="M779" s="46"/>
      <c r="N779" s="46"/>
      <c r="O779" s="46"/>
      <c r="P779" s="46"/>
      <c r="R779" s="15">
        <v>7.0000000000000007E-2</v>
      </c>
      <c r="S779" s="18">
        <f>(Tabela224[[#This Row],[FRETE]]+Tabela224[[#This Row],[DESPESAS]]+Tabela224[[#This Row],[IPI]]+Tabela224[[#This Row],[Vl. Produto]])*Tabela224[[#This Row],[Aliq.%]]</f>
        <v>0</v>
      </c>
    </row>
    <row r="780" spans="13:19" x14ac:dyDescent="0.25">
      <c r="M780" s="46"/>
      <c r="N780" s="46"/>
      <c r="O780" s="46"/>
      <c r="P780" s="46"/>
      <c r="R780" s="15">
        <v>7.0000000000000007E-2</v>
      </c>
      <c r="S780" s="18">
        <f>(Tabela224[[#This Row],[FRETE]]+Tabela224[[#This Row],[DESPESAS]]+Tabela224[[#This Row],[IPI]]+Tabela224[[#This Row],[Vl. Produto]])*Tabela224[[#This Row],[Aliq.%]]</f>
        <v>0</v>
      </c>
    </row>
    <row r="781" spans="13:19" x14ac:dyDescent="0.25">
      <c r="M781" s="46"/>
      <c r="N781" s="46"/>
      <c r="O781" s="46"/>
      <c r="P781" s="46"/>
      <c r="R781" s="15">
        <v>7.0000000000000007E-2</v>
      </c>
      <c r="S781" s="18">
        <f>(Tabela224[[#This Row],[FRETE]]+Tabela224[[#This Row],[DESPESAS]]+Tabela224[[#This Row],[IPI]]+Tabela224[[#This Row],[Vl. Produto]])*Tabela224[[#This Row],[Aliq.%]]</f>
        <v>0</v>
      </c>
    </row>
    <row r="782" spans="13:19" x14ac:dyDescent="0.25">
      <c r="M782" s="46"/>
      <c r="N782" s="46"/>
      <c r="O782" s="46"/>
      <c r="P782" s="46"/>
      <c r="R782" s="15">
        <v>7.0000000000000007E-2</v>
      </c>
      <c r="S782" s="18">
        <f>(Tabela224[[#This Row],[FRETE]]+Tabela224[[#This Row],[DESPESAS]]+Tabela224[[#This Row],[IPI]]+Tabela224[[#This Row],[Vl. Produto]])*Tabela224[[#This Row],[Aliq.%]]</f>
        <v>0</v>
      </c>
    </row>
    <row r="783" spans="13:19" x14ac:dyDescent="0.25">
      <c r="M783" s="46"/>
      <c r="N783" s="46"/>
      <c r="O783" s="46"/>
      <c r="P783" s="46"/>
      <c r="R783" s="15">
        <v>7.0000000000000007E-2</v>
      </c>
      <c r="S783" s="18">
        <f>(Tabela224[[#This Row],[FRETE]]+Tabela224[[#This Row],[DESPESAS]]+Tabela224[[#This Row],[IPI]]+Tabela224[[#This Row],[Vl. Produto]])*Tabela224[[#This Row],[Aliq.%]]</f>
        <v>0</v>
      </c>
    </row>
    <row r="784" spans="13:19" x14ac:dyDescent="0.25">
      <c r="M784" s="46"/>
      <c r="N784" s="46"/>
      <c r="O784" s="46"/>
      <c r="P784" s="46"/>
      <c r="R784" s="15">
        <v>7.0000000000000007E-2</v>
      </c>
      <c r="S784" s="18">
        <f>(Tabela224[[#This Row],[FRETE]]+Tabela224[[#This Row],[DESPESAS]]+Tabela224[[#This Row],[IPI]]+Tabela224[[#This Row],[Vl. Produto]])*Tabela224[[#This Row],[Aliq.%]]</f>
        <v>0</v>
      </c>
    </row>
    <row r="785" spans="13:19" x14ac:dyDescent="0.25">
      <c r="M785" s="46"/>
      <c r="N785" s="46"/>
      <c r="O785" s="46"/>
      <c r="P785" s="46"/>
      <c r="R785" s="15">
        <v>7.0000000000000007E-2</v>
      </c>
      <c r="S785" s="18">
        <f>(Tabela224[[#This Row],[FRETE]]+Tabela224[[#This Row],[DESPESAS]]+Tabela224[[#This Row],[IPI]]+Tabela224[[#This Row],[Vl. Produto]])*Tabela224[[#This Row],[Aliq.%]]</f>
        <v>0</v>
      </c>
    </row>
    <row r="786" spans="13:19" x14ac:dyDescent="0.25">
      <c r="M786" s="46"/>
      <c r="N786" s="46"/>
      <c r="O786" s="46"/>
      <c r="P786" s="46"/>
      <c r="R786" s="15">
        <v>7.0000000000000007E-2</v>
      </c>
      <c r="S786" s="18">
        <f>(Tabela224[[#This Row],[FRETE]]+Tabela224[[#This Row],[DESPESAS]]+Tabela224[[#This Row],[IPI]]+Tabela224[[#This Row],[Vl. Produto]])*Tabela224[[#This Row],[Aliq.%]]</f>
        <v>0</v>
      </c>
    </row>
    <row r="787" spans="13:19" x14ac:dyDescent="0.25">
      <c r="M787" s="46"/>
      <c r="N787" s="46"/>
      <c r="O787" s="46"/>
      <c r="P787" s="46"/>
      <c r="R787" s="15">
        <v>7.0000000000000007E-2</v>
      </c>
      <c r="S787" s="18">
        <f>(Tabela224[[#This Row],[FRETE]]+Tabela224[[#This Row],[DESPESAS]]+Tabela224[[#This Row],[IPI]]+Tabela224[[#This Row],[Vl. Produto]])*Tabela224[[#This Row],[Aliq.%]]</f>
        <v>0</v>
      </c>
    </row>
    <row r="788" spans="13:19" x14ac:dyDescent="0.25">
      <c r="M788" s="46"/>
      <c r="N788" s="46"/>
      <c r="O788" s="46"/>
      <c r="P788" s="46"/>
      <c r="R788" s="15">
        <v>7.0000000000000007E-2</v>
      </c>
      <c r="S788" s="18">
        <f>(Tabela224[[#This Row],[FRETE]]+Tabela224[[#This Row],[DESPESAS]]+Tabela224[[#This Row],[IPI]]+Tabela224[[#This Row],[Vl. Produto]])*Tabela224[[#This Row],[Aliq.%]]</f>
        <v>0</v>
      </c>
    </row>
    <row r="789" spans="13:19" x14ac:dyDescent="0.25">
      <c r="M789" s="46"/>
      <c r="N789" s="46"/>
      <c r="O789" s="46"/>
      <c r="P789" s="46"/>
      <c r="R789" s="15">
        <v>7.0000000000000007E-2</v>
      </c>
      <c r="S789" s="18">
        <f>(Tabela224[[#This Row],[FRETE]]+Tabela224[[#This Row],[DESPESAS]]+Tabela224[[#This Row],[IPI]]+Tabela224[[#This Row],[Vl. Produto]])*Tabela224[[#This Row],[Aliq.%]]</f>
        <v>0</v>
      </c>
    </row>
    <row r="790" spans="13:19" x14ac:dyDescent="0.25">
      <c r="M790" s="46"/>
      <c r="N790" s="46"/>
      <c r="O790" s="46"/>
      <c r="P790" s="46"/>
      <c r="R790" s="15">
        <v>7.0000000000000007E-2</v>
      </c>
      <c r="S790" s="18">
        <f>(Tabela224[[#This Row],[FRETE]]+Tabela224[[#This Row],[DESPESAS]]+Tabela224[[#This Row],[IPI]]+Tabela224[[#This Row],[Vl. Produto]])*Tabela224[[#This Row],[Aliq.%]]</f>
        <v>0</v>
      </c>
    </row>
    <row r="791" spans="13:19" x14ac:dyDescent="0.25">
      <c r="M791" s="46"/>
      <c r="N791" s="46"/>
      <c r="O791" s="46"/>
      <c r="P791" s="46"/>
      <c r="R791" s="15">
        <v>7.0000000000000007E-2</v>
      </c>
      <c r="S791" s="18">
        <f>(Tabela224[[#This Row],[FRETE]]+Tabela224[[#This Row],[DESPESAS]]+Tabela224[[#This Row],[IPI]]+Tabela224[[#This Row],[Vl. Produto]])*Tabela224[[#This Row],[Aliq.%]]</f>
        <v>0</v>
      </c>
    </row>
    <row r="792" spans="13:19" x14ac:dyDescent="0.25">
      <c r="M792" s="46"/>
      <c r="N792" s="46"/>
      <c r="O792" s="46"/>
      <c r="P792" s="46"/>
      <c r="R792" s="15">
        <v>7.0000000000000007E-2</v>
      </c>
      <c r="S792" s="18">
        <f>(Tabela224[[#This Row],[FRETE]]+Tabela224[[#This Row],[DESPESAS]]+Tabela224[[#This Row],[IPI]]+Tabela224[[#This Row],[Vl. Produto]])*Tabela224[[#This Row],[Aliq.%]]</f>
        <v>0</v>
      </c>
    </row>
    <row r="793" spans="13:19" x14ac:dyDescent="0.25">
      <c r="M793" s="46"/>
      <c r="N793" s="46"/>
      <c r="O793" s="46"/>
      <c r="P793" s="46"/>
      <c r="R793" s="15">
        <v>7.0000000000000007E-2</v>
      </c>
      <c r="S793" s="18">
        <f>(Tabela224[[#This Row],[FRETE]]+Tabela224[[#This Row],[DESPESAS]]+Tabela224[[#This Row],[IPI]]+Tabela224[[#This Row],[Vl. Produto]])*Tabela224[[#This Row],[Aliq.%]]</f>
        <v>0</v>
      </c>
    </row>
    <row r="794" spans="13:19" x14ac:dyDescent="0.25">
      <c r="M794" s="46"/>
      <c r="N794" s="46"/>
      <c r="O794" s="46"/>
      <c r="P794" s="46"/>
      <c r="R794" s="15">
        <v>7.0000000000000007E-2</v>
      </c>
      <c r="S794" s="18">
        <f>(Tabela224[[#This Row],[FRETE]]+Tabela224[[#This Row],[DESPESAS]]+Tabela224[[#This Row],[IPI]]+Tabela224[[#This Row],[Vl. Produto]])*Tabela224[[#This Row],[Aliq.%]]</f>
        <v>0</v>
      </c>
    </row>
    <row r="795" spans="13:19" x14ac:dyDescent="0.25">
      <c r="M795" s="46"/>
      <c r="N795" s="46"/>
      <c r="O795" s="46"/>
      <c r="P795" s="46"/>
      <c r="R795" s="15">
        <v>7.0000000000000007E-2</v>
      </c>
      <c r="S795" s="18">
        <f>(Tabela224[[#This Row],[FRETE]]+Tabela224[[#This Row],[DESPESAS]]+Tabela224[[#This Row],[IPI]]+Tabela224[[#This Row],[Vl. Produto]])*Tabela224[[#This Row],[Aliq.%]]</f>
        <v>0</v>
      </c>
    </row>
    <row r="796" spans="13:19" x14ac:dyDescent="0.25">
      <c r="M796" s="46"/>
      <c r="N796" s="46"/>
      <c r="O796" s="46"/>
      <c r="P796" s="46"/>
      <c r="R796" s="15">
        <v>7.0000000000000007E-2</v>
      </c>
      <c r="S796" s="18">
        <f>(Tabela224[[#This Row],[FRETE]]+Tabela224[[#This Row],[DESPESAS]]+Tabela224[[#This Row],[IPI]]+Tabela224[[#This Row],[Vl. Produto]])*Tabela224[[#This Row],[Aliq.%]]</f>
        <v>0</v>
      </c>
    </row>
    <row r="797" spans="13:19" x14ac:dyDescent="0.25">
      <c r="M797" s="46"/>
      <c r="N797" s="46"/>
      <c r="O797" s="46"/>
      <c r="P797" s="46"/>
      <c r="R797" s="15">
        <v>7.0000000000000007E-2</v>
      </c>
      <c r="S797" s="18">
        <f>(Tabela224[[#This Row],[FRETE]]+Tabela224[[#This Row],[DESPESAS]]+Tabela224[[#This Row],[IPI]]+Tabela224[[#This Row],[Vl. Produto]])*Tabela224[[#This Row],[Aliq.%]]</f>
        <v>0</v>
      </c>
    </row>
    <row r="798" spans="13:19" x14ac:dyDescent="0.25">
      <c r="M798" s="46"/>
      <c r="N798" s="46"/>
      <c r="O798" s="46"/>
      <c r="P798" s="46"/>
      <c r="R798" s="15">
        <v>7.0000000000000007E-2</v>
      </c>
      <c r="S798" s="18">
        <f>(Tabela224[[#This Row],[FRETE]]+Tabela224[[#This Row],[DESPESAS]]+Tabela224[[#This Row],[IPI]]+Tabela224[[#This Row],[Vl. Produto]])*Tabela224[[#This Row],[Aliq.%]]</f>
        <v>0</v>
      </c>
    </row>
    <row r="799" spans="13:19" x14ac:dyDescent="0.25">
      <c r="M799" s="46"/>
      <c r="N799" s="46"/>
      <c r="O799" s="46"/>
      <c r="P799" s="46"/>
      <c r="R799" s="15">
        <v>7.0000000000000007E-2</v>
      </c>
      <c r="S799" s="18">
        <f>(Tabela224[[#This Row],[FRETE]]+Tabela224[[#This Row],[DESPESAS]]+Tabela224[[#This Row],[IPI]]+Tabela224[[#This Row],[Vl. Produto]])*Tabela224[[#This Row],[Aliq.%]]</f>
        <v>0</v>
      </c>
    </row>
    <row r="800" spans="13:19" x14ac:dyDescent="0.25">
      <c r="M800" s="46"/>
      <c r="N800" s="46"/>
      <c r="O800" s="46"/>
      <c r="P800" s="46"/>
      <c r="R800" s="15">
        <v>7.0000000000000007E-2</v>
      </c>
      <c r="S800" s="18">
        <f>(Tabela224[[#This Row],[FRETE]]+Tabela224[[#This Row],[DESPESAS]]+Tabela224[[#This Row],[IPI]]+Tabela224[[#This Row],[Vl. Produto]])*Tabela224[[#This Row],[Aliq.%]]</f>
        <v>0</v>
      </c>
    </row>
    <row r="801" spans="13:19" x14ac:dyDescent="0.25">
      <c r="M801" s="46"/>
      <c r="N801" s="46"/>
      <c r="O801" s="46"/>
      <c r="P801" s="46"/>
      <c r="R801" s="15">
        <v>7.0000000000000007E-2</v>
      </c>
      <c r="S801" s="18">
        <f>(Tabela224[[#This Row],[FRETE]]+Tabela224[[#This Row],[DESPESAS]]+Tabela224[[#This Row],[IPI]]+Tabela224[[#This Row],[Vl. Produto]])*Tabela224[[#This Row],[Aliq.%]]</f>
        <v>0</v>
      </c>
    </row>
    <row r="802" spans="13:19" x14ac:dyDescent="0.25">
      <c r="M802" s="46"/>
      <c r="N802" s="46"/>
      <c r="O802" s="46"/>
      <c r="P802" s="46"/>
      <c r="R802" s="15">
        <v>7.0000000000000007E-2</v>
      </c>
      <c r="S802" s="18">
        <f>(Tabela224[[#This Row],[FRETE]]+Tabela224[[#This Row],[DESPESAS]]+Tabela224[[#This Row],[IPI]]+Tabela224[[#This Row],[Vl. Produto]])*Tabela224[[#This Row],[Aliq.%]]</f>
        <v>0</v>
      </c>
    </row>
    <row r="803" spans="13:19" x14ac:dyDescent="0.25">
      <c r="M803" s="46"/>
      <c r="N803" s="46"/>
      <c r="O803" s="46"/>
      <c r="P803" s="46"/>
      <c r="R803" s="15">
        <v>7.0000000000000007E-2</v>
      </c>
      <c r="S803" s="18">
        <f>(Tabela224[[#This Row],[FRETE]]+Tabela224[[#This Row],[DESPESAS]]+Tabela224[[#This Row],[IPI]]+Tabela224[[#This Row],[Vl. Produto]])*Tabela224[[#This Row],[Aliq.%]]</f>
        <v>0</v>
      </c>
    </row>
    <row r="804" spans="13:19" x14ac:dyDescent="0.25">
      <c r="M804" s="46"/>
      <c r="N804" s="46"/>
      <c r="O804" s="46"/>
      <c r="P804" s="46"/>
      <c r="R804" s="15">
        <v>7.0000000000000007E-2</v>
      </c>
      <c r="S804" s="18">
        <f>(Tabela224[[#This Row],[FRETE]]+Tabela224[[#This Row],[DESPESAS]]+Tabela224[[#This Row],[IPI]]+Tabela224[[#This Row],[Vl. Produto]])*Tabela224[[#This Row],[Aliq.%]]</f>
        <v>0</v>
      </c>
    </row>
    <row r="805" spans="13:19" x14ac:dyDescent="0.25">
      <c r="M805" s="46"/>
      <c r="N805" s="46"/>
      <c r="O805" s="46"/>
      <c r="P805" s="46"/>
      <c r="R805" s="15">
        <v>7.0000000000000007E-2</v>
      </c>
      <c r="S805" s="18">
        <f>(Tabela224[[#This Row],[FRETE]]+Tabela224[[#This Row],[DESPESAS]]+Tabela224[[#This Row],[IPI]]+Tabela224[[#This Row],[Vl. Produto]])*Tabela224[[#This Row],[Aliq.%]]</f>
        <v>0</v>
      </c>
    </row>
    <row r="806" spans="13:19" x14ac:dyDescent="0.25">
      <c r="M806" s="46"/>
      <c r="N806" s="46"/>
      <c r="O806" s="46"/>
      <c r="P806" s="46"/>
      <c r="R806" s="15">
        <v>7.0000000000000007E-2</v>
      </c>
      <c r="S806" s="18">
        <f>(Tabela224[[#This Row],[FRETE]]+Tabela224[[#This Row],[DESPESAS]]+Tabela224[[#This Row],[IPI]]+Tabela224[[#This Row],[Vl. Produto]])*Tabela224[[#This Row],[Aliq.%]]</f>
        <v>0</v>
      </c>
    </row>
    <row r="807" spans="13:19" x14ac:dyDescent="0.25">
      <c r="M807" s="46"/>
      <c r="N807" s="46"/>
      <c r="O807" s="46"/>
      <c r="P807" s="46"/>
      <c r="R807" s="15">
        <v>7.0000000000000007E-2</v>
      </c>
      <c r="S807" s="18">
        <f>(Tabela224[[#This Row],[FRETE]]+Tabela224[[#This Row],[DESPESAS]]+Tabela224[[#This Row],[IPI]]+Tabela224[[#This Row],[Vl. Produto]])*Tabela224[[#This Row],[Aliq.%]]</f>
        <v>0</v>
      </c>
    </row>
    <row r="808" spans="13:19" x14ac:dyDescent="0.25">
      <c r="M808" s="46"/>
      <c r="N808" s="46"/>
      <c r="O808" s="46"/>
      <c r="P808" s="46"/>
      <c r="R808" s="15">
        <v>7.0000000000000007E-2</v>
      </c>
      <c r="S808" s="18">
        <f>(Tabela224[[#This Row],[FRETE]]+Tabela224[[#This Row],[DESPESAS]]+Tabela224[[#This Row],[IPI]]+Tabela224[[#This Row],[Vl. Produto]])*Tabela224[[#This Row],[Aliq.%]]</f>
        <v>0</v>
      </c>
    </row>
    <row r="809" spans="13:19" x14ac:dyDescent="0.25">
      <c r="M809" s="46"/>
      <c r="N809" s="46"/>
      <c r="O809" s="46"/>
      <c r="P809" s="46"/>
      <c r="R809" s="15">
        <v>7.0000000000000007E-2</v>
      </c>
      <c r="S809" s="18">
        <f>(Tabela224[[#This Row],[FRETE]]+Tabela224[[#This Row],[DESPESAS]]+Tabela224[[#This Row],[IPI]]+Tabela224[[#This Row],[Vl. Produto]])*Tabela224[[#This Row],[Aliq.%]]</f>
        <v>0</v>
      </c>
    </row>
    <row r="810" spans="13:19" x14ac:dyDescent="0.25">
      <c r="M810" s="46"/>
      <c r="N810" s="46"/>
      <c r="O810" s="46"/>
      <c r="P810" s="46"/>
      <c r="R810" s="15">
        <v>7.0000000000000007E-2</v>
      </c>
      <c r="S810" s="18">
        <f>(Tabela224[[#This Row],[FRETE]]+Tabela224[[#This Row],[DESPESAS]]+Tabela224[[#This Row],[IPI]]+Tabela224[[#This Row],[Vl. Produto]])*Tabela224[[#This Row],[Aliq.%]]</f>
        <v>0</v>
      </c>
    </row>
    <row r="811" spans="13:19" x14ac:dyDescent="0.25">
      <c r="M811" s="46"/>
      <c r="N811" s="46"/>
      <c r="O811" s="46"/>
      <c r="P811" s="46"/>
      <c r="R811" s="15">
        <v>7.0000000000000007E-2</v>
      </c>
      <c r="S811" s="18">
        <f>(Tabela224[[#This Row],[FRETE]]+Tabela224[[#This Row],[DESPESAS]]+Tabela224[[#This Row],[IPI]]+Tabela224[[#This Row],[Vl. Produto]])*Tabela224[[#This Row],[Aliq.%]]</f>
        <v>0</v>
      </c>
    </row>
    <row r="812" spans="13:19" x14ac:dyDescent="0.25">
      <c r="M812" s="46"/>
      <c r="N812" s="46"/>
      <c r="O812" s="46"/>
      <c r="P812" s="46"/>
      <c r="R812" s="15">
        <v>7.0000000000000007E-2</v>
      </c>
      <c r="S812" s="18">
        <f>(Tabela224[[#This Row],[FRETE]]+Tabela224[[#This Row],[DESPESAS]]+Tabela224[[#This Row],[IPI]]+Tabela224[[#This Row],[Vl. Produto]])*Tabela224[[#This Row],[Aliq.%]]</f>
        <v>0</v>
      </c>
    </row>
    <row r="813" spans="13:19" x14ac:dyDescent="0.25">
      <c r="M813" s="46"/>
      <c r="N813" s="46"/>
      <c r="O813" s="46"/>
      <c r="P813" s="46"/>
      <c r="R813" s="15">
        <v>7.0000000000000007E-2</v>
      </c>
      <c r="S813" s="18">
        <f>(Tabela224[[#This Row],[FRETE]]+Tabela224[[#This Row],[DESPESAS]]+Tabela224[[#This Row],[IPI]]+Tabela224[[#This Row],[Vl. Produto]])*Tabela224[[#This Row],[Aliq.%]]</f>
        <v>0</v>
      </c>
    </row>
    <row r="814" spans="13:19" x14ac:dyDescent="0.25">
      <c r="M814" s="46"/>
      <c r="N814" s="46"/>
      <c r="O814" s="46"/>
      <c r="P814" s="46"/>
      <c r="R814" s="15">
        <v>7.0000000000000007E-2</v>
      </c>
      <c r="S814" s="18">
        <f>(Tabela224[[#This Row],[FRETE]]+Tabela224[[#This Row],[DESPESAS]]+Tabela224[[#This Row],[IPI]]+Tabela224[[#This Row],[Vl. Produto]])*Tabela224[[#This Row],[Aliq.%]]</f>
        <v>0</v>
      </c>
    </row>
    <row r="815" spans="13:19" x14ac:dyDescent="0.25">
      <c r="M815" s="46"/>
      <c r="N815" s="46"/>
      <c r="O815" s="46"/>
      <c r="P815" s="46"/>
      <c r="R815" s="15">
        <v>7.0000000000000007E-2</v>
      </c>
      <c r="S815" s="18">
        <f>(Tabela224[[#This Row],[FRETE]]+Tabela224[[#This Row],[DESPESAS]]+Tabela224[[#This Row],[IPI]]+Tabela224[[#This Row],[Vl. Produto]])*Tabela224[[#This Row],[Aliq.%]]</f>
        <v>0</v>
      </c>
    </row>
    <row r="816" spans="13:19" x14ac:dyDescent="0.25">
      <c r="M816" s="46"/>
      <c r="N816" s="46"/>
      <c r="O816" s="46"/>
      <c r="P816" s="46"/>
      <c r="R816" s="15">
        <v>7.0000000000000007E-2</v>
      </c>
      <c r="S816" s="18">
        <f>(Tabela224[[#This Row],[FRETE]]+Tabela224[[#This Row],[DESPESAS]]+Tabela224[[#This Row],[IPI]]+Tabela224[[#This Row],[Vl. Produto]])*Tabela224[[#This Row],[Aliq.%]]</f>
        <v>0</v>
      </c>
    </row>
    <row r="817" spans="13:19" x14ac:dyDescent="0.25">
      <c r="M817" s="46"/>
      <c r="N817" s="46"/>
      <c r="O817" s="46"/>
      <c r="P817" s="46"/>
      <c r="R817" s="15">
        <v>7.0000000000000007E-2</v>
      </c>
      <c r="S817" s="18">
        <f>(Tabela224[[#This Row],[FRETE]]+Tabela224[[#This Row],[DESPESAS]]+Tabela224[[#This Row],[IPI]]+Tabela224[[#This Row],[Vl. Produto]])*Tabela224[[#This Row],[Aliq.%]]</f>
        <v>0</v>
      </c>
    </row>
    <row r="818" spans="13:19" x14ac:dyDescent="0.25">
      <c r="M818" s="46"/>
      <c r="N818" s="46"/>
      <c r="O818" s="46"/>
      <c r="P818" s="46"/>
      <c r="R818" s="15">
        <v>7.0000000000000007E-2</v>
      </c>
      <c r="S818" s="18">
        <f>(Tabela224[[#This Row],[FRETE]]+Tabela224[[#This Row],[DESPESAS]]+Tabela224[[#This Row],[IPI]]+Tabela224[[#This Row],[Vl. Produto]])*Tabela224[[#This Row],[Aliq.%]]</f>
        <v>0</v>
      </c>
    </row>
    <row r="819" spans="13:19" x14ac:dyDescent="0.25">
      <c r="M819" s="46"/>
      <c r="N819" s="46"/>
      <c r="O819" s="46"/>
      <c r="P819" s="46"/>
      <c r="R819" s="15">
        <v>7.0000000000000007E-2</v>
      </c>
      <c r="S819" s="18">
        <f>(Tabela224[[#This Row],[FRETE]]+Tabela224[[#This Row],[DESPESAS]]+Tabela224[[#This Row],[IPI]]+Tabela224[[#This Row],[Vl. Produto]])*Tabela224[[#This Row],[Aliq.%]]</f>
        <v>0</v>
      </c>
    </row>
    <row r="820" spans="13:19" x14ac:dyDescent="0.25">
      <c r="M820" s="46"/>
      <c r="N820" s="46"/>
      <c r="O820" s="46"/>
      <c r="P820" s="46"/>
      <c r="R820" s="15">
        <v>7.0000000000000007E-2</v>
      </c>
      <c r="S820" s="18">
        <f>(Tabela224[[#This Row],[FRETE]]+Tabela224[[#This Row],[DESPESAS]]+Tabela224[[#This Row],[IPI]]+Tabela224[[#This Row],[Vl. Produto]])*Tabela224[[#This Row],[Aliq.%]]</f>
        <v>0</v>
      </c>
    </row>
    <row r="821" spans="13:19" x14ac:dyDescent="0.25">
      <c r="M821" s="46"/>
      <c r="N821" s="46"/>
      <c r="O821" s="46"/>
      <c r="P821" s="46"/>
      <c r="R821" s="15">
        <v>7.0000000000000007E-2</v>
      </c>
      <c r="S821" s="18">
        <f>(Tabela224[[#This Row],[FRETE]]+Tabela224[[#This Row],[DESPESAS]]+Tabela224[[#This Row],[IPI]]+Tabela224[[#This Row],[Vl. Produto]])*Tabela224[[#This Row],[Aliq.%]]</f>
        <v>0</v>
      </c>
    </row>
    <row r="822" spans="13:19" x14ac:dyDescent="0.25">
      <c r="M822" s="46"/>
      <c r="N822" s="46"/>
      <c r="O822" s="46"/>
      <c r="P822" s="46"/>
      <c r="R822" s="15">
        <v>7.0000000000000007E-2</v>
      </c>
      <c r="S822" s="18">
        <f>(Tabela224[[#This Row],[FRETE]]+Tabela224[[#This Row],[DESPESAS]]+Tabela224[[#This Row],[IPI]]+Tabela224[[#This Row],[Vl. Produto]])*Tabela224[[#This Row],[Aliq.%]]</f>
        <v>0</v>
      </c>
    </row>
    <row r="823" spans="13:19" x14ac:dyDescent="0.25">
      <c r="M823" s="46"/>
      <c r="N823" s="46"/>
      <c r="O823" s="46"/>
      <c r="P823" s="46"/>
      <c r="R823" s="15">
        <v>7.0000000000000007E-2</v>
      </c>
      <c r="S823" s="18">
        <f>(Tabela224[[#This Row],[FRETE]]+Tabela224[[#This Row],[DESPESAS]]+Tabela224[[#This Row],[IPI]]+Tabela224[[#This Row],[Vl. Produto]])*Tabela224[[#This Row],[Aliq.%]]</f>
        <v>0</v>
      </c>
    </row>
    <row r="824" spans="13:19" x14ac:dyDescent="0.25">
      <c r="M824" s="46"/>
      <c r="N824" s="46"/>
      <c r="O824" s="46"/>
      <c r="P824" s="46"/>
      <c r="R824" s="15">
        <v>7.0000000000000007E-2</v>
      </c>
      <c r="S824" s="18">
        <f>(Tabela224[[#This Row],[FRETE]]+Tabela224[[#This Row],[DESPESAS]]+Tabela224[[#This Row],[IPI]]+Tabela224[[#This Row],[Vl. Produto]])*Tabela224[[#This Row],[Aliq.%]]</f>
        <v>0</v>
      </c>
    </row>
    <row r="825" spans="13:19" x14ac:dyDescent="0.25">
      <c r="M825" s="46"/>
      <c r="N825" s="46"/>
      <c r="O825" s="46"/>
      <c r="P825" s="46"/>
      <c r="R825" s="15">
        <v>7.0000000000000007E-2</v>
      </c>
      <c r="S825" s="18">
        <f>(Tabela224[[#This Row],[FRETE]]+Tabela224[[#This Row],[DESPESAS]]+Tabela224[[#This Row],[IPI]]+Tabela224[[#This Row],[Vl. Produto]])*Tabela224[[#This Row],[Aliq.%]]</f>
        <v>0</v>
      </c>
    </row>
    <row r="826" spans="13:19" x14ac:dyDescent="0.25">
      <c r="M826" s="46"/>
      <c r="N826" s="46"/>
      <c r="O826" s="46"/>
      <c r="P826" s="46"/>
      <c r="R826" s="15">
        <v>7.0000000000000007E-2</v>
      </c>
      <c r="S826" s="18">
        <f>(Tabela224[[#This Row],[FRETE]]+Tabela224[[#This Row],[DESPESAS]]+Tabela224[[#This Row],[IPI]]+Tabela224[[#This Row],[Vl. Produto]])*Tabela224[[#This Row],[Aliq.%]]</f>
        <v>0</v>
      </c>
    </row>
    <row r="827" spans="13:19" x14ac:dyDescent="0.25">
      <c r="M827" s="46"/>
      <c r="N827" s="46"/>
      <c r="O827" s="46"/>
      <c r="P827" s="46"/>
      <c r="R827" s="15">
        <v>7.0000000000000007E-2</v>
      </c>
      <c r="S827" s="18">
        <f>(Tabela224[[#This Row],[FRETE]]+Tabela224[[#This Row],[DESPESAS]]+Tabela224[[#This Row],[IPI]]+Tabela224[[#This Row],[Vl. Produto]])*Tabela224[[#This Row],[Aliq.%]]</f>
        <v>0</v>
      </c>
    </row>
    <row r="828" spans="13:19" x14ac:dyDescent="0.25">
      <c r="M828" s="46"/>
      <c r="N828" s="46"/>
      <c r="O828" s="46"/>
      <c r="P828" s="46"/>
      <c r="R828" s="15">
        <v>7.0000000000000007E-2</v>
      </c>
      <c r="S828" s="18">
        <f>(Tabela224[[#This Row],[FRETE]]+Tabela224[[#This Row],[DESPESAS]]+Tabela224[[#This Row],[IPI]]+Tabela224[[#This Row],[Vl. Produto]])*Tabela224[[#This Row],[Aliq.%]]</f>
        <v>0</v>
      </c>
    </row>
    <row r="829" spans="13:19" x14ac:dyDescent="0.25">
      <c r="M829" s="46"/>
      <c r="N829" s="46"/>
      <c r="O829" s="46"/>
      <c r="P829" s="46"/>
      <c r="R829" s="15">
        <v>7.0000000000000007E-2</v>
      </c>
      <c r="S829" s="18">
        <f>(Tabela224[[#This Row],[FRETE]]+Tabela224[[#This Row],[DESPESAS]]+Tabela224[[#This Row],[IPI]]+Tabela224[[#This Row],[Vl. Produto]])*Tabela224[[#This Row],[Aliq.%]]</f>
        <v>0</v>
      </c>
    </row>
    <row r="830" spans="13:19" x14ac:dyDescent="0.25">
      <c r="M830" s="46"/>
      <c r="N830" s="46"/>
      <c r="O830" s="46"/>
      <c r="P830" s="46"/>
      <c r="R830" s="15">
        <v>7.0000000000000007E-2</v>
      </c>
      <c r="S830" s="18">
        <f>(Tabela224[[#This Row],[FRETE]]+Tabela224[[#This Row],[DESPESAS]]+Tabela224[[#This Row],[IPI]]+Tabela224[[#This Row],[Vl. Produto]])*Tabela224[[#This Row],[Aliq.%]]</f>
        <v>0</v>
      </c>
    </row>
    <row r="831" spans="13:19" x14ac:dyDescent="0.25">
      <c r="M831" s="46"/>
      <c r="N831" s="46"/>
      <c r="O831" s="46"/>
      <c r="P831" s="46"/>
      <c r="R831" s="15">
        <v>7.0000000000000007E-2</v>
      </c>
      <c r="S831" s="18">
        <f>(Tabela224[[#This Row],[FRETE]]+Tabela224[[#This Row],[DESPESAS]]+Tabela224[[#This Row],[IPI]]+Tabela224[[#This Row],[Vl. Produto]])*Tabela224[[#This Row],[Aliq.%]]</f>
        <v>0</v>
      </c>
    </row>
    <row r="832" spans="13:19" x14ac:dyDescent="0.25">
      <c r="M832" s="46"/>
      <c r="N832" s="46"/>
      <c r="O832" s="46"/>
      <c r="P832" s="46"/>
      <c r="R832" s="15">
        <v>7.0000000000000007E-2</v>
      </c>
      <c r="S832" s="18">
        <f>(Tabela224[[#This Row],[FRETE]]+Tabela224[[#This Row],[DESPESAS]]+Tabela224[[#This Row],[IPI]]+Tabela224[[#This Row],[Vl. Produto]])*Tabela224[[#This Row],[Aliq.%]]</f>
        <v>0</v>
      </c>
    </row>
    <row r="833" spans="13:19" x14ac:dyDescent="0.25">
      <c r="M833" s="46"/>
      <c r="N833" s="46"/>
      <c r="O833" s="46"/>
      <c r="P833" s="46"/>
      <c r="R833" s="15">
        <v>7.0000000000000007E-2</v>
      </c>
      <c r="S833" s="18">
        <f>(Tabela224[[#This Row],[FRETE]]+Tabela224[[#This Row],[DESPESAS]]+Tabela224[[#This Row],[IPI]]+Tabela224[[#This Row],[Vl. Produto]])*Tabela224[[#This Row],[Aliq.%]]</f>
        <v>0</v>
      </c>
    </row>
    <row r="834" spans="13:19" x14ac:dyDescent="0.25">
      <c r="M834" s="46"/>
      <c r="N834" s="46"/>
      <c r="O834" s="46"/>
      <c r="P834" s="46"/>
      <c r="R834" s="15">
        <v>7.0000000000000007E-2</v>
      </c>
      <c r="S834" s="18">
        <f>(Tabela224[[#This Row],[FRETE]]+Tabela224[[#This Row],[DESPESAS]]+Tabela224[[#This Row],[IPI]]+Tabela224[[#This Row],[Vl. Produto]])*Tabela224[[#This Row],[Aliq.%]]</f>
        <v>0</v>
      </c>
    </row>
    <row r="835" spans="13:19" x14ac:dyDescent="0.25">
      <c r="M835" s="46"/>
      <c r="N835" s="46"/>
      <c r="O835" s="46"/>
      <c r="P835" s="46"/>
      <c r="R835" s="15">
        <v>7.0000000000000007E-2</v>
      </c>
      <c r="S835" s="18">
        <f>(Tabela224[[#This Row],[FRETE]]+Tabela224[[#This Row],[DESPESAS]]+Tabela224[[#This Row],[IPI]]+Tabela224[[#This Row],[Vl. Produto]])*Tabela224[[#This Row],[Aliq.%]]</f>
        <v>0</v>
      </c>
    </row>
    <row r="836" spans="13:19" x14ac:dyDescent="0.25">
      <c r="M836" s="46"/>
      <c r="N836" s="46"/>
      <c r="O836" s="46"/>
      <c r="P836" s="46"/>
      <c r="R836" s="15">
        <v>7.0000000000000007E-2</v>
      </c>
      <c r="S836" s="18">
        <f>(Tabela224[[#This Row],[FRETE]]+Tabela224[[#This Row],[DESPESAS]]+Tabela224[[#This Row],[IPI]]+Tabela224[[#This Row],[Vl. Produto]])*Tabela224[[#This Row],[Aliq.%]]</f>
        <v>0</v>
      </c>
    </row>
    <row r="837" spans="13:19" x14ac:dyDescent="0.25">
      <c r="M837" s="46"/>
      <c r="N837" s="46"/>
      <c r="O837" s="46"/>
      <c r="P837" s="46"/>
      <c r="R837" s="15">
        <v>7.0000000000000007E-2</v>
      </c>
      <c r="S837" s="18">
        <f>(Tabela224[[#This Row],[FRETE]]+Tabela224[[#This Row],[DESPESAS]]+Tabela224[[#This Row],[IPI]]+Tabela224[[#This Row],[Vl. Produto]])*Tabela224[[#This Row],[Aliq.%]]</f>
        <v>0</v>
      </c>
    </row>
    <row r="838" spans="13:19" x14ac:dyDescent="0.25">
      <c r="M838" s="46"/>
      <c r="N838" s="46"/>
      <c r="O838" s="46"/>
      <c r="P838" s="46"/>
      <c r="R838" s="15">
        <v>7.0000000000000007E-2</v>
      </c>
      <c r="S838" s="18">
        <f>(Tabela224[[#This Row],[FRETE]]+Tabela224[[#This Row],[DESPESAS]]+Tabela224[[#This Row],[IPI]]+Tabela224[[#This Row],[Vl. Produto]])*Tabela224[[#This Row],[Aliq.%]]</f>
        <v>0</v>
      </c>
    </row>
    <row r="839" spans="13:19" x14ac:dyDescent="0.25">
      <c r="M839" s="46"/>
      <c r="N839" s="46"/>
      <c r="O839" s="46"/>
      <c r="P839" s="46"/>
      <c r="R839" s="15">
        <v>7.0000000000000007E-2</v>
      </c>
      <c r="S839" s="18">
        <f>(Tabela224[[#This Row],[FRETE]]+Tabela224[[#This Row],[DESPESAS]]+Tabela224[[#This Row],[IPI]]+Tabela224[[#This Row],[Vl. Produto]])*Tabela224[[#This Row],[Aliq.%]]</f>
        <v>0</v>
      </c>
    </row>
    <row r="840" spans="13:19" x14ac:dyDescent="0.25">
      <c r="M840" s="46"/>
      <c r="N840" s="46"/>
      <c r="O840" s="46"/>
      <c r="P840" s="46"/>
      <c r="R840" s="15">
        <v>7.0000000000000007E-2</v>
      </c>
      <c r="S840" s="18">
        <f>(Tabela224[[#This Row],[FRETE]]+Tabela224[[#This Row],[DESPESAS]]+Tabela224[[#This Row],[IPI]]+Tabela224[[#This Row],[Vl. Produto]])*Tabela224[[#This Row],[Aliq.%]]</f>
        <v>0</v>
      </c>
    </row>
    <row r="841" spans="13:19" x14ac:dyDescent="0.25">
      <c r="M841" s="46"/>
      <c r="N841" s="46"/>
      <c r="O841" s="46"/>
      <c r="P841" s="46"/>
      <c r="R841" s="15">
        <v>7.0000000000000007E-2</v>
      </c>
      <c r="S841" s="18">
        <f>(Tabela224[[#This Row],[FRETE]]+Tabela224[[#This Row],[DESPESAS]]+Tabela224[[#This Row],[IPI]]+Tabela224[[#This Row],[Vl. Produto]])*Tabela224[[#This Row],[Aliq.%]]</f>
        <v>0</v>
      </c>
    </row>
    <row r="842" spans="13:19" x14ac:dyDescent="0.25">
      <c r="M842" s="46"/>
      <c r="N842" s="46"/>
      <c r="O842" s="46"/>
      <c r="P842" s="46"/>
      <c r="R842" s="15">
        <v>7.0000000000000007E-2</v>
      </c>
      <c r="S842" s="18">
        <f>(Tabela224[[#This Row],[FRETE]]+Tabela224[[#This Row],[DESPESAS]]+Tabela224[[#This Row],[IPI]]+Tabela224[[#This Row],[Vl. Produto]])*Tabela224[[#This Row],[Aliq.%]]</f>
        <v>0</v>
      </c>
    </row>
    <row r="843" spans="13:19" x14ac:dyDescent="0.25">
      <c r="M843" s="46"/>
      <c r="N843" s="46"/>
      <c r="O843" s="46"/>
      <c r="P843" s="46"/>
      <c r="R843" s="15">
        <v>7.0000000000000007E-2</v>
      </c>
      <c r="S843" s="18">
        <f>(Tabela224[[#This Row],[FRETE]]+Tabela224[[#This Row],[DESPESAS]]+Tabela224[[#This Row],[IPI]]+Tabela224[[#This Row],[Vl. Produto]])*Tabela224[[#This Row],[Aliq.%]]</f>
        <v>0</v>
      </c>
    </row>
    <row r="844" spans="13:19" x14ac:dyDescent="0.25">
      <c r="M844" s="46"/>
      <c r="N844" s="46"/>
      <c r="O844" s="46"/>
      <c r="P844" s="46"/>
      <c r="R844" s="15">
        <v>7.0000000000000007E-2</v>
      </c>
      <c r="S844" s="18">
        <f>(Tabela224[[#This Row],[FRETE]]+Tabela224[[#This Row],[DESPESAS]]+Tabela224[[#This Row],[IPI]]+Tabela224[[#This Row],[Vl. Produto]])*Tabela224[[#This Row],[Aliq.%]]</f>
        <v>0</v>
      </c>
    </row>
    <row r="845" spans="13:19" x14ac:dyDescent="0.25">
      <c r="M845" s="46"/>
      <c r="N845" s="46"/>
      <c r="O845" s="46"/>
      <c r="P845" s="46"/>
      <c r="R845" s="15">
        <v>7.0000000000000007E-2</v>
      </c>
      <c r="S845" s="18">
        <f>(Tabela224[[#This Row],[FRETE]]+Tabela224[[#This Row],[DESPESAS]]+Tabela224[[#This Row],[IPI]]+Tabela224[[#This Row],[Vl. Produto]])*Tabela224[[#This Row],[Aliq.%]]</f>
        <v>0</v>
      </c>
    </row>
    <row r="846" spans="13:19" x14ac:dyDescent="0.25">
      <c r="M846" s="46"/>
      <c r="N846" s="46"/>
      <c r="O846" s="46"/>
      <c r="P846" s="46"/>
      <c r="R846" s="15">
        <v>7.0000000000000007E-2</v>
      </c>
      <c r="S846" s="18">
        <f>(Tabela224[[#This Row],[FRETE]]+Tabela224[[#This Row],[DESPESAS]]+Tabela224[[#This Row],[IPI]]+Tabela224[[#This Row],[Vl. Produto]])*Tabela224[[#This Row],[Aliq.%]]</f>
        <v>0</v>
      </c>
    </row>
    <row r="847" spans="13:19" x14ac:dyDescent="0.25">
      <c r="M847" s="46"/>
      <c r="N847" s="46"/>
      <c r="O847" s="46"/>
      <c r="P847" s="46"/>
      <c r="R847" s="15">
        <v>7.0000000000000007E-2</v>
      </c>
      <c r="S847" s="18">
        <f>(Tabela224[[#This Row],[FRETE]]+Tabela224[[#This Row],[DESPESAS]]+Tabela224[[#This Row],[IPI]]+Tabela224[[#This Row],[Vl. Produto]])*Tabela224[[#This Row],[Aliq.%]]</f>
        <v>0</v>
      </c>
    </row>
    <row r="848" spans="13:19" x14ac:dyDescent="0.25">
      <c r="M848" s="46"/>
      <c r="N848" s="46"/>
      <c r="O848" s="46"/>
      <c r="P848" s="46"/>
      <c r="R848" s="15">
        <v>7.0000000000000007E-2</v>
      </c>
      <c r="S848" s="18">
        <f>(Tabela224[[#This Row],[FRETE]]+Tabela224[[#This Row],[DESPESAS]]+Tabela224[[#This Row],[IPI]]+Tabela224[[#This Row],[Vl. Produto]])*Tabela224[[#This Row],[Aliq.%]]</f>
        <v>0</v>
      </c>
    </row>
    <row r="849" spans="13:19" x14ac:dyDescent="0.25">
      <c r="M849" s="46"/>
      <c r="N849" s="46"/>
      <c r="O849" s="46"/>
      <c r="P849" s="46"/>
      <c r="R849" s="15">
        <v>7.0000000000000007E-2</v>
      </c>
      <c r="S849" s="18">
        <f>(Tabela224[[#This Row],[FRETE]]+Tabela224[[#This Row],[DESPESAS]]+Tabela224[[#This Row],[IPI]]+Tabela224[[#This Row],[Vl. Produto]])*Tabela224[[#This Row],[Aliq.%]]</f>
        <v>0</v>
      </c>
    </row>
    <row r="850" spans="13:19" x14ac:dyDescent="0.25">
      <c r="M850" s="46"/>
      <c r="N850" s="46"/>
      <c r="O850" s="46"/>
      <c r="P850" s="46"/>
      <c r="R850" s="15">
        <v>7.0000000000000007E-2</v>
      </c>
      <c r="S850" s="18">
        <f>(Tabela224[[#This Row],[FRETE]]+Tabela224[[#This Row],[DESPESAS]]+Tabela224[[#This Row],[IPI]]+Tabela224[[#This Row],[Vl. Produto]])*Tabela224[[#This Row],[Aliq.%]]</f>
        <v>0</v>
      </c>
    </row>
    <row r="851" spans="13:19" x14ac:dyDescent="0.25">
      <c r="M851" s="46"/>
      <c r="N851" s="46"/>
      <c r="O851" s="46"/>
      <c r="P851" s="46"/>
      <c r="R851" s="15">
        <v>7.0000000000000007E-2</v>
      </c>
      <c r="S851" s="18">
        <f>(Tabela224[[#This Row],[FRETE]]+Tabela224[[#This Row],[DESPESAS]]+Tabela224[[#This Row],[IPI]]+Tabela224[[#This Row],[Vl. Produto]])*Tabela224[[#This Row],[Aliq.%]]</f>
        <v>0</v>
      </c>
    </row>
    <row r="852" spans="13:19" x14ac:dyDescent="0.25">
      <c r="M852" s="46"/>
      <c r="N852" s="46"/>
      <c r="O852" s="46"/>
      <c r="P852" s="46"/>
      <c r="R852" s="15">
        <v>7.0000000000000007E-2</v>
      </c>
      <c r="S852" s="18">
        <f>(Tabela224[[#This Row],[FRETE]]+Tabela224[[#This Row],[DESPESAS]]+Tabela224[[#This Row],[IPI]]+Tabela224[[#This Row],[Vl. Produto]])*Tabela224[[#This Row],[Aliq.%]]</f>
        <v>0</v>
      </c>
    </row>
    <row r="853" spans="13:19" x14ac:dyDescent="0.25">
      <c r="M853" s="46"/>
      <c r="N853" s="46"/>
      <c r="O853" s="46"/>
      <c r="P853" s="46"/>
      <c r="R853" s="15">
        <v>7.0000000000000007E-2</v>
      </c>
      <c r="S853" s="18">
        <f>(Tabela224[[#This Row],[FRETE]]+Tabela224[[#This Row],[DESPESAS]]+Tabela224[[#This Row],[IPI]]+Tabela224[[#This Row],[Vl. Produto]])*Tabela224[[#This Row],[Aliq.%]]</f>
        <v>0</v>
      </c>
    </row>
    <row r="854" spans="13:19" x14ac:dyDescent="0.25">
      <c r="M854" s="46"/>
      <c r="N854" s="46"/>
      <c r="O854" s="46"/>
      <c r="P854" s="46"/>
      <c r="R854" s="15">
        <v>7.0000000000000007E-2</v>
      </c>
      <c r="S854" s="18">
        <f>(Tabela224[[#This Row],[FRETE]]+Tabela224[[#This Row],[DESPESAS]]+Tabela224[[#This Row],[IPI]]+Tabela224[[#This Row],[Vl. Produto]])*Tabela224[[#This Row],[Aliq.%]]</f>
        <v>0</v>
      </c>
    </row>
    <row r="855" spans="13:19" x14ac:dyDescent="0.25">
      <c r="M855" s="46"/>
      <c r="N855" s="46"/>
      <c r="O855" s="46"/>
      <c r="P855" s="46"/>
      <c r="R855" s="15">
        <v>7.0000000000000007E-2</v>
      </c>
      <c r="S855" s="18">
        <f>(Tabela224[[#This Row],[FRETE]]+Tabela224[[#This Row],[DESPESAS]]+Tabela224[[#This Row],[IPI]]+Tabela224[[#This Row],[Vl. Produto]])*Tabela224[[#This Row],[Aliq.%]]</f>
        <v>0</v>
      </c>
    </row>
    <row r="856" spans="13:19" x14ac:dyDescent="0.25">
      <c r="M856" s="46"/>
      <c r="N856" s="46"/>
      <c r="O856" s="46"/>
      <c r="P856" s="46"/>
      <c r="R856" s="15">
        <v>7.0000000000000007E-2</v>
      </c>
      <c r="S856" s="18">
        <f>(Tabela224[[#This Row],[FRETE]]+Tabela224[[#This Row],[DESPESAS]]+Tabela224[[#This Row],[IPI]]+Tabela224[[#This Row],[Vl. Produto]])*Tabela224[[#This Row],[Aliq.%]]</f>
        <v>0</v>
      </c>
    </row>
    <row r="857" spans="13:19" x14ac:dyDescent="0.25">
      <c r="M857" s="46"/>
      <c r="N857" s="46"/>
      <c r="O857" s="46"/>
      <c r="P857" s="46"/>
      <c r="R857" s="15">
        <v>7.0000000000000007E-2</v>
      </c>
      <c r="S857" s="18">
        <f>(Tabela224[[#This Row],[FRETE]]+Tabela224[[#This Row],[DESPESAS]]+Tabela224[[#This Row],[IPI]]+Tabela224[[#This Row],[Vl. Produto]])*Tabela224[[#This Row],[Aliq.%]]</f>
        <v>0</v>
      </c>
    </row>
    <row r="858" spans="13:19" x14ac:dyDescent="0.25">
      <c r="M858" s="46"/>
      <c r="N858" s="46"/>
      <c r="O858" s="46"/>
      <c r="P858" s="46"/>
      <c r="R858" s="15">
        <v>7.0000000000000007E-2</v>
      </c>
      <c r="S858" s="18">
        <f>(Tabela224[[#This Row],[FRETE]]+Tabela224[[#This Row],[DESPESAS]]+Tabela224[[#This Row],[IPI]]+Tabela224[[#This Row],[Vl. Produto]])*Tabela224[[#This Row],[Aliq.%]]</f>
        <v>0</v>
      </c>
    </row>
    <row r="859" spans="13:19" x14ac:dyDescent="0.25">
      <c r="M859" s="46"/>
      <c r="N859" s="46"/>
      <c r="O859" s="46"/>
      <c r="P859" s="46"/>
      <c r="R859" s="15">
        <v>7.0000000000000007E-2</v>
      </c>
      <c r="S859" s="18">
        <f>(Tabela224[[#This Row],[FRETE]]+Tabela224[[#This Row],[DESPESAS]]+Tabela224[[#This Row],[IPI]]+Tabela224[[#This Row],[Vl. Produto]])*Tabela224[[#This Row],[Aliq.%]]</f>
        <v>0</v>
      </c>
    </row>
    <row r="860" spans="13:19" x14ac:dyDescent="0.25">
      <c r="M860" s="46"/>
      <c r="N860" s="46"/>
      <c r="O860" s="46"/>
      <c r="P860" s="46"/>
      <c r="R860" s="15">
        <v>7.0000000000000007E-2</v>
      </c>
      <c r="S860" s="18">
        <f>(Tabela224[[#This Row],[FRETE]]+Tabela224[[#This Row],[DESPESAS]]+Tabela224[[#This Row],[IPI]]+Tabela224[[#This Row],[Vl. Produto]])*Tabela224[[#This Row],[Aliq.%]]</f>
        <v>0</v>
      </c>
    </row>
    <row r="861" spans="13:19" x14ac:dyDescent="0.25">
      <c r="M861" s="46"/>
      <c r="N861" s="46"/>
      <c r="O861" s="46"/>
      <c r="P861" s="46"/>
      <c r="R861" s="15">
        <v>7.0000000000000007E-2</v>
      </c>
      <c r="S861" s="18">
        <f>(Tabela224[[#This Row],[FRETE]]+Tabela224[[#This Row],[DESPESAS]]+Tabela224[[#This Row],[IPI]]+Tabela224[[#This Row],[Vl. Produto]])*Tabela224[[#This Row],[Aliq.%]]</f>
        <v>0</v>
      </c>
    </row>
    <row r="862" spans="13:19" x14ac:dyDescent="0.25">
      <c r="M862" s="46"/>
      <c r="N862" s="46"/>
      <c r="O862" s="46"/>
      <c r="P862" s="46"/>
      <c r="R862" s="15">
        <v>7.0000000000000007E-2</v>
      </c>
      <c r="S862" s="18">
        <f>(Tabela224[[#This Row],[FRETE]]+Tabela224[[#This Row],[DESPESAS]]+Tabela224[[#This Row],[IPI]]+Tabela224[[#This Row],[Vl. Produto]])*Tabela224[[#This Row],[Aliq.%]]</f>
        <v>0</v>
      </c>
    </row>
    <row r="863" spans="13:19" x14ac:dyDescent="0.25">
      <c r="M863" s="46"/>
      <c r="N863" s="46"/>
      <c r="O863" s="46"/>
      <c r="P863" s="46"/>
      <c r="R863" s="15">
        <v>7.0000000000000007E-2</v>
      </c>
      <c r="S863" s="18">
        <f>(Tabela224[[#This Row],[FRETE]]+Tabela224[[#This Row],[DESPESAS]]+Tabela224[[#This Row],[IPI]]+Tabela224[[#This Row],[Vl. Produto]])*Tabela224[[#This Row],[Aliq.%]]</f>
        <v>0</v>
      </c>
    </row>
    <row r="864" spans="13:19" x14ac:dyDescent="0.25">
      <c r="M864" s="46"/>
      <c r="N864" s="46"/>
      <c r="O864" s="46"/>
      <c r="P864" s="46"/>
      <c r="R864" s="15">
        <v>7.0000000000000007E-2</v>
      </c>
      <c r="S864" s="18">
        <f>(Tabela224[[#This Row],[FRETE]]+Tabela224[[#This Row],[DESPESAS]]+Tabela224[[#This Row],[IPI]]+Tabela224[[#This Row],[Vl. Produto]])*Tabela224[[#This Row],[Aliq.%]]</f>
        <v>0</v>
      </c>
    </row>
    <row r="865" spans="13:19" x14ac:dyDescent="0.25">
      <c r="M865" s="46"/>
      <c r="N865" s="46"/>
      <c r="O865" s="46"/>
      <c r="P865" s="46"/>
      <c r="R865" s="15">
        <v>7.0000000000000007E-2</v>
      </c>
      <c r="S865" s="18">
        <f>(Tabela224[[#This Row],[FRETE]]+Tabela224[[#This Row],[DESPESAS]]+Tabela224[[#This Row],[IPI]]+Tabela224[[#This Row],[Vl. Produto]])*Tabela224[[#This Row],[Aliq.%]]</f>
        <v>0</v>
      </c>
    </row>
    <row r="866" spans="13:19" x14ac:dyDescent="0.25">
      <c r="M866" s="46"/>
      <c r="N866" s="46"/>
      <c r="O866" s="46"/>
      <c r="P866" s="46"/>
      <c r="R866" s="15">
        <v>7.0000000000000007E-2</v>
      </c>
      <c r="S866" s="18">
        <f>(Tabela224[[#This Row],[FRETE]]+Tabela224[[#This Row],[DESPESAS]]+Tabela224[[#This Row],[IPI]]+Tabela224[[#This Row],[Vl. Produto]])*Tabela224[[#This Row],[Aliq.%]]</f>
        <v>0</v>
      </c>
    </row>
    <row r="867" spans="13:19" x14ac:dyDescent="0.25">
      <c r="M867" s="46"/>
      <c r="N867" s="46"/>
      <c r="O867" s="46"/>
      <c r="P867" s="46"/>
      <c r="R867" s="15">
        <v>7.0000000000000007E-2</v>
      </c>
      <c r="S867" s="18">
        <f>(Tabela224[[#This Row],[FRETE]]+Tabela224[[#This Row],[DESPESAS]]+Tabela224[[#This Row],[IPI]]+Tabela224[[#This Row],[Vl. Produto]])*Tabela224[[#This Row],[Aliq.%]]</f>
        <v>0</v>
      </c>
    </row>
    <row r="868" spans="13:19" x14ac:dyDescent="0.25">
      <c r="M868" s="46"/>
      <c r="N868" s="46"/>
      <c r="O868" s="46"/>
      <c r="P868" s="46"/>
      <c r="R868" s="15">
        <v>7.0000000000000007E-2</v>
      </c>
      <c r="S868" s="18">
        <f>(Tabela224[[#This Row],[FRETE]]+Tabela224[[#This Row],[DESPESAS]]+Tabela224[[#This Row],[IPI]]+Tabela224[[#This Row],[Vl. Produto]])*Tabela224[[#This Row],[Aliq.%]]</f>
        <v>0</v>
      </c>
    </row>
    <row r="869" spans="13:19" x14ac:dyDescent="0.25">
      <c r="M869" s="46"/>
      <c r="N869" s="46"/>
      <c r="O869" s="46"/>
      <c r="P869" s="46"/>
      <c r="R869" s="15">
        <v>7.0000000000000007E-2</v>
      </c>
      <c r="S869" s="18">
        <f>(Tabela224[[#This Row],[FRETE]]+Tabela224[[#This Row],[DESPESAS]]+Tabela224[[#This Row],[IPI]]+Tabela224[[#This Row],[Vl. Produto]])*Tabela224[[#This Row],[Aliq.%]]</f>
        <v>0</v>
      </c>
    </row>
    <row r="870" spans="13:19" x14ac:dyDescent="0.25">
      <c r="M870" s="46"/>
      <c r="N870" s="46"/>
      <c r="O870" s="46"/>
      <c r="P870" s="46"/>
      <c r="R870" s="15">
        <v>7.0000000000000007E-2</v>
      </c>
      <c r="S870" s="18">
        <f>(Tabela224[[#This Row],[FRETE]]+Tabela224[[#This Row],[DESPESAS]]+Tabela224[[#This Row],[IPI]]+Tabela224[[#This Row],[Vl. Produto]])*Tabela224[[#This Row],[Aliq.%]]</f>
        <v>0</v>
      </c>
    </row>
    <row r="871" spans="13:19" x14ac:dyDescent="0.25">
      <c r="M871" s="46"/>
      <c r="N871" s="46"/>
      <c r="O871" s="46"/>
      <c r="P871" s="46"/>
      <c r="R871" s="15">
        <v>7.0000000000000007E-2</v>
      </c>
      <c r="S871" s="18">
        <f>(Tabela224[[#This Row],[FRETE]]+Tabela224[[#This Row],[DESPESAS]]+Tabela224[[#This Row],[IPI]]+Tabela224[[#This Row],[Vl. Produto]])*Tabela224[[#This Row],[Aliq.%]]</f>
        <v>0</v>
      </c>
    </row>
    <row r="872" spans="13:19" x14ac:dyDescent="0.25">
      <c r="M872" s="46"/>
      <c r="N872" s="46"/>
      <c r="O872" s="46"/>
      <c r="P872" s="46"/>
      <c r="R872" s="15">
        <v>7.0000000000000007E-2</v>
      </c>
      <c r="S872" s="18">
        <f>(Tabela224[[#This Row],[FRETE]]+Tabela224[[#This Row],[DESPESAS]]+Tabela224[[#This Row],[IPI]]+Tabela224[[#This Row],[Vl. Produto]])*Tabela224[[#This Row],[Aliq.%]]</f>
        <v>0</v>
      </c>
    </row>
    <row r="873" spans="13:19" x14ac:dyDescent="0.25">
      <c r="M873" s="46"/>
      <c r="N873" s="46"/>
      <c r="O873" s="46"/>
      <c r="P873" s="46"/>
      <c r="R873" s="15">
        <v>7.0000000000000007E-2</v>
      </c>
      <c r="S873" s="18">
        <f>(Tabela224[[#This Row],[FRETE]]+Tabela224[[#This Row],[DESPESAS]]+Tabela224[[#This Row],[IPI]]+Tabela224[[#This Row],[Vl. Produto]])*Tabela224[[#This Row],[Aliq.%]]</f>
        <v>0</v>
      </c>
    </row>
    <row r="874" spans="13:19" x14ac:dyDescent="0.25">
      <c r="M874" s="46"/>
      <c r="N874" s="46"/>
      <c r="O874" s="46"/>
      <c r="P874" s="46"/>
      <c r="R874" s="15">
        <v>7.0000000000000007E-2</v>
      </c>
      <c r="S874" s="18">
        <f>(Tabela224[[#This Row],[FRETE]]+Tabela224[[#This Row],[DESPESAS]]+Tabela224[[#This Row],[IPI]]+Tabela224[[#This Row],[Vl. Produto]])*Tabela224[[#This Row],[Aliq.%]]</f>
        <v>0</v>
      </c>
    </row>
    <row r="875" spans="13:19" x14ac:dyDescent="0.25">
      <c r="M875" s="46"/>
      <c r="N875" s="46"/>
      <c r="O875" s="46"/>
      <c r="P875" s="46"/>
      <c r="R875" s="15">
        <v>7.0000000000000007E-2</v>
      </c>
      <c r="S875" s="18">
        <f>(Tabela224[[#This Row],[FRETE]]+Tabela224[[#This Row],[DESPESAS]]+Tabela224[[#This Row],[IPI]]+Tabela224[[#This Row],[Vl. Produto]])*Tabela224[[#This Row],[Aliq.%]]</f>
        <v>0</v>
      </c>
    </row>
    <row r="876" spans="13:19" x14ac:dyDescent="0.25">
      <c r="M876" s="46"/>
      <c r="N876" s="46"/>
      <c r="O876" s="46"/>
      <c r="P876" s="46"/>
      <c r="R876" s="15">
        <v>7.0000000000000007E-2</v>
      </c>
      <c r="S876" s="18">
        <f>(Tabela224[[#This Row],[FRETE]]+Tabela224[[#This Row],[DESPESAS]]+Tabela224[[#This Row],[IPI]]+Tabela224[[#This Row],[Vl. Produto]])*Tabela224[[#This Row],[Aliq.%]]</f>
        <v>0</v>
      </c>
    </row>
    <row r="877" spans="13:19" x14ac:dyDescent="0.25">
      <c r="M877" s="46"/>
      <c r="N877" s="46"/>
      <c r="O877" s="46"/>
      <c r="P877" s="46"/>
      <c r="R877" s="15">
        <v>7.0000000000000007E-2</v>
      </c>
      <c r="S877" s="18">
        <f>(Tabela224[[#This Row],[FRETE]]+Tabela224[[#This Row],[DESPESAS]]+Tabela224[[#This Row],[IPI]]+Tabela224[[#This Row],[Vl. Produto]])*Tabela224[[#This Row],[Aliq.%]]</f>
        <v>0</v>
      </c>
    </row>
    <row r="878" spans="13:19" x14ac:dyDescent="0.25">
      <c r="M878" s="46"/>
      <c r="N878" s="46"/>
      <c r="O878" s="46"/>
      <c r="P878" s="46"/>
      <c r="R878" s="15">
        <v>7.0000000000000007E-2</v>
      </c>
      <c r="S878" s="18">
        <f>(Tabela224[[#This Row],[FRETE]]+Tabela224[[#This Row],[DESPESAS]]+Tabela224[[#This Row],[IPI]]+Tabela224[[#This Row],[Vl. Produto]])*Tabela224[[#This Row],[Aliq.%]]</f>
        <v>0</v>
      </c>
    </row>
    <row r="879" spans="13:19" x14ac:dyDescent="0.25">
      <c r="M879" s="46"/>
      <c r="N879" s="46"/>
      <c r="O879" s="46"/>
      <c r="P879" s="46"/>
      <c r="R879" s="15">
        <v>7.0000000000000007E-2</v>
      </c>
      <c r="S879" s="18">
        <f>(Tabela224[[#This Row],[FRETE]]+Tabela224[[#This Row],[DESPESAS]]+Tabela224[[#This Row],[IPI]]+Tabela224[[#This Row],[Vl. Produto]])*Tabela224[[#This Row],[Aliq.%]]</f>
        <v>0</v>
      </c>
    </row>
    <row r="880" spans="13:19" x14ac:dyDescent="0.25">
      <c r="M880" s="46"/>
      <c r="N880" s="46"/>
      <c r="O880" s="46"/>
      <c r="P880" s="46"/>
      <c r="R880" s="15">
        <v>7.0000000000000007E-2</v>
      </c>
      <c r="S880" s="18">
        <f>(Tabela224[[#This Row],[FRETE]]+Tabela224[[#This Row],[DESPESAS]]+Tabela224[[#This Row],[IPI]]+Tabela224[[#This Row],[Vl. Produto]])*Tabela224[[#This Row],[Aliq.%]]</f>
        <v>0</v>
      </c>
    </row>
    <row r="881" spans="13:19" x14ac:dyDescent="0.25">
      <c r="M881" s="46"/>
      <c r="N881" s="46"/>
      <c r="O881" s="46"/>
      <c r="P881" s="46"/>
      <c r="R881" s="15">
        <v>7.0000000000000007E-2</v>
      </c>
      <c r="S881" s="18">
        <f>(Tabela224[[#This Row],[FRETE]]+Tabela224[[#This Row],[DESPESAS]]+Tabela224[[#This Row],[IPI]]+Tabela224[[#This Row],[Vl. Produto]])*Tabela224[[#This Row],[Aliq.%]]</f>
        <v>0</v>
      </c>
    </row>
    <row r="882" spans="13:19" x14ac:dyDescent="0.25">
      <c r="M882" s="46"/>
      <c r="N882" s="46"/>
      <c r="O882" s="46"/>
      <c r="P882" s="46"/>
      <c r="R882" s="15">
        <v>7.0000000000000007E-2</v>
      </c>
      <c r="S882" s="18">
        <f>(Tabela224[[#This Row],[FRETE]]+Tabela224[[#This Row],[DESPESAS]]+Tabela224[[#This Row],[IPI]]+Tabela224[[#This Row],[Vl. Produto]])*Tabela224[[#This Row],[Aliq.%]]</f>
        <v>0</v>
      </c>
    </row>
    <row r="883" spans="13:19" x14ac:dyDescent="0.25">
      <c r="M883" s="46"/>
      <c r="N883" s="46"/>
      <c r="O883" s="46"/>
      <c r="P883" s="46"/>
      <c r="R883" s="15">
        <v>7.0000000000000007E-2</v>
      </c>
      <c r="S883" s="18">
        <f>(Tabela224[[#This Row],[FRETE]]+Tabela224[[#This Row],[DESPESAS]]+Tabela224[[#This Row],[IPI]]+Tabela224[[#This Row],[Vl. Produto]])*Tabela224[[#This Row],[Aliq.%]]</f>
        <v>0</v>
      </c>
    </row>
    <row r="884" spans="13:19" x14ac:dyDescent="0.25">
      <c r="M884" s="46"/>
      <c r="N884" s="46"/>
      <c r="O884" s="46"/>
      <c r="P884" s="46"/>
      <c r="R884" s="15">
        <v>7.0000000000000007E-2</v>
      </c>
      <c r="S884" s="18">
        <f>(Tabela224[[#This Row],[FRETE]]+Tabela224[[#This Row],[DESPESAS]]+Tabela224[[#This Row],[IPI]]+Tabela224[[#This Row],[Vl. Produto]])*Tabela224[[#This Row],[Aliq.%]]</f>
        <v>0</v>
      </c>
    </row>
    <row r="885" spans="13:19" x14ac:dyDescent="0.25">
      <c r="M885" s="46"/>
      <c r="N885" s="46"/>
      <c r="O885" s="46"/>
      <c r="P885" s="46"/>
      <c r="R885" s="15">
        <v>7.0000000000000007E-2</v>
      </c>
      <c r="S885" s="18">
        <f>(Tabela224[[#This Row],[FRETE]]+Tabela224[[#This Row],[DESPESAS]]+Tabela224[[#This Row],[IPI]]+Tabela224[[#This Row],[Vl. Produto]])*Tabela224[[#This Row],[Aliq.%]]</f>
        <v>0</v>
      </c>
    </row>
    <row r="886" spans="13:19" x14ac:dyDescent="0.25">
      <c r="M886" s="46"/>
      <c r="N886" s="46"/>
      <c r="O886" s="46"/>
      <c r="P886" s="46"/>
      <c r="R886" s="15">
        <v>7.0000000000000007E-2</v>
      </c>
      <c r="S886" s="18">
        <f>(Tabela224[[#This Row],[FRETE]]+Tabela224[[#This Row],[DESPESAS]]+Tabela224[[#This Row],[IPI]]+Tabela224[[#This Row],[Vl. Produto]])*Tabela224[[#This Row],[Aliq.%]]</f>
        <v>0</v>
      </c>
    </row>
    <row r="887" spans="13:19" x14ac:dyDescent="0.25">
      <c r="M887" s="46"/>
      <c r="N887" s="46"/>
      <c r="O887" s="46"/>
      <c r="P887" s="46"/>
      <c r="R887" s="15">
        <v>7.0000000000000007E-2</v>
      </c>
      <c r="S887" s="18">
        <f>(Tabela224[[#This Row],[FRETE]]+Tabela224[[#This Row],[DESPESAS]]+Tabela224[[#This Row],[IPI]]+Tabela224[[#This Row],[Vl. Produto]])*Tabela224[[#This Row],[Aliq.%]]</f>
        <v>0</v>
      </c>
    </row>
    <row r="888" spans="13:19" x14ac:dyDescent="0.25">
      <c r="M888" s="46"/>
      <c r="N888" s="46"/>
      <c r="O888" s="46"/>
      <c r="P888" s="46"/>
      <c r="R888" s="15">
        <v>7.0000000000000007E-2</v>
      </c>
      <c r="S888" s="18">
        <f>(Tabela224[[#This Row],[FRETE]]+Tabela224[[#This Row],[DESPESAS]]+Tabela224[[#This Row],[IPI]]+Tabela224[[#This Row],[Vl. Produto]])*Tabela224[[#This Row],[Aliq.%]]</f>
        <v>0</v>
      </c>
    </row>
    <row r="889" spans="13:19" x14ac:dyDescent="0.25">
      <c r="M889" s="46"/>
      <c r="N889" s="46"/>
      <c r="O889" s="46"/>
      <c r="P889" s="46"/>
      <c r="R889" s="15">
        <v>7.0000000000000007E-2</v>
      </c>
      <c r="S889" s="18">
        <f>(Tabela224[[#This Row],[FRETE]]+Tabela224[[#This Row],[DESPESAS]]+Tabela224[[#This Row],[IPI]]+Tabela224[[#This Row],[Vl. Produto]])*Tabela224[[#This Row],[Aliq.%]]</f>
        <v>0</v>
      </c>
    </row>
    <row r="890" spans="13:19" x14ac:dyDescent="0.25">
      <c r="M890" s="46"/>
      <c r="N890" s="46"/>
      <c r="O890" s="46"/>
      <c r="P890" s="46"/>
      <c r="R890" s="15">
        <v>7.0000000000000007E-2</v>
      </c>
      <c r="S890" s="18">
        <f>(Tabela224[[#This Row],[FRETE]]+Tabela224[[#This Row],[DESPESAS]]+Tabela224[[#This Row],[IPI]]+Tabela224[[#This Row],[Vl. Produto]])*Tabela224[[#This Row],[Aliq.%]]</f>
        <v>0</v>
      </c>
    </row>
    <row r="891" spans="13:19" x14ac:dyDescent="0.25">
      <c r="M891" s="46"/>
      <c r="N891" s="46"/>
      <c r="O891" s="46"/>
      <c r="P891" s="46"/>
      <c r="R891" s="15">
        <v>7.0000000000000007E-2</v>
      </c>
      <c r="S891" s="18">
        <f>(Tabela224[[#This Row],[FRETE]]+Tabela224[[#This Row],[DESPESAS]]+Tabela224[[#This Row],[IPI]]+Tabela224[[#This Row],[Vl. Produto]])*Tabela224[[#This Row],[Aliq.%]]</f>
        <v>0</v>
      </c>
    </row>
    <row r="892" spans="13:19" x14ac:dyDescent="0.25">
      <c r="M892" s="46"/>
      <c r="N892" s="46"/>
      <c r="O892" s="46"/>
      <c r="P892" s="46"/>
      <c r="R892" s="15">
        <v>7.0000000000000007E-2</v>
      </c>
      <c r="S892" s="18">
        <f>(Tabela224[[#This Row],[FRETE]]+Tabela224[[#This Row],[DESPESAS]]+Tabela224[[#This Row],[IPI]]+Tabela224[[#This Row],[Vl. Produto]])*Tabela224[[#This Row],[Aliq.%]]</f>
        <v>0</v>
      </c>
    </row>
    <row r="893" spans="13:19" x14ac:dyDescent="0.25">
      <c r="M893" s="46"/>
      <c r="N893" s="46"/>
      <c r="O893" s="46"/>
      <c r="P893" s="46"/>
      <c r="R893" s="15">
        <v>7.0000000000000007E-2</v>
      </c>
      <c r="S893" s="18">
        <f>(Tabela224[[#This Row],[FRETE]]+Tabela224[[#This Row],[DESPESAS]]+Tabela224[[#This Row],[IPI]]+Tabela224[[#This Row],[Vl. Produto]])*Tabela224[[#This Row],[Aliq.%]]</f>
        <v>0</v>
      </c>
    </row>
    <row r="894" spans="13:19" x14ac:dyDescent="0.25">
      <c r="M894" s="46"/>
      <c r="N894" s="46"/>
      <c r="O894" s="46"/>
      <c r="P894" s="46"/>
      <c r="R894" s="15">
        <v>7.0000000000000007E-2</v>
      </c>
      <c r="S894" s="18">
        <f>(Tabela224[[#This Row],[FRETE]]+Tabela224[[#This Row],[DESPESAS]]+Tabela224[[#This Row],[IPI]]+Tabela224[[#This Row],[Vl. Produto]])*Tabela224[[#This Row],[Aliq.%]]</f>
        <v>0</v>
      </c>
    </row>
    <row r="895" spans="13:19" x14ac:dyDescent="0.25">
      <c r="M895" s="46"/>
      <c r="N895" s="46"/>
      <c r="O895" s="46"/>
      <c r="P895" s="46"/>
      <c r="R895" s="15">
        <v>7.0000000000000007E-2</v>
      </c>
      <c r="S895" s="18">
        <f>(Tabela224[[#This Row],[FRETE]]+Tabela224[[#This Row],[DESPESAS]]+Tabela224[[#This Row],[IPI]]+Tabela224[[#This Row],[Vl. Produto]])*Tabela224[[#This Row],[Aliq.%]]</f>
        <v>0</v>
      </c>
    </row>
    <row r="896" spans="13:19" x14ac:dyDescent="0.25">
      <c r="M896" s="46"/>
      <c r="N896" s="46"/>
      <c r="O896" s="46"/>
      <c r="P896" s="46"/>
      <c r="R896" s="15">
        <v>7.0000000000000007E-2</v>
      </c>
      <c r="S896" s="18">
        <f>(Tabela224[[#This Row],[FRETE]]+Tabela224[[#This Row],[DESPESAS]]+Tabela224[[#This Row],[IPI]]+Tabela224[[#This Row],[Vl. Produto]])*Tabela224[[#This Row],[Aliq.%]]</f>
        <v>0</v>
      </c>
    </row>
    <row r="897" spans="13:19" x14ac:dyDescent="0.25">
      <c r="M897" s="46"/>
      <c r="N897" s="46"/>
      <c r="O897" s="46"/>
      <c r="P897" s="46"/>
      <c r="R897" s="15">
        <v>7.0000000000000007E-2</v>
      </c>
      <c r="S897" s="18">
        <f>(Tabela224[[#This Row],[FRETE]]+Tabela224[[#This Row],[DESPESAS]]+Tabela224[[#This Row],[IPI]]+Tabela224[[#This Row],[Vl. Produto]])*Tabela224[[#This Row],[Aliq.%]]</f>
        <v>0</v>
      </c>
    </row>
    <row r="898" spans="13:19" x14ac:dyDescent="0.25">
      <c r="M898" s="46"/>
      <c r="N898" s="46"/>
      <c r="O898" s="46"/>
      <c r="P898" s="46"/>
      <c r="R898" s="15">
        <v>7.0000000000000007E-2</v>
      </c>
      <c r="S898" s="18">
        <f>(Tabela224[[#This Row],[FRETE]]+Tabela224[[#This Row],[DESPESAS]]+Tabela224[[#This Row],[IPI]]+Tabela224[[#This Row],[Vl. Produto]])*Tabela224[[#This Row],[Aliq.%]]</f>
        <v>0</v>
      </c>
    </row>
    <row r="899" spans="13:19" x14ac:dyDescent="0.25">
      <c r="M899" s="46"/>
      <c r="N899" s="46"/>
      <c r="O899" s="46"/>
      <c r="P899" s="46"/>
      <c r="R899" s="15">
        <v>7.0000000000000007E-2</v>
      </c>
      <c r="S899" s="18">
        <f>(Tabela224[[#This Row],[FRETE]]+Tabela224[[#This Row],[DESPESAS]]+Tabela224[[#This Row],[IPI]]+Tabela224[[#This Row],[Vl. Produto]])*Tabela224[[#This Row],[Aliq.%]]</f>
        <v>0</v>
      </c>
    </row>
    <row r="900" spans="13:19" x14ac:dyDescent="0.25">
      <c r="M900" s="46"/>
      <c r="N900" s="46"/>
      <c r="O900" s="46"/>
      <c r="P900" s="46"/>
      <c r="R900" s="15">
        <v>7.0000000000000007E-2</v>
      </c>
      <c r="S900" s="18">
        <f>(Tabela224[[#This Row],[FRETE]]+Tabela224[[#This Row],[DESPESAS]]+Tabela224[[#This Row],[IPI]]+Tabela224[[#This Row],[Vl. Produto]])*Tabela224[[#This Row],[Aliq.%]]</f>
        <v>0</v>
      </c>
    </row>
    <row r="901" spans="13:19" x14ac:dyDescent="0.25">
      <c r="M901" s="46"/>
      <c r="N901" s="46"/>
      <c r="O901" s="46"/>
      <c r="P901" s="46"/>
      <c r="R901" s="15">
        <v>7.0000000000000007E-2</v>
      </c>
      <c r="S901" s="18">
        <f>(Tabela224[[#This Row],[FRETE]]+Tabela224[[#This Row],[DESPESAS]]+Tabela224[[#This Row],[IPI]]+Tabela224[[#This Row],[Vl. Produto]])*Tabela224[[#This Row],[Aliq.%]]</f>
        <v>0</v>
      </c>
    </row>
    <row r="902" spans="13:19" x14ac:dyDescent="0.25">
      <c r="M902" s="46"/>
      <c r="N902" s="46"/>
      <c r="O902" s="46"/>
      <c r="P902" s="46"/>
      <c r="R902" s="15">
        <v>7.0000000000000007E-2</v>
      </c>
      <c r="S902" s="18">
        <f>(Tabela224[[#This Row],[FRETE]]+Tabela224[[#This Row],[DESPESAS]]+Tabela224[[#This Row],[IPI]]+Tabela224[[#This Row],[Vl. Produto]])*Tabela224[[#This Row],[Aliq.%]]</f>
        <v>0</v>
      </c>
    </row>
    <row r="903" spans="13:19" x14ac:dyDescent="0.25">
      <c r="M903" s="46"/>
      <c r="N903" s="46"/>
      <c r="O903" s="46"/>
      <c r="P903" s="46"/>
      <c r="R903" s="15">
        <v>7.0000000000000007E-2</v>
      </c>
      <c r="S903" s="18">
        <f>(Tabela224[[#This Row],[FRETE]]+Tabela224[[#This Row],[DESPESAS]]+Tabela224[[#This Row],[IPI]]+Tabela224[[#This Row],[Vl. Produto]])*Tabela224[[#This Row],[Aliq.%]]</f>
        <v>0</v>
      </c>
    </row>
    <row r="904" spans="13:19" x14ac:dyDescent="0.25">
      <c r="M904" s="46"/>
      <c r="N904" s="46"/>
      <c r="O904" s="46"/>
      <c r="P904" s="46"/>
      <c r="R904" s="15">
        <v>7.0000000000000007E-2</v>
      </c>
      <c r="S904" s="18">
        <f>(Tabela224[[#This Row],[FRETE]]+Tabela224[[#This Row],[DESPESAS]]+Tabela224[[#This Row],[IPI]]+Tabela224[[#This Row],[Vl. Produto]])*Tabela224[[#This Row],[Aliq.%]]</f>
        <v>0</v>
      </c>
    </row>
    <row r="905" spans="13:19" x14ac:dyDescent="0.25">
      <c r="M905" s="46"/>
      <c r="N905" s="46"/>
      <c r="O905" s="46"/>
      <c r="P905" s="46"/>
      <c r="R905" s="15">
        <v>7.0000000000000007E-2</v>
      </c>
      <c r="S905" s="18">
        <f>(Tabela224[[#This Row],[FRETE]]+Tabela224[[#This Row],[DESPESAS]]+Tabela224[[#This Row],[IPI]]+Tabela224[[#This Row],[Vl. Produto]])*Tabela224[[#This Row],[Aliq.%]]</f>
        <v>0</v>
      </c>
    </row>
    <row r="906" spans="13:19" x14ac:dyDescent="0.25">
      <c r="M906" s="46"/>
      <c r="N906" s="46"/>
      <c r="O906" s="46"/>
      <c r="P906" s="46"/>
      <c r="R906" s="15">
        <v>7.0000000000000007E-2</v>
      </c>
      <c r="S906" s="18">
        <f>(Tabela224[[#This Row],[FRETE]]+Tabela224[[#This Row],[DESPESAS]]+Tabela224[[#This Row],[IPI]]+Tabela224[[#This Row],[Vl. Produto]])*Tabela224[[#This Row],[Aliq.%]]</f>
        <v>0</v>
      </c>
    </row>
    <row r="907" spans="13:19" x14ac:dyDescent="0.25">
      <c r="M907" s="46"/>
      <c r="N907" s="46"/>
      <c r="O907" s="46"/>
      <c r="P907" s="46"/>
      <c r="R907" s="15">
        <v>7.0000000000000007E-2</v>
      </c>
      <c r="S907" s="18">
        <f>(Tabela224[[#This Row],[FRETE]]+Tabela224[[#This Row],[DESPESAS]]+Tabela224[[#This Row],[IPI]]+Tabela224[[#This Row],[Vl. Produto]])*Tabela224[[#This Row],[Aliq.%]]</f>
        <v>0</v>
      </c>
    </row>
    <row r="908" spans="13:19" x14ac:dyDescent="0.25">
      <c r="M908" s="46"/>
      <c r="N908" s="46"/>
      <c r="O908" s="46"/>
      <c r="P908" s="46"/>
      <c r="R908" s="15">
        <v>7.0000000000000007E-2</v>
      </c>
      <c r="S908" s="18">
        <f>(Tabela224[[#This Row],[FRETE]]+Tabela224[[#This Row],[DESPESAS]]+Tabela224[[#This Row],[IPI]]+Tabela224[[#This Row],[Vl. Produto]])*Tabela224[[#This Row],[Aliq.%]]</f>
        <v>0</v>
      </c>
    </row>
    <row r="909" spans="13:19" x14ac:dyDescent="0.25">
      <c r="M909" s="46"/>
      <c r="N909" s="46"/>
      <c r="O909" s="46"/>
      <c r="P909" s="46"/>
      <c r="R909" s="15">
        <v>7.0000000000000007E-2</v>
      </c>
      <c r="S909" s="18">
        <f>(Tabela224[[#This Row],[FRETE]]+Tabela224[[#This Row],[DESPESAS]]+Tabela224[[#This Row],[IPI]]+Tabela224[[#This Row],[Vl. Produto]])*Tabela224[[#This Row],[Aliq.%]]</f>
        <v>0</v>
      </c>
    </row>
    <row r="910" spans="13:19" x14ac:dyDescent="0.25">
      <c r="M910" s="46"/>
      <c r="N910" s="46"/>
      <c r="O910" s="46"/>
      <c r="P910" s="46"/>
      <c r="R910" s="15">
        <v>7.0000000000000007E-2</v>
      </c>
      <c r="S910" s="18">
        <f>(Tabela224[[#This Row],[FRETE]]+Tabela224[[#This Row],[DESPESAS]]+Tabela224[[#This Row],[IPI]]+Tabela224[[#This Row],[Vl. Produto]])*Tabela224[[#This Row],[Aliq.%]]</f>
        <v>0</v>
      </c>
    </row>
    <row r="911" spans="13:19" x14ac:dyDescent="0.25">
      <c r="M911" s="46"/>
      <c r="N911" s="46"/>
      <c r="O911" s="46"/>
      <c r="P911" s="46"/>
      <c r="R911" s="15">
        <v>7.0000000000000007E-2</v>
      </c>
      <c r="S911" s="18">
        <f>(Tabela224[[#This Row],[FRETE]]+Tabela224[[#This Row],[DESPESAS]]+Tabela224[[#This Row],[IPI]]+Tabela224[[#This Row],[Vl. Produto]])*Tabela224[[#This Row],[Aliq.%]]</f>
        <v>0</v>
      </c>
    </row>
    <row r="912" spans="13:19" x14ac:dyDescent="0.25">
      <c r="M912" s="46"/>
      <c r="N912" s="46"/>
      <c r="O912" s="46"/>
      <c r="P912" s="46"/>
      <c r="R912" s="15">
        <v>7.0000000000000007E-2</v>
      </c>
      <c r="S912" s="18">
        <f>(Tabela224[[#This Row],[FRETE]]+Tabela224[[#This Row],[DESPESAS]]+Tabela224[[#This Row],[IPI]]+Tabela224[[#This Row],[Vl. Produto]])*Tabela224[[#This Row],[Aliq.%]]</f>
        <v>0</v>
      </c>
    </row>
    <row r="913" spans="13:19" x14ac:dyDescent="0.25">
      <c r="M913" s="46"/>
      <c r="N913" s="46"/>
      <c r="O913" s="46"/>
      <c r="P913" s="46"/>
      <c r="R913" s="15">
        <v>7.0000000000000007E-2</v>
      </c>
      <c r="S913" s="18">
        <f>(Tabela224[[#This Row],[FRETE]]+Tabela224[[#This Row],[DESPESAS]]+Tabela224[[#This Row],[IPI]]+Tabela224[[#This Row],[Vl. Produto]])*Tabela224[[#This Row],[Aliq.%]]</f>
        <v>0</v>
      </c>
    </row>
    <row r="914" spans="13:19" x14ac:dyDescent="0.25">
      <c r="M914" s="46"/>
      <c r="N914" s="46"/>
      <c r="O914" s="46"/>
      <c r="P914" s="46"/>
      <c r="R914" s="15">
        <v>7.0000000000000007E-2</v>
      </c>
      <c r="S914" s="18">
        <f>(Tabela224[[#This Row],[FRETE]]+Tabela224[[#This Row],[DESPESAS]]+Tabela224[[#This Row],[IPI]]+Tabela224[[#This Row],[Vl. Produto]])*Tabela224[[#This Row],[Aliq.%]]</f>
        <v>0</v>
      </c>
    </row>
    <row r="915" spans="13:19" x14ac:dyDescent="0.25">
      <c r="M915" s="46"/>
      <c r="N915" s="46"/>
      <c r="O915" s="46"/>
      <c r="P915" s="46"/>
      <c r="R915" s="15">
        <v>7.0000000000000007E-2</v>
      </c>
      <c r="S915" s="18">
        <f>(Tabela224[[#This Row],[FRETE]]+Tabela224[[#This Row],[DESPESAS]]+Tabela224[[#This Row],[IPI]]+Tabela224[[#This Row],[Vl. Produto]])*Tabela224[[#This Row],[Aliq.%]]</f>
        <v>0</v>
      </c>
    </row>
    <row r="916" spans="13:19" x14ac:dyDescent="0.25">
      <c r="M916" s="46"/>
      <c r="N916" s="46"/>
      <c r="O916" s="46"/>
      <c r="P916" s="46"/>
      <c r="R916" s="15">
        <v>7.0000000000000007E-2</v>
      </c>
      <c r="S916" s="18">
        <f>(Tabela224[[#This Row],[FRETE]]+Tabela224[[#This Row],[DESPESAS]]+Tabela224[[#This Row],[IPI]]+Tabela224[[#This Row],[Vl. Produto]])*Tabela224[[#This Row],[Aliq.%]]</f>
        <v>0</v>
      </c>
    </row>
    <row r="917" spans="13:19" x14ac:dyDescent="0.25">
      <c r="M917" s="46"/>
      <c r="N917" s="46"/>
      <c r="O917" s="46"/>
      <c r="P917" s="46"/>
      <c r="R917" s="15">
        <v>7.0000000000000007E-2</v>
      </c>
      <c r="S917" s="18">
        <f>(Tabela224[[#This Row],[FRETE]]+Tabela224[[#This Row],[DESPESAS]]+Tabela224[[#This Row],[IPI]]+Tabela224[[#This Row],[Vl. Produto]])*Tabela224[[#This Row],[Aliq.%]]</f>
        <v>0</v>
      </c>
    </row>
    <row r="918" spans="13:19" x14ac:dyDescent="0.25">
      <c r="M918" s="46"/>
      <c r="N918" s="46"/>
      <c r="O918" s="46"/>
      <c r="P918" s="46"/>
      <c r="R918" s="15">
        <v>7.0000000000000007E-2</v>
      </c>
      <c r="S918" s="18">
        <f>(Tabela224[[#This Row],[FRETE]]+Tabela224[[#This Row],[DESPESAS]]+Tabela224[[#This Row],[IPI]]+Tabela224[[#This Row],[Vl. Produto]])*Tabela224[[#This Row],[Aliq.%]]</f>
        <v>0</v>
      </c>
    </row>
    <row r="919" spans="13:19" x14ac:dyDescent="0.25">
      <c r="M919" s="46"/>
      <c r="N919" s="46"/>
      <c r="O919" s="46"/>
      <c r="P919" s="46"/>
      <c r="R919" s="15">
        <v>7.0000000000000007E-2</v>
      </c>
      <c r="S919" s="18">
        <f>(Tabela224[[#This Row],[FRETE]]+Tabela224[[#This Row],[DESPESAS]]+Tabela224[[#This Row],[IPI]]+Tabela224[[#This Row],[Vl. Produto]])*Tabela224[[#This Row],[Aliq.%]]</f>
        <v>0</v>
      </c>
    </row>
    <row r="920" spans="13:19" x14ac:dyDescent="0.25">
      <c r="M920" s="46"/>
      <c r="N920" s="46"/>
      <c r="O920" s="46"/>
      <c r="P920" s="46"/>
      <c r="R920" s="15">
        <v>7.0000000000000007E-2</v>
      </c>
      <c r="S920" s="18">
        <f>(Tabela224[[#This Row],[FRETE]]+Tabela224[[#This Row],[DESPESAS]]+Tabela224[[#This Row],[IPI]]+Tabela224[[#This Row],[Vl. Produto]])*Tabela224[[#This Row],[Aliq.%]]</f>
        <v>0</v>
      </c>
    </row>
    <row r="921" spans="13:19" x14ac:dyDescent="0.25">
      <c r="M921" s="46"/>
      <c r="N921" s="46"/>
      <c r="O921" s="46"/>
      <c r="P921" s="46"/>
      <c r="R921" s="15">
        <v>7.0000000000000007E-2</v>
      </c>
      <c r="S921" s="18">
        <f>(Tabela224[[#This Row],[FRETE]]+Tabela224[[#This Row],[DESPESAS]]+Tabela224[[#This Row],[IPI]]+Tabela224[[#This Row],[Vl. Produto]])*Tabela224[[#This Row],[Aliq.%]]</f>
        <v>0</v>
      </c>
    </row>
    <row r="922" spans="13:19" x14ac:dyDescent="0.25">
      <c r="M922" s="46"/>
      <c r="N922" s="46"/>
      <c r="O922" s="46"/>
      <c r="P922" s="46"/>
      <c r="R922" s="15">
        <v>7.0000000000000007E-2</v>
      </c>
      <c r="S922" s="18">
        <f>(Tabela224[[#This Row],[FRETE]]+Tabela224[[#This Row],[DESPESAS]]+Tabela224[[#This Row],[IPI]]+Tabela224[[#This Row],[Vl. Produto]])*Tabela224[[#This Row],[Aliq.%]]</f>
        <v>0</v>
      </c>
    </row>
    <row r="923" spans="13:19" x14ac:dyDescent="0.25">
      <c r="M923" s="46"/>
      <c r="N923" s="46"/>
      <c r="O923" s="46"/>
      <c r="P923" s="46"/>
      <c r="R923" s="15">
        <v>7.0000000000000007E-2</v>
      </c>
      <c r="S923" s="18">
        <f>(Tabela224[[#This Row],[FRETE]]+Tabela224[[#This Row],[DESPESAS]]+Tabela224[[#This Row],[IPI]]+Tabela224[[#This Row],[Vl. Produto]])*Tabela224[[#This Row],[Aliq.%]]</f>
        <v>0</v>
      </c>
    </row>
    <row r="924" spans="13:19" x14ac:dyDescent="0.25">
      <c r="M924" s="46"/>
      <c r="N924" s="46"/>
      <c r="O924" s="46"/>
      <c r="P924" s="46"/>
      <c r="R924" s="15">
        <v>7.0000000000000007E-2</v>
      </c>
      <c r="S924" s="18">
        <f>(Tabela224[[#This Row],[FRETE]]+Tabela224[[#This Row],[DESPESAS]]+Tabela224[[#This Row],[IPI]]+Tabela224[[#This Row],[Vl. Produto]])*Tabela224[[#This Row],[Aliq.%]]</f>
        <v>0</v>
      </c>
    </row>
    <row r="925" spans="13:19" x14ac:dyDescent="0.25">
      <c r="M925" s="46"/>
      <c r="N925" s="46"/>
      <c r="O925" s="46"/>
      <c r="P925" s="46"/>
      <c r="R925" s="15">
        <v>7.0000000000000007E-2</v>
      </c>
      <c r="S925" s="18">
        <f>(Tabela224[[#This Row],[FRETE]]+Tabela224[[#This Row],[DESPESAS]]+Tabela224[[#This Row],[IPI]]+Tabela224[[#This Row],[Vl. Produto]])*Tabela224[[#This Row],[Aliq.%]]</f>
        <v>0</v>
      </c>
    </row>
    <row r="926" spans="13:19" x14ac:dyDescent="0.25">
      <c r="M926" s="46"/>
      <c r="N926" s="46"/>
      <c r="O926" s="46"/>
      <c r="P926" s="46"/>
      <c r="R926" s="15">
        <v>7.0000000000000007E-2</v>
      </c>
      <c r="S926" s="18">
        <f>(Tabela224[[#This Row],[FRETE]]+Tabela224[[#This Row],[DESPESAS]]+Tabela224[[#This Row],[IPI]]+Tabela224[[#This Row],[Vl. Produto]])*Tabela224[[#This Row],[Aliq.%]]</f>
        <v>0</v>
      </c>
    </row>
    <row r="927" spans="13:19" x14ac:dyDescent="0.25">
      <c r="M927" s="46"/>
      <c r="N927" s="46"/>
      <c r="O927" s="46"/>
      <c r="P927" s="46"/>
      <c r="R927" s="15">
        <v>7.0000000000000007E-2</v>
      </c>
      <c r="S927" s="18">
        <f>(Tabela224[[#This Row],[FRETE]]+Tabela224[[#This Row],[DESPESAS]]+Tabela224[[#This Row],[IPI]]+Tabela224[[#This Row],[Vl. Produto]])*Tabela224[[#This Row],[Aliq.%]]</f>
        <v>0</v>
      </c>
    </row>
    <row r="928" spans="13:19" x14ac:dyDescent="0.25">
      <c r="M928" s="46"/>
      <c r="N928" s="46"/>
      <c r="O928" s="46"/>
      <c r="P928" s="46"/>
      <c r="R928" s="15">
        <v>7.0000000000000007E-2</v>
      </c>
      <c r="S928" s="18">
        <f>(Tabela224[[#This Row],[FRETE]]+Tabela224[[#This Row],[DESPESAS]]+Tabela224[[#This Row],[IPI]]+Tabela224[[#This Row],[Vl. Produto]])*Tabela224[[#This Row],[Aliq.%]]</f>
        <v>0</v>
      </c>
    </row>
    <row r="929" spans="13:19" x14ac:dyDescent="0.25">
      <c r="M929" s="46"/>
      <c r="N929" s="46"/>
      <c r="O929" s="46"/>
      <c r="P929" s="46"/>
      <c r="R929" s="15">
        <v>7.0000000000000007E-2</v>
      </c>
      <c r="S929" s="18">
        <f>(Tabela224[[#This Row],[FRETE]]+Tabela224[[#This Row],[DESPESAS]]+Tabela224[[#This Row],[IPI]]+Tabela224[[#This Row],[Vl. Produto]])*Tabela224[[#This Row],[Aliq.%]]</f>
        <v>0</v>
      </c>
    </row>
    <row r="930" spans="13:19" x14ac:dyDescent="0.25">
      <c r="M930" s="46"/>
      <c r="N930" s="46"/>
      <c r="O930" s="46"/>
      <c r="P930" s="46"/>
      <c r="R930" s="15">
        <v>7.0000000000000007E-2</v>
      </c>
      <c r="S930" s="18">
        <f>(Tabela224[[#This Row],[FRETE]]+Tabela224[[#This Row],[DESPESAS]]+Tabela224[[#This Row],[IPI]]+Tabela224[[#This Row],[Vl. Produto]])*Tabela224[[#This Row],[Aliq.%]]</f>
        <v>0</v>
      </c>
    </row>
    <row r="931" spans="13:19" x14ac:dyDescent="0.25">
      <c r="M931" s="46"/>
      <c r="N931" s="46"/>
      <c r="O931" s="46"/>
      <c r="P931" s="46"/>
      <c r="R931" s="15">
        <v>7.0000000000000007E-2</v>
      </c>
      <c r="S931" s="18">
        <f>(Tabela224[[#This Row],[FRETE]]+Tabela224[[#This Row],[DESPESAS]]+Tabela224[[#This Row],[IPI]]+Tabela224[[#This Row],[Vl. Produto]])*Tabela224[[#This Row],[Aliq.%]]</f>
        <v>0</v>
      </c>
    </row>
    <row r="932" spans="13:19" x14ac:dyDescent="0.25">
      <c r="M932" s="46"/>
      <c r="N932" s="46"/>
      <c r="O932" s="46"/>
      <c r="P932" s="46"/>
      <c r="R932" s="15">
        <v>7.0000000000000007E-2</v>
      </c>
      <c r="S932" s="18">
        <f>(Tabela224[[#This Row],[FRETE]]+Tabela224[[#This Row],[DESPESAS]]+Tabela224[[#This Row],[IPI]]+Tabela224[[#This Row],[Vl. Produto]])*Tabela224[[#This Row],[Aliq.%]]</f>
        <v>0</v>
      </c>
    </row>
    <row r="933" spans="13:19" x14ac:dyDescent="0.25">
      <c r="M933" s="46"/>
      <c r="N933" s="46"/>
      <c r="O933" s="46"/>
      <c r="P933" s="46"/>
      <c r="R933" s="15">
        <v>7.0000000000000007E-2</v>
      </c>
      <c r="S933" s="18">
        <f>(Tabela224[[#This Row],[FRETE]]+Tabela224[[#This Row],[DESPESAS]]+Tabela224[[#This Row],[IPI]]+Tabela224[[#This Row],[Vl. Produto]])*Tabela224[[#This Row],[Aliq.%]]</f>
        <v>0</v>
      </c>
    </row>
    <row r="934" spans="13:19" x14ac:dyDescent="0.25">
      <c r="M934" s="46"/>
      <c r="N934" s="46"/>
      <c r="O934" s="46"/>
      <c r="P934" s="46"/>
      <c r="R934" s="15">
        <v>7.0000000000000007E-2</v>
      </c>
      <c r="S934" s="18">
        <f>(Tabela224[[#This Row],[FRETE]]+Tabela224[[#This Row],[DESPESAS]]+Tabela224[[#This Row],[IPI]]+Tabela224[[#This Row],[Vl. Produto]])*Tabela224[[#This Row],[Aliq.%]]</f>
        <v>0</v>
      </c>
    </row>
    <row r="935" spans="13:19" x14ac:dyDescent="0.25">
      <c r="M935" s="46"/>
      <c r="N935" s="46"/>
      <c r="O935" s="46"/>
      <c r="P935" s="46"/>
      <c r="R935" s="15">
        <v>7.0000000000000007E-2</v>
      </c>
      <c r="S935" s="18">
        <f>(Tabela224[[#This Row],[FRETE]]+Tabela224[[#This Row],[DESPESAS]]+Tabela224[[#This Row],[IPI]]+Tabela224[[#This Row],[Vl. Produto]])*Tabela224[[#This Row],[Aliq.%]]</f>
        <v>0</v>
      </c>
    </row>
    <row r="936" spans="13:19" x14ac:dyDescent="0.25">
      <c r="M936" s="46"/>
      <c r="N936" s="46"/>
      <c r="O936" s="46"/>
      <c r="P936" s="46"/>
      <c r="R936" s="15">
        <v>7.0000000000000007E-2</v>
      </c>
      <c r="S936" s="18">
        <f>(Tabela224[[#This Row],[FRETE]]+Tabela224[[#This Row],[DESPESAS]]+Tabela224[[#This Row],[IPI]]+Tabela224[[#This Row],[Vl. Produto]])*Tabela224[[#This Row],[Aliq.%]]</f>
        <v>0</v>
      </c>
    </row>
    <row r="937" spans="13:19" x14ac:dyDescent="0.25">
      <c r="M937" s="46"/>
      <c r="N937" s="46"/>
      <c r="O937" s="46"/>
      <c r="P937" s="46"/>
      <c r="R937" s="15">
        <v>7.0000000000000007E-2</v>
      </c>
      <c r="S937" s="18">
        <f>(Tabela224[[#This Row],[FRETE]]+Tabela224[[#This Row],[DESPESAS]]+Tabela224[[#This Row],[IPI]]+Tabela224[[#This Row],[Vl. Produto]])*Tabela224[[#This Row],[Aliq.%]]</f>
        <v>0</v>
      </c>
    </row>
    <row r="938" spans="13:19" x14ac:dyDescent="0.25">
      <c r="M938" s="46"/>
      <c r="N938" s="46"/>
      <c r="O938" s="46"/>
      <c r="P938" s="46"/>
      <c r="R938" s="15">
        <v>7.0000000000000007E-2</v>
      </c>
      <c r="S938" s="18">
        <f>(Tabela224[[#This Row],[FRETE]]+Tabela224[[#This Row],[DESPESAS]]+Tabela224[[#This Row],[IPI]]+Tabela224[[#This Row],[Vl. Produto]])*Tabela224[[#This Row],[Aliq.%]]</f>
        <v>0</v>
      </c>
    </row>
    <row r="939" spans="13:19" x14ac:dyDescent="0.25">
      <c r="M939" s="46"/>
      <c r="N939" s="46"/>
      <c r="O939" s="46"/>
      <c r="P939" s="46"/>
      <c r="R939" s="15">
        <v>7.0000000000000007E-2</v>
      </c>
      <c r="S939" s="18">
        <f>(Tabela224[[#This Row],[FRETE]]+Tabela224[[#This Row],[DESPESAS]]+Tabela224[[#This Row],[IPI]]+Tabela224[[#This Row],[Vl. Produto]])*Tabela224[[#This Row],[Aliq.%]]</f>
        <v>0</v>
      </c>
    </row>
    <row r="940" spans="13:19" x14ac:dyDescent="0.25">
      <c r="M940" s="46"/>
      <c r="N940" s="46"/>
      <c r="O940" s="46"/>
      <c r="P940" s="46"/>
      <c r="R940" s="15">
        <v>7.0000000000000007E-2</v>
      </c>
      <c r="S940" s="18">
        <f>(Tabela224[[#This Row],[FRETE]]+Tabela224[[#This Row],[DESPESAS]]+Tabela224[[#This Row],[IPI]]+Tabela224[[#This Row],[Vl. Produto]])*Tabela224[[#This Row],[Aliq.%]]</f>
        <v>0</v>
      </c>
    </row>
    <row r="941" spans="13:19" x14ac:dyDescent="0.25">
      <c r="M941" s="46"/>
      <c r="N941" s="46"/>
      <c r="O941" s="46"/>
      <c r="P941" s="46"/>
      <c r="R941" s="15">
        <v>7.0000000000000007E-2</v>
      </c>
      <c r="S941" s="18">
        <f>(Tabela224[[#This Row],[FRETE]]+Tabela224[[#This Row],[DESPESAS]]+Tabela224[[#This Row],[IPI]]+Tabela224[[#This Row],[Vl. Produto]])*Tabela224[[#This Row],[Aliq.%]]</f>
        <v>0</v>
      </c>
    </row>
    <row r="942" spans="13:19" x14ac:dyDescent="0.25">
      <c r="M942" s="46"/>
      <c r="N942" s="46"/>
      <c r="O942" s="46"/>
      <c r="P942" s="46"/>
      <c r="R942" s="15">
        <v>7.0000000000000007E-2</v>
      </c>
      <c r="S942" s="18">
        <f>(Tabela224[[#This Row],[FRETE]]+Tabela224[[#This Row],[DESPESAS]]+Tabela224[[#This Row],[IPI]]+Tabela224[[#This Row],[Vl. Produto]])*Tabela224[[#This Row],[Aliq.%]]</f>
        <v>0</v>
      </c>
    </row>
    <row r="943" spans="13:19" x14ac:dyDescent="0.25">
      <c r="M943" s="46"/>
      <c r="N943" s="46"/>
      <c r="O943" s="46"/>
      <c r="P943" s="46"/>
      <c r="R943" s="15">
        <v>7.0000000000000007E-2</v>
      </c>
      <c r="S943" s="18">
        <f>(Tabela224[[#This Row],[FRETE]]+Tabela224[[#This Row],[DESPESAS]]+Tabela224[[#This Row],[IPI]]+Tabela224[[#This Row],[Vl. Produto]])*Tabela224[[#This Row],[Aliq.%]]</f>
        <v>0</v>
      </c>
    </row>
    <row r="944" spans="13:19" x14ac:dyDescent="0.25">
      <c r="M944" s="46"/>
      <c r="N944" s="46"/>
      <c r="O944" s="46"/>
      <c r="P944" s="46"/>
      <c r="R944" s="15">
        <v>7.0000000000000007E-2</v>
      </c>
      <c r="S944" s="18">
        <f>(Tabela224[[#This Row],[FRETE]]+Tabela224[[#This Row],[DESPESAS]]+Tabela224[[#This Row],[IPI]]+Tabela224[[#This Row],[Vl. Produto]])*Tabela224[[#This Row],[Aliq.%]]</f>
        <v>0</v>
      </c>
    </row>
    <row r="945" spans="13:19" x14ac:dyDescent="0.25">
      <c r="M945" s="46"/>
      <c r="N945" s="46"/>
      <c r="O945" s="46"/>
      <c r="P945" s="46"/>
      <c r="R945" s="15">
        <v>7.0000000000000007E-2</v>
      </c>
      <c r="S945" s="18">
        <f>(Tabela224[[#This Row],[FRETE]]+Tabela224[[#This Row],[DESPESAS]]+Tabela224[[#This Row],[IPI]]+Tabela224[[#This Row],[Vl. Produto]])*Tabela224[[#This Row],[Aliq.%]]</f>
        <v>0</v>
      </c>
    </row>
    <row r="946" spans="13:19" x14ac:dyDescent="0.25">
      <c r="M946" s="46"/>
      <c r="N946" s="46"/>
      <c r="O946" s="46"/>
      <c r="P946" s="46"/>
      <c r="R946" s="15">
        <v>7.0000000000000007E-2</v>
      </c>
      <c r="S946" s="18">
        <f>(Tabela224[[#This Row],[FRETE]]+Tabela224[[#This Row],[DESPESAS]]+Tabela224[[#This Row],[IPI]]+Tabela224[[#This Row],[Vl. Produto]])*Tabela224[[#This Row],[Aliq.%]]</f>
        <v>0</v>
      </c>
    </row>
    <row r="947" spans="13:19" x14ac:dyDescent="0.25">
      <c r="M947" s="46"/>
      <c r="N947" s="46"/>
      <c r="O947" s="46"/>
      <c r="P947" s="46"/>
      <c r="R947" s="15">
        <v>7.0000000000000007E-2</v>
      </c>
      <c r="S947" s="18">
        <f>(Tabela224[[#This Row],[FRETE]]+Tabela224[[#This Row],[DESPESAS]]+Tabela224[[#This Row],[IPI]]+Tabela224[[#This Row],[Vl. Produto]])*Tabela224[[#This Row],[Aliq.%]]</f>
        <v>0</v>
      </c>
    </row>
    <row r="948" spans="13:19" x14ac:dyDescent="0.25">
      <c r="M948" s="46"/>
      <c r="N948" s="46"/>
      <c r="O948" s="46"/>
      <c r="P948" s="46"/>
      <c r="R948" s="15">
        <v>7.0000000000000007E-2</v>
      </c>
      <c r="S948" s="18">
        <f>(Tabela224[[#This Row],[FRETE]]+Tabela224[[#This Row],[DESPESAS]]+Tabela224[[#This Row],[IPI]]+Tabela224[[#This Row],[Vl. Produto]])*Tabela224[[#This Row],[Aliq.%]]</f>
        <v>0</v>
      </c>
    </row>
    <row r="949" spans="13:19" x14ac:dyDescent="0.25">
      <c r="M949" s="46"/>
      <c r="N949" s="46"/>
      <c r="O949" s="46"/>
      <c r="P949" s="46"/>
      <c r="R949" s="15">
        <v>7.0000000000000007E-2</v>
      </c>
      <c r="S949" s="18">
        <f>(Tabela224[[#This Row],[FRETE]]+Tabela224[[#This Row],[DESPESAS]]+Tabela224[[#This Row],[IPI]]+Tabela224[[#This Row],[Vl. Produto]])*Tabela224[[#This Row],[Aliq.%]]</f>
        <v>0</v>
      </c>
    </row>
    <row r="950" spans="13:19" x14ac:dyDescent="0.25">
      <c r="M950" s="46"/>
      <c r="N950" s="46"/>
      <c r="O950" s="46"/>
      <c r="P950" s="46"/>
      <c r="R950" s="15">
        <v>7.0000000000000007E-2</v>
      </c>
      <c r="S950" s="18">
        <f>(Tabela224[[#This Row],[FRETE]]+Tabela224[[#This Row],[DESPESAS]]+Tabela224[[#This Row],[IPI]]+Tabela224[[#This Row],[Vl. Produto]])*Tabela224[[#This Row],[Aliq.%]]</f>
        <v>0</v>
      </c>
    </row>
    <row r="951" spans="13:19" x14ac:dyDescent="0.25">
      <c r="M951" s="46"/>
      <c r="N951" s="46"/>
      <c r="O951" s="46"/>
      <c r="P951" s="46"/>
      <c r="R951" s="15">
        <v>7.0000000000000007E-2</v>
      </c>
      <c r="S951" s="18">
        <f>(Tabela224[[#This Row],[FRETE]]+Tabela224[[#This Row],[DESPESAS]]+Tabela224[[#This Row],[IPI]]+Tabela224[[#This Row],[Vl. Produto]])*Tabela224[[#This Row],[Aliq.%]]</f>
        <v>0</v>
      </c>
    </row>
    <row r="952" spans="13:19" x14ac:dyDescent="0.25">
      <c r="M952" s="46"/>
      <c r="N952" s="46"/>
      <c r="O952" s="46"/>
      <c r="P952" s="46"/>
      <c r="R952" s="15">
        <v>7.0000000000000007E-2</v>
      </c>
      <c r="S952" s="18">
        <f>(Tabela224[[#This Row],[FRETE]]+Tabela224[[#This Row],[DESPESAS]]+Tabela224[[#This Row],[IPI]]+Tabela224[[#This Row],[Vl. Produto]])*Tabela224[[#This Row],[Aliq.%]]</f>
        <v>0</v>
      </c>
    </row>
    <row r="953" spans="13:19" x14ac:dyDescent="0.25">
      <c r="M953" s="46"/>
      <c r="N953" s="46"/>
      <c r="O953" s="46"/>
      <c r="P953" s="46"/>
      <c r="R953" s="15">
        <v>7.0000000000000007E-2</v>
      </c>
      <c r="S953" s="18">
        <f>(Tabela224[[#This Row],[FRETE]]+Tabela224[[#This Row],[DESPESAS]]+Tabela224[[#This Row],[IPI]]+Tabela224[[#This Row],[Vl. Produto]])*Tabela224[[#This Row],[Aliq.%]]</f>
        <v>0</v>
      </c>
    </row>
    <row r="954" spans="13:19" x14ac:dyDescent="0.25">
      <c r="M954" s="46"/>
      <c r="N954" s="46"/>
      <c r="O954" s="46"/>
      <c r="P954" s="46"/>
      <c r="R954" s="15">
        <v>7.0000000000000007E-2</v>
      </c>
      <c r="S954" s="18">
        <f>(Tabela224[[#This Row],[FRETE]]+Tabela224[[#This Row],[DESPESAS]]+Tabela224[[#This Row],[IPI]]+Tabela224[[#This Row],[Vl. Produto]])*Tabela224[[#This Row],[Aliq.%]]</f>
        <v>0</v>
      </c>
    </row>
    <row r="955" spans="13:19" x14ac:dyDescent="0.25">
      <c r="M955" s="46"/>
      <c r="N955" s="46"/>
      <c r="O955" s="46"/>
      <c r="P955" s="46"/>
      <c r="R955" s="15">
        <v>7.0000000000000007E-2</v>
      </c>
      <c r="S955" s="18">
        <f>(Tabela224[[#This Row],[FRETE]]+Tabela224[[#This Row],[DESPESAS]]+Tabela224[[#This Row],[IPI]]+Tabela224[[#This Row],[Vl. Produto]])*Tabela224[[#This Row],[Aliq.%]]</f>
        <v>0</v>
      </c>
    </row>
    <row r="956" spans="13:19" x14ac:dyDescent="0.25">
      <c r="M956" s="46"/>
      <c r="N956" s="46"/>
      <c r="O956" s="46"/>
      <c r="P956" s="46"/>
      <c r="R956" s="15">
        <v>7.0000000000000007E-2</v>
      </c>
      <c r="S956" s="18">
        <f>(Tabela224[[#This Row],[FRETE]]+Tabela224[[#This Row],[DESPESAS]]+Tabela224[[#This Row],[IPI]]+Tabela224[[#This Row],[Vl. Produto]])*Tabela224[[#This Row],[Aliq.%]]</f>
        <v>0</v>
      </c>
    </row>
    <row r="957" spans="13:19" x14ac:dyDescent="0.25">
      <c r="M957" s="46"/>
      <c r="N957" s="46"/>
      <c r="O957" s="46"/>
      <c r="P957" s="46"/>
      <c r="R957" s="15">
        <v>7.0000000000000007E-2</v>
      </c>
      <c r="S957" s="18">
        <f>(Tabela224[[#This Row],[FRETE]]+Tabela224[[#This Row],[DESPESAS]]+Tabela224[[#This Row],[IPI]]+Tabela224[[#This Row],[Vl. Produto]])*Tabela224[[#This Row],[Aliq.%]]</f>
        <v>0</v>
      </c>
    </row>
    <row r="958" spans="13:19" x14ac:dyDescent="0.25">
      <c r="M958" s="46"/>
      <c r="N958" s="46"/>
      <c r="O958" s="46"/>
      <c r="P958" s="46"/>
      <c r="R958" s="15">
        <v>7.0000000000000007E-2</v>
      </c>
      <c r="S958" s="18">
        <f>(Tabela224[[#This Row],[FRETE]]+Tabela224[[#This Row],[DESPESAS]]+Tabela224[[#This Row],[IPI]]+Tabela224[[#This Row],[Vl. Produto]])*Tabela224[[#This Row],[Aliq.%]]</f>
        <v>0</v>
      </c>
    </row>
    <row r="959" spans="13:19" x14ac:dyDescent="0.25">
      <c r="M959" s="46"/>
      <c r="N959" s="46"/>
      <c r="O959" s="46"/>
      <c r="P959" s="46"/>
      <c r="R959" s="15">
        <v>7.0000000000000007E-2</v>
      </c>
      <c r="S959" s="18">
        <f>(Tabela224[[#This Row],[FRETE]]+Tabela224[[#This Row],[DESPESAS]]+Tabela224[[#This Row],[IPI]]+Tabela224[[#This Row],[Vl. Produto]])*Tabela224[[#This Row],[Aliq.%]]</f>
        <v>0</v>
      </c>
    </row>
    <row r="960" spans="13:19" x14ac:dyDescent="0.25">
      <c r="M960" s="46"/>
      <c r="N960" s="46"/>
      <c r="O960" s="46"/>
      <c r="P960" s="46"/>
      <c r="R960" s="15">
        <v>7.0000000000000007E-2</v>
      </c>
      <c r="S960" s="18">
        <f>(Tabela224[[#This Row],[FRETE]]+Tabela224[[#This Row],[DESPESAS]]+Tabela224[[#This Row],[IPI]]+Tabela224[[#This Row],[Vl. Produto]])*Tabela224[[#This Row],[Aliq.%]]</f>
        <v>0</v>
      </c>
    </row>
    <row r="961" spans="13:19" x14ac:dyDescent="0.25">
      <c r="M961" s="46"/>
      <c r="N961" s="46"/>
      <c r="O961" s="46"/>
      <c r="P961" s="46"/>
      <c r="R961" s="15">
        <v>7.0000000000000007E-2</v>
      </c>
      <c r="S961" s="18">
        <f>(Tabela224[[#This Row],[FRETE]]+Tabela224[[#This Row],[DESPESAS]]+Tabela224[[#This Row],[IPI]]+Tabela224[[#This Row],[Vl. Produto]])*Tabela224[[#This Row],[Aliq.%]]</f>
        <v>0</v>
      </c>
    </row>
    <row r="962" spans="13:19" x14ac:dyDescent="0.25">
      <c r="M962" s="46"/>
      <c r="N962" s="46"/>
      <c r="O962" s="46"/>
      <c r="P962" s="46"/>
      <c r="R962" s="15">
        <v>7.0000000000000007E-2</v>
      </c>
      <c r="S962" s="18">
        <f>(Tabela224[[#This Row],[FRETE]]+Tabela224[[#This Row],[DESPESAS]]+Tabela224[[#This Row],[IPI]]+Tabela224[[#This Row],[Vl. Produto]])*Tabela224[[#This Row],[Aliq.%]]</f>
        <v>0</v>
      </c>
    </row>
    <row r="963" spans="13:19" x14ac:dyDescent="0.25">
      <c r="M963" s="46"/>
      <c r="N963" s="46"/>
      <c r="O963" s="46"/>
      <c r="P963" s="46"/>
      <c r="R963" s="15">
        <v>7.0000000000000007E-2</v>
      </c>
      <c r="S963" s="18">
        <f>(Tabela224[[#This Row],[FRETE]]+Tabela224[[#This Row],[DESPESAS]]+Tabela224[[#This Row],[IPI]]+Tabela224[[#This Row],[Vl. Produto]])*Tabela224[[#This Row],[Aliq.%]]</f>
        <v>0</v>
      </c>
    </row>
    <row r="964" spans="13:19" x14ac:dyDescent="0.25">
      <c r="M964" s="46"/>
      <c r="N964" s="46"/>
      <c r="O964" s="46"/>
      <c r="P964" s="46"/>
      <c r="R964" s="15">
        <v>7.0000000000000007E-2</v>
      </c>
      <c r="S964" s="18">
        <f>(Tabela224[[#This Row],[FRETE]]+Tabela224[[#This Row],[DESPESAS]]+Tabela224[[#This Row],[IPI]]+Tabela224[[#This Row],[Vl. Produto]])*Tabela224[[#This Row],[Aliq.%]]</f>
        <v>0</v>
      </c>
    </row>
    <row r="965" spans="13:19" x14ac:dyDescent="0.25">
      <c r="M965" s="46"/>
      <c r="N965" s="46"/>
      <c r="O965" s="46"/>
      <c r="P965" s="46"/>
      <c r="R965" s="15">
        <v>7.0000000000000007E-2</v>
      </c>
      <c r="S965" s="18">
        <f>(Tabela224[[#This Row],[FRETE]]+Tabela224[[#This Row],[DESPESAS]]+Tabela224[[#This Row],[IPI]]+Tabela224[[#This Row],[Vl. Produto]])*Tabela224[[#This Row],[Aliq.%]]</f>
        <v>0</v>
      </c>
    </row>
    <row r="966" spans="13:19" x14ac:dyDescent="0.25">
      <c r="M966" s="46"/>
      <c r="N966" s="46"/>
      <c r="O966" s="46"/>
      <c r="P966" s="46"/>
      <c r="R966" s="15">
        <v>7.0000000000000007E-2</v>
      </c>
      <c r="S966" s="18">
        <f>(Tabela224[[#This Row],[FRETE]]+Tabela224[[#This Row],[DESPESAS]]+Tabela224[[#This Row],[IPI]]+Tabela224[[#This Row],[Vl. Produto]])*Tabela224[[#This Row],[Aliq.%]]</f>
        <v>0</v>
      </c>
    </row>
    <row r="967" spans="13:19" x14ac:dyDescent="0.25">
      <c r="M967" s="46"/>
      <c r="N967" s="46"/>
      <c r="O967" s="46"/>
      <c r="P967" s="46"/>
      <c r="R967" s="15">
        <v>7.0000000000000007E-2</v>
      </c>
      <c r="S967" s="18">
        <f>(Tabela224[[#This Row],[FRETE]]+Tabela224[[#This Row],[DESPESAS]]+Tabela224[[#This Row],[IPI]]+Tabela224[[#This Row],[Vl. Produto]])*Tabela224[[#This Row],[Aliq.%]]</f>
        <v>0</v>
      </c>
    </row>
    <row r="968" spans="13:19" x14ac:dyDescent="0.25">
      <c r="M968" s="46"/>
      <c r="N968" s="46"/>
      <c r="O968" s="46"/>
      <c r="P968" s="46"/>
      <c r="R968" s="15">
        <v>7.0000000000000007E-2</v>
      </c>
      <c r="S968" s="18">
        <f>(Tabela224[[#This Row],[FRETE]]+Tabela224[[#This Row],[DESPESAS]]+Tabela224[[#This Row],[IPI]]+Tabela224[[#This Row],[Vl. Produto]])*Tabela224[[#This Row],[Aliq.%]]</f>
        <v>0</v>
      </c>
    </row>
    <row r="969" spans="13:19" x14ac:dyDescent="0.25">
      <c r="M969" s="46"/>
      <c r="N969" s="46"/>
      <c r="O969" s="46"/>
      <c r="P969" s="46"/>
      <c r="R969" s="15">
        <v>7.0000000000000007E-2</v>
      </c>
      <c r="S969" s="18">
        <f>(Tabela224[[#This Row],[FRETE]]+Tabela224[[#This Row],[DESPESAS]]+Tabela224[[#This Row],[IPI]]+Tabela224[[#This Row],[Vl. Produto]])*Tabela224[[#This Row],[Aliq.%]]</f>
        <v>0</v>
      </c>
    </row>
    <row r="970" spans="13:19" x14ac:dyDescent="0.25">
      <c r="M970" s="46"/>
      <c r="N970" s="46"/>
      <c r="O970" s="46"/>
      <c r="P970" s="46"/>
      <c r="R970" s="15">
        <v>7.0000000000000007E-2</v>
      </c>
      <c r="S970" s="18">
        <f>(Tabela224[[#This Row],[FRETE]]+Tabela224[[#This Row],[DESPESAS]]+Tabela224[[#This Row],[IPI]]+Tabela224[[#This Row],[Vl. Produto]])*Tabela224[[#This Row],[Aliq.%]]</f>
        <v>0</v>
      </c>
    </row>
    <row r="971" spans="13:19" x14ac:dyDescent="0.25">
      <c r="M971" s="46"/>
      <c r="N971" s="46"/>
      <c r="O971" s="46"/>
      <c r="P971" s="46"/>
      <c r="R971" s="15">
        <v>7.0000000000000007E-2</v>
      </c>
      <c r="S971" s="18">
        <f>(Tabela224[[#This Row],[FRETE]]+Tabela224[[#This Row],[DESPESAS]]+Tabela224[[#This Row],[IPI]]+Tabela224[[#This Row],[Vl. Produto]])*Tabela224[[#This Row],[Aliq.%]]</f>
        <v>0</v>
      </c>
    </row>
    <row r="972" spans="13:19" x14ac:dyDescent="0.25">
      <c r="M972" s="46"/>
      <c r="N972" s="46"/>
      <c r="O972" s="46"/>
      <c r="P972" s="46"/>
      <c r="R972" s="15">
        <v>7.0000000000000007E-2</v>
      </c>
      <c r="S972" s="18">
        <f>(Tabela224[[#This Row],[FRETE]]+Tabela224[[#This Row],[DESPESAS]]+Tabela224[[#This Row],[IPI]]+Tabela224[[#This Row],[Vl. Produto]])*Tabela224[[#This Row],[Aliq.%]]</f>
        <v>0</v>
      </c>
    </row>
    <row r="973" spans="13:19" x14ac:dyDescent="0.25">
      <c r="M973" s="46"/>
      <c r="N973" s="46"/>
      <c r="O973" s="46"/>
      <c r="P973" s="46"/>
      <c r="R973" s="15">
        <v>7.0000000000000007E-2</v>
      </c>
      <c r="S973" s="18">
        <f>(Tabela224[[#This Row],[FRETE]]+Tabela224[[#This Row],[DESPESAS]]+Tabela224[[#This Row],[IPI]]+Tabela224[[#This Row],[Vl. Produto]])*Tabela224[[#This Row],[Aliq.%]]</f>
        <v>0</v>
      </c>
    </row>
    <row r="974" spans="13:19" x14ac:dyDescent="0.25">
      <c r="M974" s="46"/>
      <c r="N974" s="46"/>
      <c r="O974" s="46"/>
      <c r="P974" s="46"/>
      <c r="R974" s="15">
        <v>7.0000000000000007E-2</v>
      </c>
      <c r="S974" s="18">
        <f>(Tabela224[[#This Row],[FRETE]]+Tabela224[[#This Row],[DESPESAS]]+Tabela224[[#This Row],[IPI]]+Tabela224[[#This Row],[Vl. Produto]])*Tabela224[[#This Row],[Aliq.%]]</f>
        <v>0</v>
      </c>
    </row>
    <row r="975" spans="13:19" x14ac:dyDescent="0.25">
      <c r="M975" s="46"/>
      <c r="N975" s="46"/>
      <c r="O975" s="46"/>
      <c r="P975" s="46"/>
      <c r="R975" s="15">
        <v>7.0000000000000007E-2</v>
      </c>
      <c r="S975" s="18">
        <f>(Tabela224[[#This Row],[FRETE]]+Tabela224[[#This Row],[DESPESAS]]+Tabela224[[#This Row],[IPI]]+Tabela224[[#This Row],[Vl. Produto]])*Tabela224[[#This Row],[Aliq.%]]</f>
        <v>0</v>
      </c>
    </row>
    <row r="976" spans="13:19" x14ac:dyDescent="0.25">
      <c r="M976" s="46"/>
      <c r="N976" s="46"/>
      <c r="O976" s="46"/>
      <c r="P976" s="46"/>
      <c r="R976" s="15">
        <v>7.0000000000000007E-2</v>
      </c>
      <c r="S976" s="18">
        <f>(Tabela224[[#This Row],[FRETE]]+Tabela224[[#This Row],[DESPESAS]]+Tabela224[[#This Row],[IPI]]+Tabela224[[#This Row],[Vl. Produto]])*Tabela224[[#This Row],[Aliq.%]]</f>
        <v>0</v>
      </c>
    </row>
    <row r="977" spans="13:19" x14ac:dyDescent="0.25">
      <c r="M977" s="46"/>
      <c r="N977" s="46"/>
      <c r="O977" s="46"/>
      <c r="P977" s="46"/>
      <c r="R977" s="15">
        <v>7.0000000000000007E-2</v>
      </c>
      <c r="S977" s="18">
        <f>(Tabela224[[#This Row],[FRETE]]+Tabela224[[#This Row],[DESPESAS]]+Tabela224[[#This Row],[IPI]]+Tabela224[[#This Row],[Vl. Produto]])*Tabela224[[#This Row],[Aliq.%]]</f>
        <v>0</v>
      </c>
    </row>
    <row r="978" spans="13:19" x14ac:dyDescent="0.25">
      <c r="M978" s="46"/>
      <c r="N978" s="46"/>
      <c r="O978" s="46"/>
      <c r="P978" s="46"/>
      <c r="R978" s="15">
        <v>7.0000000000000007E-2</v>
      </c>
      <c r="S978" s="18">
        <f>(Tabela224[[#This Row],[FRETE]]+Tabela224[[#This Row],[DESPESAS]]+Tabela224[[#This Row],[IPI]]+Tabela224[[#This Row],[Vl. Produto]])*Tabela224[[#This Row],[Aliq.%]]</f>
        <v>0</v>
      </c>
    </row>
    <row r="979" spans="13:19" x14ac:dyDescent="0.25">
      <c r="M979" s="46"/>
      <c r="N979" s="46"/>
      <c r="O979" s="46"/>
      <c r="P979" s="46"/>
      <c r="R979" s="15">
        <v>7.0000000000000007E-2</v>
      </c>
      <c r="S979" s="18">
        <f>(Tabela224[[#This Row],[FRETE]]+Tabela224[[#This Row],[DESPESAS]]+Tabela224[[#This Row],[IPI]]+Tabela224[[#This Row],[Vl. Produto]])*Tabela224[[#This Row],[Aliq.%]]</f>
        <v>0</v>
      </c>
    </row>
    <row r="980" spans="13:19" x14ac:dyDescent="0.25">
      <c r="M980" s="46"/>
      <c r="N980" s="46"/>
      <c r="O980" s="46"/>
      <c r="P980" s="46"/>
      <c r="R980" s="15">
        <v>7.0000000000000007E-2</v>
      </c>
      <c r="S980" s="18">
        <f>(Tabela224[[#This Row],[FRETE]]+Tabela224[[#This Row],[DESPESAS]]+Tabela224[[#This Row],[IPI]]+Tabela224[[#This Row],[Vl. Produto]])*Tabela224[[#This Row],[Aliq.%]]</f>
        <v>0</v>
      </c>
    </row>
    <row r="981" spans="13:19" x14ac:dyDescent="0.25">
      <c r="M981" s="46"/>
      <c r="N981" s="46"/>
      <c r="O981" s="46"/>
      <c r="P981" s="46"/>
      <c r="R981" s="15">
        <v>7.0000000000000007E-2</v>
      </c>
      <c r="S981" s="18">
        <f>(Tabela224[[#This Row],[FRETE]]+Tabela224[[#This Row],[DESPESAS]]+Tabela224[[#This Row],[IPI]]+Tabela224[[#This Row],[Vl. Produto]])*Tabela224[[#This Row],[Aliq.%]]</f>
        <v>0</v>
      </c>
    </row>
    <row r="982" spans="13:19" x14ac:dyDescent="0.25">
      <c r="M982" s="46"/>
      <c r="N982" s="46"/>
      <c r="O982" s="46"/>
      <c r="P982" s="46"/>
      <c r="R982" s="15">
        <v>7.0000000000000007E-2</v>
      </c>
      <c r="S982" s="18">
        <f>(Tabela224[[#This Row],[FRETE]]+Tabela224[[#This Row],[DESPESAS]]+Tabela224[[#This Row],[IPI]]+Tabela224[[#This Row],[Vl. Produto]])*Tabela224[[#This Row],[Aliq.%]]</f>
        <v>0</v>
      </c>
    </row>
    <row r="983" spans="13:19" x14ac:dyDescent="0.25">
      <c r="M983" s="46"/>
      <c r="N983" s="46"/>
      <c r="O983" s="46"/>
      <c r="P983" s="46"/>
      <c r="R983" s="15">
        <v>7.0000000000000007E-2</v>
      </c>
      <c r="S983" s="18">
        <f>(Tabela224[[#This Row],[FRETE]]+Tabela224[[#This Row],[DESPESAS]]+Tabela224[[#This Row],[IPI]]+Tabela224[[#This Row],[Vl. Produto]])*Tabela224[[#This Row],[Aliq.%]]</f>
        <v>0</v>
      </c>
    </row>
    <row r="984" spans="13:19" x14ac:dyDescent="0.25">
      <c r="M984" s="46"/>
      <c r="N984" s="46"/>
      <c r="O984" s="46"/>
      <c r="P984" s="46"/>
      <c r="R984" s="15">
        <v>7.0000000000000007E-2</v>
      </c>
      <c r="S984" s="18">
        <f>(Tabela224[[#This Row],[FRETE]]+Tabela224[[#This Row],[DESPESAS]]+Tabela224[[#This Row],[IPI]]+Tabela224[[#This Row],[Vl. Produto]])*Tabela224[[#This Row],[Aliq.%]]</f>
        <v>0</v>
      </c>
    </row>
    <row r="985" spans="13:19" x14ac:dyDescent="0.25">
      <c r="M985" s="46"/>
      <c r="N985" s="46"/>
      <c r="O985" s="46"/>
      <c r="P985" s="46"/>
      <c r="R985" s="15">
        <v>7.0000000000000007E-2</v>
      </c>
      <c r="S985" s="18">
        <f>(Tabela224[[#This Row],[FRETE]]+Tabela224[[#This Row],[DESPESAS]]+Tabela224[[#This Row],[IPI]]+Tabela224[[#This Row],[Vl. Produto]])*Tabela224[[#This Row],[Aliq.%]]</f>
        <v>0</v>
      </c>
    </row>
    <row r="986" spans="13:19" x14ac:dyDescent="0.25">
      <c r="M986" s="46"/>
      <c r="N986" s="46"/>
      <c r="O986" s="46"/>
      <c r="P986" s="46"/>
      <c r="R986" s="15">
        <v>7.0000000000000007E-2</v>
      </c>
      <c r="S986" s="18">
        <f>(Tabela224[[#This Row],[FRETE]]+Tabela224[[#This Row],[DESPESAS]]+Tabela224[[#This Row],[IPI]]+Tabela224[[#This Row],[Vl. Produto]])*Tabela224[[#This Row],[Aliq.%]]</f>
        <v>0</v>
      </c>
    </row>
    <row r="987" spans="13:19" x14ac:dyDescent="0.25">
      <c r="M987" s="46"/>
      <c r="N987" s="46"/>
      <c r="O987" s="46"/>
      <c r="P987" s="46"/>
      <c r="R987" s="15">
        <v>7.0000000000000007E-2</v>
      </c>
      <c r="S987" s="18">
        <f>(Tabela224[[#This Row],[FRETE]]+Tabela224[[#This Row],[DESPESAS]]+Tabela224[[#This Row],[IPI]]+Tabela224[[#This Row],[Vl. Produto]])*Tabela224[[#This Row],[Aliq.%]]</f>
        <v>0</v>
      </c>
    </row>
    <row r="988" spans="13:19" x14ac:dyDescent="0.25">
      <c r="M988" s="46"/>
      <c r="N988" s="46"/>
      <c r="O988" s="46"/>
      <c r="P988" s="46"/>
      <c r="R988" s="15">
        <v>7.0000000000000007E-2</v>
      </c>
      <c r="S988" s="18">
        <f>(Tabela224[[#This Row],[FRETE]]+Tabela224[[#This Row],[DESPESAS]]+Tabela224[[#This Row],[IPI]]+Tabela224[[#This Row],[Vl. Produto]])*Tabela224[[#This Row],[Aliq.%]]</f>
        <v>0</v>
      </c>
    </row>
    <row r="989" spans="13:19" x14ac:dyDescent="0.25">
      <c r="M989" s="46"/>
      <c r="N989" s="46"/>
      <c r="O989" s="46"/>
      <c r="P989" s="46"/>
      <c r="R989" s="15">
        <v>7.0000000000000007E-2</v>
      </c>
      <c r="S989" s="18">
        <f>(Tabela224[[#This Row],[FRETE]]+Tabela224[[#This Row],[DESPESAS]]+Tabela224[[#This Row],[IPI]]+Tabela224[[#This Row],[Vl. Produto]])*Tabela224[[#This Row],[Aliq.%]]</f>
        <v>0</v>
      </c>
    </row>
    <row r="990" spans="13:19" x14ac:dyDescent="0.25">
      <c r="M990" s="46"/>
      <c r="N990" s="46"/>
      <c r="O990" s="46"/>
      <c r="P990" s="46"/>
      <c r="R990" s="15">
        <v>7.0000000000000007E-2</v>
      </c>
      <c r="S990" s="18">
        <f>(Tabela224[[#This Row],[FRETE]]+Tabela224[[#This Row],[DESPESAS]]+Tabela224[[#This Row],[IPI]]+Tabela224[[#This Row],[Vl. Produto]])*Tabela224[[#This Row],[Aliq.%]]</f>
        <v>0</v>
      </c>
    </row>
    <row r="991" spans="13:19" x14ac:dyDescent="0.25">
      <c r="M991" s="46"/>
      <c r="N991" s="46"/>
      <c r="O991" s="46"/>
      <c r="P991" s="46"/>
      <c r="R991" s="15">
        <v>7.0000000000000007E-2</v>
      </c>
      <c r="S991" s="18">
        <f>(Tabela224[[#This Row],[FRETE]]+Tabela224[[#This Row],[DESPESAS]]+Tabela224[[#This Row],[IPI]]+Tabela224[[#This Row],[Vl. Produto]])*Tabela224[[#This Row],[Aliq.%]]</f>
        <v>0</v>
      </c>
    </row>
    <row r="992" spans="13:19" x14ac:dyDescent="0.25">
      <c r="M992" s="46"/>
      <c r="N992" s="46"/>
      <c r="O992" s="46"/>
      <c r="P992" s="46"/>
      <c r="R992" s="15">
        <v>7.0000000000000007E-2</v>
      </c>
      <c r="S992" s="18">
        <f>(Tabela224[[#This Row],[FRETE]]+Tabela224[[#This Row],[DESPESAS]]+Tabela224[[#This Row],[IPI]]+Tabela224[[#This Row],[Vl. Produto]])*Tabela224[[#This Row],[Aliq.%]]</f>
        <v>0</v>
      </c>
    </row>
    <row r="993" spans="13:19" x14ac:dyDescent="0.25">
      <c r="M993" s="46"/>
      <c r="N993" s="46"/>
      <c r="O993" s="46"/>
      <c r="P993" s="46"/>
      <c r="R993" s="15">
        <v>7.0000000000000007E-2</v>
      </c>
      <c r="S993" s="18">
        <f>(Tabela224[[#This Row],[FRETE]]+Tabela224[[#This Row],[DESPESAS]]+Tabela224[[#This Row],[IPI]]+Tabela224[[#This Row],[Vl. Produto]])*Tabela224[[#This Row],[Aliq.%]]</f>
        <v>0</v>
      </c>
    </row>
    <row r="994" spans="13:19" x14ac:dyDescent="0.25">
      <c r="M994" s="46"/>
      <c r="N994" s="46"/>
      <c r="O994" s="46"/>
      <c r="P994" s="46"/>
      <c r="R994" s="15">
        <v>7.0000000000000007E-2</v>
      </c>
      <c r="S994" s="18">
        <f>(Tabela224[[#This Row],[FRETE]]+Tabela224[[#This Row],[DESPESAS]]+Tabela224[[#This Row],[IPI]]+Tabela224[[#This Row],[Vl. Produto]])*Tabela224[[#This Row],[Aliq.%]]</f>
        <v>0</v>
      </c>
    </row>
    <row r="995" spans="13:19" x14ac:dyDescent="0.25">
      <c r="M995" s="46"/>
      <c r="N995" s="46"/>
      <c r="O995" s="46"/>
      <c r="P995" s="46"/>
      <c r="R995" s="15">
        <v>7.0000000000000007E-2</v>
      </c>
      <c r="S995" s="18">
        <f>(Tabela224[[#This Row],[FRETE]]+Tabela224[[#This Row],[DESPESAS]]+Tabela224[[#This Row],[IPI]]+Tabela224[[#This Row],[Vl. Produto]])*Tabela224[[#This Row],[Aliq.%]]</f>
        <v>0</v>
      </c>
    </row>
    <row r="996" spans="13:19" x14ac:dyDescent="0.25">
      <c r="M996" s="46"/>
      <c r="N996" s="46"/>
      <c r="O996" s="46"/>
      <c r="P996" s="46"/>
      <c r="R996" s="15">
        <v>7.0000000000000007E-2</v>
      </c>
      <c r="S996" s="18">
        <f>(Tabela224[[#This Row],[FRETE]]+Tabela224[[#This Row],[DESPESAS]]+Tabela224[[#This Row],[IPI]]+Tabela224[[#This Row],[Vl. Produto]])*Tabela224[[#This Row],[Aliq.%]]</f>
        <v>0</v>
      </c>
    </row>
    <row r="997" spans="13:19" x14ac:dyDescent="0.25">
      <c r="M997" s="46"/>
      <c r="N997" s="46"/>
      <c r="O997" s="46"/>
      <c r="P997" s="46"/>
      <c r="R997" s="15">
        <v>7.0000000000000007E-2</v>
      </c>
      <c r="S997" s="18">
        <f>(Tabela224[[#This Row],[FRETE]]+Tabela224[[#This Row],[DESPESAS]]+Tabela224[[#This Row],[IPI]]+Tabela224[[#This Row],[Vl. Produto]])*Tabela224[[#This Row],[Aliq.%]]</f>
        <v>0</v>
      </c>
    </row>
    <row r="998" spans="13:19" x14ac:dyDescent="0.25">
      <c r="M998" s="46"/>
      <c r="N998" s="46"/>
      <c r="O998" s="46"/>
      <c r="P998" s="46"/>
      <c r="R998" s="15">
        <v>7.0000000000000007E-2</v>
      </c>
      <c r="S998" s="18">
        <f>(Tabela224[[#This Row],[FRETE]]+Tabela224[[#This Row],[DESPESAS]]+Tabela224[[#This Row],[IPI]]+Tabela224[[#This Row],[Vl. Produto]])*Tabela224[[#This Row],[Aliq.%]]</f>
        <v>0</v>
      </c>
    </row>
    <row r="999" spans="13:19" x14ac:dyDescent="0.25">
      <c r="M999" s="46"/>
      <c r="N999" s="46"/>
      <c r="O999" s="46"/>
      <c r="P999" s="46"/>
      <c r="R999" s="15">
        <v>7.0000000000000007E-2</v>
      </c>
      <c r="S999" s="18">
        <f>(Tabela224[[#This Row],[FRETE]]+Tabela224[[#This Row],[DESPESAS]]+Tabela224[[#This Row],[IPI]]+Tabela224[[#This Row],[Vl. Produto]])*Tabela224[[#This Row],[Aliq.%]]</f>
        <v>0</v>
      </c>
    </row>
    <row r="1000" spans="13:19" x14ac:dyDescent="0.25">
      <c r="M1000" s="46"/>
      <c r="N1000" s="46"/>
      <c r="O1000" s="46"/>
      <c r="P1000" s="46"/>
      <c r="R1000" s="15">
        <v>7.0000000000000007E-2</v>
      </c>
      <c r="S1000" s="18">
        <f>(Tabela224[[#This Row],[FRETE]]+Tabela224[[#This Row],[DESPESAS]]+Tabela224[[#This Row],[IPI]]+Tabela224[[#This Row],[Vl. Produto]])*Tabela224[[#This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B2C4-1B45-495B-879B-0A3A744760B2}"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7" width="10.7109375" style="17" customWidth="1"/>
    <col min="18" max="18" width="10.7109375" style="3" customWidth="1"/>
    <col min="19" max="19" width="20.7109375" style="4" customWidth="1"/>
    <col min="20" max="20" width="1.85546875" style="1" customWidth="1"/>
    <col min="21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34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35</v>
      </c>
      <c r="R1" s="13" t="s">
        <v>1</v>
      </c>
      <c r="S1" s="14" t="s">
        <v>2</v>
      </c>
      <c r="U1" s="47">
        <f>SUBTOTAL(109,Tabela2246[ICMS ST a Recolher])</f>
        <v>0</v>
      </c>
      <c r="V1" s="58">
        <f>SUBTOTAL(109,Q:Q)</f>
        <v>0</v>
      </c>
    </row>
    <row r="2" spans="2:22" x14ac:dyDescent="0.25">
      <c r="B2" s="9"/>
      <c r="C2" s="6"/>
      <c r="M2" s="46"/>
      <c r="N2" s="46"/>
      <c r="O2" s="46"/>
      <c r="P2" s="46"/>
      <c r="R2" s="15">
        <v>7.0000000000000007E-2</v>
      </c>
      <c r="S2" s="18">
        <f>(Tabela2246[[#This Row],[FRETE]]+Tabela2246[[#This Row],[DESPESAS]]+Tabela2246[[#This Row],[IPI]]+Tabela2246[[#This Row],[Vl. Produto]])*Tabela2246[[#This Row],[Aliq.%]]</f>
        <v>0</v>
      </c>
    </row>
    <row r="3" spans="2:22" x14ac:dyDescent="0.25">
      <c r="B3" s="9"/>
      <c r="C3" s="6"/>
      <c r="M3" s="46"/>
      <c r="N3" s="46"/>
      <c r="O3" s="46"/>
      <c r="P3" s="46"/>
      <c r="R3" s="15">
        <v>7.0000000000000007E-2</v>
      </c>
      <c r="S3" s="18">
        <f>(Tabela2246[[#This Row],[FRETE]]+Tabela2246[[#This Row],[DESPESAS]]+Tabela2246[[#This Row],[IPI]]+Tabela2246[[#This Row],[Vl. Produto]])*Tabela2246[[#This Row],[Aliq.%]]</f>
        <v>0</v>
      </c>
    </row>
    <row r="4" spans="2:22" x14ac:dyDescent="0.25">
      <c r="B4" s="9"/>
      <c r="C4" s="6"/>
      <c r="M4" s="46"/>
      <c r="N4" s="46"/>
      <c r="O4" s="46"/>
      <c r="P4" s="46"/>
      <c r="R4" s="15">
        <v>7.0000000000000007E-2</v>
      </c>
      <c r="S4" s="18">
        <f>(Tabela2246[[#This Row],[FRETE]]+Tabela2246[[#This Row],[DESPESAS]]+Tabela2246[[#This Row],[IPI]]+Tabela2246[[#This Row],[Vl. Produto]])*Tabela2246[[#This Row],[Aliq.%]]</f>
        <v>0</v>
      </c>
    </row>
    <row r="5" spans="2:22" x14ac:dyDescent="0.25">
      <c r="B5" s="9"/>
      <c r="C5" s="6"/>
      <c r="M5" s="46"/>
      <c r="N5" s="46"/>
      <c r="O5" s="46"/>
      <c r="P5" s="46"/>
      <c r="R5" s="15">
        <v>7.0000000000000007E-2</v>
      </c>
      <c r="S5" s="18">
        <f>(Tabela2246[[#This Row],[FRETE]]+Tabela2246[[#This Row],[DESPESAS]]+Tabela2246[[#This Row],[IPI]]+Tabela2246[[#This Row],[Vl. Produto]])*Tabela2246[[#This Row],[Aliq.%]]</f>
        <v>0</v>
      </c>
    </row>
    <row r="6" spans="2:22" x14ac:dyDescent="0.25">
      <c r="B6" s="9"/>
      <c r="C6" s="6"/>
      <c r="M6" s="46"/>
      <c r="N6" s="46"/>
      <c r="O6" s="46"/>
      <c r="P6" s="46"/>
      <c r="R6" s="15">
        <v>7.0000000000000007E-2</v>
      </c>
      <c r="S6" s="18">
        <f>(Tabela2246[[#This Row],[FRETE]]+Tabela2246[[#This Row],[DESPESAS]]+Tabela2246[[#This Row],[IPI]]+Tabela2246[[#This Row],[Vl. Produto]])*Tabela2246[[#This Row],[Aliq.%]]</f>
        <v>0</v>
      </c>
    </row>
    <row r="7" spans="2:22" x14ac:dyDescent="0.25">
      <c r="B7" s="9"/>
      <c r="C7" s="6"/>
      <c r="M7" s="46"/>
      <c r="N7" s="46"/>
      <c r="O7" s="46"/>
      <c r="P7" s="46"/>
      <c r="R7" s="15">
        <v>7.0000000000000007E-2</v>
      </c>
      <c r="S7" s="18">
        <f>(Tabela2246[[#This Row],[FRETE]]+Tabela2246[[#This Row],[DESPESAS]]+Tabela2246[[#This Row],[IPI]]+Tabela2246[[#This Row],[Vl. Produto]])*Tabela2246[[#This Row],[Aliq.%]]</f>
        <v>0</v>
      </c>
    </row>
    <row r="8" spans="2:22" x14ac:dyDescent="0.25">
      <c r="B8" s="9"/>
      <c r="C8" s="6"/>
      <c r="M8" s="46"/>
      <c r="N8" s="46"/>
      <c r="O8" s="46"/>
      <c r="P8" s="46"/>
      <c r="R8" s="15">
        <v>7.0000000000000007E-2</v>
      </c>
      <c r="S8" s="18">
        <f>(Tabela2246[[#This Row],[FRETE]]+Tabela2246[[#This Row],[DESPESAS]]+Tabela2246[[#This Row],[IPI]]+Tabela2246[[#This Row],[Vl. Produto]])*Tabela2246[[#This Row],[Aliq.%]]</f>
        <v>0</v>
      </c>
    </row>
    <row r="9" spans="2:22" x14ac:dyDescent="0.25">
      <c r="B9" s="62" t="s">
        <v>16</v>
      </c>
      <c r="C9" s="6"/>
      <c r="M9" s="46"/>
      <c r="N9" s="46"/>
      <c r="O9" s="46"/>
      <c r="P9" s="46"/>
      <c r="R9" s="15">
        <v>7.0000000000000007E-2</v>
      </c>
      <c r="S9" s="18">
        <f>(Tabela2246[[#This Row],[FRETE]]+Tabela2246[[#This Row],[DESPESAS]]+Tabela2246[[#This Row],[IPI]]+Tabela2246[[#This Row],[Vl. Produto]])*Tabela2246[[#This Row],[Aliq.%]]</f>
        <v>0</v>
      </c>
    </row>
    <row r="10" spans="2:22" x14ac:dyDescent="0.25">
      <c r="B10" s="62"/>
      <c r="C10" s="6"/>
      <c r="M10" s="46"/>
      <c r="N10" s="46"/>
      <c r="O10" s="46"/>
      <c r="P10" s="46"/>
      <c r="R10" s="15">
        <v>7.0000000000000007E-2</v>
      </c>
      <c r="S10" s="18">
        <f>(Tabela2246[[#This Row],[FRETE]]+Tabela2246[[#This Row],[DESPESAS]]+Tabela2246[[#This Row],[IPI]]+Tabela2246[[#This Row],[Vl. Produto]])*Tabela2246[[#This Row],[Aliq.%]]</f>
        <v>0</v>
      </c>
    </row>
    <row r="11" spans="2:22" x14ac:dyDescent="0.25">
      <c r="B11" s="62"/>
      <c r="C11" s="6"/>
      <c r="M11" s="46"/>
      <c r="N11" s="46"/>
      <c r="O11" s="46"/>
      <c r="P11" s="46"/>
      <c r="R11" s="15">
        <v>7.0000000000000007E-2</v>
      </c>
      <c r="S11" s="18">
        <f>(Tabela2246[[#This Row],[FRETE]]+Tabela2246[[#This Row],[DESPESAS]]+Tabela2246[[#This Row],[IPI]]+Tabela2246[[#This Row],[Vl. Produto]])*Tabela2246[[#This Row],[Aliq.%]]</f>
        <v>0</v>
      </c>
    </row>
    <row r="12" spans="2:22" x14ac:dyDescent="0.25">
      <c r="B12" s="62"/>
      <c r="C12" s="6"/>
      <c r="M12" s="46"/>
      <c r="N12" s="46"/>
      <c r="O12" s="46"/>
      <c r="P12" s="46"/>
      <c r="R12" s="15">
        <v>7.0000000000000007E-2</v>
      </c>
      <c r="S12" s="18">
        <f>(Tabela2246[[#This Row],[FRETE]]+Tabela2246[[#This Row],[DESPESAS]]+Tabela2246[[#This Row],[IPI]]+Tabela2246[[#This Row],[Vl. Produto]])*Tabela2246[[#This Row],[Aliq.%]]</f>
        <v>0</v>
      </c>
    </row>
    <row r="13" spans="2:22" x14ac:dyDescent="0.25">
      <c r="B13" s="62"/>
      <c r="C13" s="6"/>
      <c r="M13" s="46"/>
      <c r="N13" s="46"/>
      <c r="O13" s="46"/>
      <c r="P13" s="46"/>
      <c r="R13" s="15">
        <v>7.0000000000000007E-2</v>
      </c>
      <c r="S13" s="18">
        <f>(Tabela2246[[#This Row],[FRETE]]+Tabela2246[[#This Row],[DESPESAS]]+Tabela2246[[#This Row],[IPI]]+Tabela2246[[#This Row],[Vl. Produto]])*Tabela2246[[#This Row],[Aliq.%]]</f>
        <v>0</v>
      </c>
    </row>
    <row r="14" spans="2:22" x14ac:dyDescent="0.25">
      <c r="B14" s="62"/>
      <c r="C14" s="6"/>
      <c r="M14" s="46"/>
      <c r="N14" s="46"/>
      <c r="O14" s="46"/>
      <c r="P14" s="46"/>
      <c r="R14" s="15">
        <v>7.0000000000000007E-2</v>
      </c>
      <c r="S14" s="18">
        <f>(Tabela2246[[#This Row],[FRETE]]+Tabela2246[[#This Row],[DESPESAS]]+Tabela2246[[#This Row],[IPI]]+Tabela2246[[#This Row],[Vl. Produto]])*Tabela2246[[#This Row],[Aliq.%]]</f>
        <v>0</v>
      </c>
    </row>
    <row r="15" spans="2:22" x14ac:dyDescent="0.25">
      <c r="B15" s="62"/>
      <c r="C15" s="6"/>
      <c r="M15" s="46"/>
      <c r="N15" s="46"/>
      <c r="O15" s="46"/>
      <c r="P15" s="46"/>
      <c r="R15" s="15">
        <v>7.0000000000000007E-2</v>
      </c>
      <c r="S15" s="18">
        <f>(Tabela2246[[#This Row],[FRETE]]+Tabela2246[[#This Row],[DESPESAS]]+Tabela2246[[#This Row],[IPI]]+Tabela2246[[#This Row],[Vl. Produto]])*Tabela2246[[#This Row],[Aliq.%]]</f>
        <v>0</v>
      </c>
    </row>
    <row r="16" spans="2:22" x14ac:dyDescent="0.25">
      <c r="B16" s="62"/>
      <c r="C16" s="6"/>
      <c r="M16" s="46"/>
      <c r="N16" s="46"/>
      <c r="O16" s="46"/>
      <c r="P16" s="46"/>
      <c r="R16" s="15">
        <v>7.0000000000000007E-2</v>
      </c>
      <c r="S16" s="18">
        <f>(Tabela2246[[#This Row],[FRETE]]+Tabela2246[[#This Row],[DESPESAS]]+Tabela2246[[#This Row],[IPI]]+Tabela2246[[#This Row],[Vl. Produto]])*Tabela2246[[#This Row],[Aliq.%]]</f>
        <v>0</v>
      </c>
    </row>
    <row r="17" spans="2:19" x14ac:dyDescent="0.25">
      <c r="B17" s="62"/>
      <c r="C17" s="6"/>
      <c r="M17" s="46"/>
      <c r="N17" s="46"/>
      <c r="O17" s="46"/>
      <c r="P17" s="46"/>
      <c r="R17" s="15">
        <v>7.0000000000000007E-2</v>
      </c>
      <c r="S17" s="18">
        <f>(Tabela2246[[#This Row],[FRETE]]+Tabela2246[[#This Row],[DESPESAS]]+Tabela2246[[#This Row],[IPI]]+Tabela2246[[#This Row],[Vl. Produto]])*Tabela2246[[#This Row],[Aliq.%]]</f>
        <v>0</v>
      </c>
    </row>
    <row r="18" spans="2:19" x14ac:dyDescent="0.25">
      <c r="B18" s="9"/>
      <c r="C18" s="6"/>
      <c r="M18" s="46"/>
      <c r="N18" s="46"/>
      <c r="O18" s="46"/>
      <c r="P18" s="46"/>
      <c r="R18" s="15">
        <v>7.0000000000000007E-2</v>
      </c>
      <c r="S18" s="18">
        <f>(Tabela2246[[#This Row],[FRETE]]+Tabela2246[[#This Row],[DESPESAS]]+Tabela2246[[#This Row],[IPI]]+Tabela2246[[#This Row],[Vl. Produto]])*Tabela2246[[#This Row],[Aliq.%]]</f>
        <v>0</v>
      </c>
    </row>
    <row r="19" spans="2:19" x14ac:dyDescent="0.25">
      <c r="B19" s="9"/>
      <c r="C19" s="6"/>
      <c r="M19" s="46"/>
      <c r="N19" s="46"/>
      <c r="O19" s="46"/>
      <c r="P19" s="46"/>
      <c r="R19" s="15">
        <v>7.0000000000000007E-2</v>
      </c>
      <c r="S19" s="18">
        <f>(Tabela2246[[#This Row],[FRETE]]+Tabela2246[[#This Row],[DESPESAS]]+Tabela2246[[#This Row],[IPI]]+Tabela2246[[#This Row],[Vl. Produto]])*Tabela2246[[#This Row],[Aliq.%]]</f>
        <v>0</v>
      </c>
    </row>
    <row r="20" spans="2:19" x14ac:dyDescent="0.25">
      <c r="B20" s="9"/>
      <c r="C20" s="6"/>
      <c r="M20" s="46"/>
      <c r="N20" s="46"/>
      <c r="O20" s="46"/>
      <c r="P20" s="46"/>
      <c r="R20" s="15">
        <v>7.0000000000000007E-2</v>
      </c>
      <c r="S20" s="18">
        <f>(Tabela2246[[#This Row],[FRETE]]+Tabela2246[[#This Row],[DESPESAS]]+Tabela2246[[#This Row],[IPI]]+Tabela2246[[#This Row],[Vl. Produto]])*Tabela2246[[#This Row],[Aliq.%]]</f>
        <v>0</v>
      </c>
    </row>
    <row r="21" spans="2:19" x14ac:dyDescent="0.25">
      <c r="B21" s="9"/>
      <c r="C21" s="6"/>
      <c r="M21" s="46"/>
      <c r="N21" s="46"/>
      <c r="O21" s="46"/>
      <c r="P21" s="46"/>
      <c r="R21" s="15">
        <v>7.0000000000000007E-2</v>
      </c>
      <c r="S21" s="18">
        <f>(Tabela2246[[#This Row],[FRETE]]+Tabela2246[[#This Row],[DESPESAS]]+Tabela2246[[#This Row],[IPI]]+Tabela2246[[#This Row],[Vl. Produto]])*Tabela2246[[#This Row],[Aliq.%]]</f>
        <v>0</v>
      </c>
    </row>
    <row r="22" spans="2:19" x14ac:dyDescent="0.25">
      <c r="B22" s="9"/>
      <c r="C22" s="6"/>
      <c r="M22" s="46"/>
      <c r="N22" s="46"/>
      <c r="O22" s="46"/>
      <c r="P22" s="46"/>
      <c r="R22" s="15">
        <v>7.0000000000000007E-2</v>
      </c>
      <c r="S22" s="18">
        <f>(Tabela2246[[#This Row],[FRETE]]+Tabela2246[[#This Row],[DESPESAS]]+Tabela2246[[#This Row],[IPI]]+Tabela2246[[#This Row],[Vl. Produto]])*Tabela2246[[#This Row],[Aliq.%]]</f>
        <v>0</v>
      </c>
    </row>
    <row r="23" spans="2:19" x14ac:dyDescent="0.25">
      <c r="B23" s="9"/>
      <c r="C23" s="6"/>
      <c r="M23" s="46"/>
      <c r="N23" s="46"/>
      <c r="O23" s="46"/>
      <c r="P23" s="46"/>
      <c r="R23" s="15">
        <v>7.0000000000000007E-2</v>
      </c>
      <c r="S23" s="18">
        <f>(Tabela2246[[#This Row],[FRETE]]+Tabela2246[[#This Row],[DESPESAS]]+Tabela2246[[#This Row],[IPI]]+Tabela2246[[#This Row],[Vl. Produto]])*Tabela2246[[#This Row],[Aliq.%]]</f>
        <v>0</v>
      </c>
    </row>
    <row r="24" spans="2:19" x14ac:dyDescent="0.25">
      <c r="B24" s="9"/>
      <c r="C24" s="6"/>
      <c r="M24" s="46"/>
      <c r="N24" s="46"/>
      <c r="O24" s="46"/>
      <c r="P24" s="46"/>
      <c r="R24" s="15">
        <v>7.0000000000000007E-2</v>
      </c>
      <c r="S24" s="18">
        <f>(Tabela2246[[#This Row],[FRETE]]+Tabela2246[[#This Row],[DESPESAS]]+Tabela2246[[#This Row],[IPI]]+Tabela2246[[#This Row],[Vl. Produto]])*Tabela2246[[#This Row],[Aliq.%]]</f>
        <v>0</v>
      </c>
    </row>
    <row r="25" spans="2:19" x14ac:dyDescent="0.25">
      <c r="B25" s="9"/>
      <c r="C25" s="6"/>
      <c r="M25" s="46"/>
      <c r="N25" s="46"/>
      <c r="O25" s="46"/>
      <c r="P25" s="46"/>
      <c r="R25" s="15">
        <v>7.0000000000000007E-2</v>
      </c>
      <c r="S25" s="18">
        <f>(Tabela2246[[#This Row],[FRETE]]+Tabela2246[[#This Row],[DESPESAS]]+Tabela2246[[#This Row],[IPI]]+Tabela2246[[#This Row],[Vl. Produto]])*Tabela2246[[#This Row],[Aliq.%]]</f>
        <v>0</v>
      </c>
    </row>
    <row r="26" spans="2:19" x14ac:dyDescent="0.25">
      <c r="B26" s="9"/>
      <c r="C26" s="6"/>
      <c r="M26" s="46"/>
      <c r="N26" s="46"/>
      <c r="O26" s="46"/>
      <c r="P26" s="46"/>
      <c r="R26" s="15">
        <v>7.0000000000000007E-2</v>
      </c>
      <c r="S26" s="18">
        <f>(Tabela2246[[#This Row],[FRETE]]+Tabela2246[[#This Row],[DESPESAS]]+Tabela2246[[#This Row],[IPI]]+Tabela2246[[#This Row],[Vl. Produto]])*Tabela2246[[#This Row],[Aliq.%]]</f>
        <v>0</v>
      </c>
    </row>
    <row r="27" spans="2:19" x14ac:dyDescent="0.25">
      <c r="B27" s="9"/>
      <c r="C27" s="6"/>
      <c r="M27" s="46"/>
      <c r="N27" s="46"/>
      <c r="O27" s="46"/>
      <c r="P27" s="46"/>
      <c r="R27" s="15">
        <v>7.0000000000000007E-2</v>
      </c>
      <c r="S27" s="18">
        <f>(Tabela2246[[#This Row],[FRETE]]+Tabela2246[[#This Row],[DESPESAS]]+Tabela2246[[#This Row],[IPI]]+Tabela2246[[#This Row],[Vl. Produto]])*Tabela2246[[#This Row],[Aliq.%]]</f>
        <v>0</v>
      </c>
    </row>
    <row r="28" spans="2:19" x14ac:dyDescent="0.25">
      <c r="M28" s="46"/>
      <c r="N28" s="46"/>
      <c r="O28" s="46"/>
      <c r="P28" s="46"/>
      <c r="R28" s="15">
        <v>7.0000000000000007E-2</v>
      </c>
      <c r="S28" s="18">
        <f>(Tabela2246[[#This Row],[FRETE]]+Tabela2246[[#This Row],[DESPESAS]]+Tabela2246[[#This Row],[IPI]]+Tabela2246[[#This Row],[Vl. Produto]])*Tabela2246[[#This Row],[Aliq.%]]</f>
        <v>0</v>
      </c>
    </row>
    <row r="29" spans="2:19" x14ac:dyDescent="0.25">
      <c r="M29" s="46"/>
      <c r="N29" s="46"/>
      <c r="O29" s="46"/>
      <c r="P29" s="46"/>
      <c r="R29" s="15">
        <v>7.0000000000000007E-2</v>
      </c>
      <c r="S29" s="18">
        <f>(Tabela2246[[#This Row],[FRETE]]+Tabela2246[[#This Row],[DESPESAS]]+Tabela2246[[#This Row],[IPI]]+Tabela2246[[#This Row],[Vl. Produto]])*Tabela2246[[#This Row],[Aliq.%]]</f>
        <v>0</v>
      </c>
    </row>
    <row r="30" spans="2:19" x14ac:dyDescent="0.25">
      <c r="M30" s="46"/>
      <c r="N30" s="46"/>
      <c r="O30" s="46"/>
      <c r="P30" s="46"/>
      <c r="R30" s="15">
        <v>7.0000000000000007E-2</v>
      </c>
      <c r="S30" s="18">
        <f>(Tabela2246[[#This Row],[FRETE]]+Tabela2246[[#This Row],[DESPESAS]]+Tabela2246[[#This Row],[IPI]]+Tabela2246[[#This Row],[Vl. Produto]])*Tabela2246[[#This Row],[Aliq.%]]</f>
        <v>0</v>
      </c>
    </row>
    <row r="31" spans="2:19" x14ac:dyDescent="0.25">
      <c r="M31" s="46"/>
      <c r="N31" s="46"/>
      <c r="O31" s="46"/>
      <c r="P31" s="46"/>
      <c r="R31" s="15">
        <v>7.0000000000000007E-2</v>
      </c>
      <c r="S31" s="18">
        <f>(Tabela2246[[#This Row],[FRETE]]+Tabela2246[[#This Row],[DESPESAS]]+Tabela2246[[#This Row],[IPI]]+Tabela2246[[#This Row],[Vl. Produto]])*Tabela2246[[#This Row],[Aliq.%]]</f>
        <v>0</v>
      </c>
    </row>
    <row r="32" spans="2:19" x14ac:dyDescent="0.25">
      <c r="M32" s="46"/>
      <c r="N32" s="46"/>
      <c r="O32" s="46"/>
      <c r="P32" s="46"/>
      <c r="R32" s="15">
        <v>7.0000000000000007E-2</v>
      </c>
      <c r="S32" s="18">
        <f>(Tabela2246[[#This Row],[FRETE]]+Tabela2246[[#This Row],[DESPESAS]]+Tabela2246[[#This Row],[IPI]]+Tabela2246[[#This Row],[Vl. Produto]])*Tabela2246[[#This Row],[Aliq.%]]</f>
        <v>0</v>
      </c>
    </row>
    <row r="33" spans="13:19" x14ac:dyDescent="0.25">
      <c r="M33" s="46"/>
      <c r="N33" s="46"/>
      <c r="O33" s="46"/>
      <c r="P33" s="46"/>
      <c r="R33" s="15">
        <v>7.0000000000000007E-2</v>
      </c>
      <c r="S33" s="18">
        <f>(Tabela2246[[#This Row],[FRETE]]+Tabela2246[[#This Row],[DESPESAS]]+Tabela2246[[#This Row],[IPI]]+Tabela2246[[#This Row],[Vl. Produto]])*Tabela2246[[#This Row],[Aliq.%]]</f>
        <v>0</v>
      </c>
    </row>
    <row r="34" spans="13:19" x14ac:dyDescent="0.25">
      <c r="M34" s="46"/>
      <c r="N34" s="46"/>
      <c r="O34" s="46"/>
      <c r="P34" s="46"/>
      <c r="R34" s="15">
        <v>7.0000000000000007E-2</v>
      </c>
      <c r="S34" s="18">
        <f>(Tabela2246[[#This Row],[FRETE]]+Tabela2246[[#This Row],[DESPESAS]]+Tabela2246[[#This Row],[IPI]]+Tabela2246[[#This Row],[Vl. Produto]])*Tabela2246[[#This Row],[Aliq.%]]</f>
        <v>0</v>
      </c>
    </row>
    <row r="35" spans="13:19" x14ac:dyDescent="0.25">
      <c r="M35" s="46"/>
      <c r="N35" s="46"/>
      <c r="O35" s="46"/>
      <c r="P35" s="46"/>
      <c r="R35" s="15">
        <v>7.0000000000000007E-2</v>
      </c>
      <c r="S35" s="18">
        <f>(Tabela2246[[#This Row],[FRETE]]+Tabela2246[[#This Row],[DESPESAS]]+Tabela2246[[#This Row],[IPI]]+Tabela2246[[#This Row],[Vl. Produto]])*Tabela2246[[#This Row],[Aliq.%]]</f>
        <v>0</v>
      </c>
    </row>
    <row r="36" spans="13:19" x14ac:dyDescent="0.25">
      <c r="M36" s="46"/>
      <c r="N36" s="46"/>
      <c r="O36" s="46"/>
      <c r="P36" s="46"/>
      <c r="R36" s="15">
        <v>7.0000000000000007E-2</v>
      </c>
      <c r="S36" s="18">
        <f>(Tabela2246[[#This Row],[FRETE]]+Tabela2246[[#This Row],[DESPESAS]]+Tabela2246[[#This Row],[IPI]]+Tabela2246[[#This Row],[Vl. Produto]])*Tabela2246[[#This Row],[Aliq.%]]</f>
        <v>0</v>
      </c>
    </row>
    <row r="37" spans="13:19" x14ac:dyDescent="0.25">
      <c r="M37" s="46"/>
      <c r="N37" s="46"/>
      <c r="O37" s="46"/>
      <c r="P37" s="46"/>
      <c r="R37" s="15">
        <v>7.0000000000000007E-2</v>
      </c>
      <c r="S37" s="18">
        <f>(Tabela2246[[#This Row],[FRETE]]+Tabela2246[[#This Row],[DESPESAS]]+Tabela2246[[#This Row],[IPI]]+Tabela2246[[#This Row],[Vl. Produto]])*Tabela2246[[#This Row],[Aliq.%]]</f>
        <v>0</v>
      </c>
    </row>
    <row r="38" spans="13:19" x14ac:dyDescent="0.25">
      <c r="M38" s="46"/>
      <c r="N38" s="46"/>
      <c r="O38" s="46"/>
      <c r="P38" s="46"/>
      <c r="R38" s="15">
        <v>7.0000000000000007E-2</v>
      </c>
      <c r="S38" s="18">
        <f>(Tabela2246[[#This Row],[FRETE]]+Tabela2246[[#This Row],[DESPESAS]]+Tabela2246[[#This Row],[IPI]]+Tabela2246[[#This Row],[Vl. Produto]])*Tabela2246[[#This Row],[Aliq.%]]</f>
        <v>0</v>
      </c>
    </row>
    <row r="39" spans="13:19" x14ac:dyDescent="0.25">
      <c r="M39" s="46"/>
      <c r="N39" s="46"/>
      <c r="O39" s="46"/>
      <c r="P39" s="46"/>
      <c r="R39" s="15">
        <v>7.0000000000000007E-2</v>
      </c>
      <c r="S39" s="18">
        <f>(Tabela2246[[#This Row],[FRETE]]+Tabela2246[[#This Row],[DESPESAS]]+Tabela2246[[#This Row],[IPI]]+Tabela2246[[#This Row],[Vl. Produto]])*Tabela2246[[#This Row],[Aliq.%]]</f>
        <v>0</v>
      </c>
    </row>
    <row r="40" spans="13:19" x14ac:dyDescent="0.25">
      <c r="M40" s="46"/>
      <c r="N40" s="46"/>
      <c r="O40" s="46"/>
      <c r="P40" s="46"/>
      <c r="R40" s="15">
        <v>7.0000000000000007E-2</v>
      </c>
      <c r="S40" s="18">
        <f>(Tabela2246[[#This Row],[FRETE]]+Tabela2246[[#This Row],[DESPESAS]]+Tabela2246[[#This Row],[IPI]]+Tabela2246[[#This Row],[Vl. Produto]])*Tabela2246[[#This Row],[Aliq.%]]</f>
        <v>0</v>
      </c>
    </row>
    <row r="41" spans="13:19" x14ac:dyDescent="0.25">
      <c r="M41" s="46"/>
      <c r="N41" s="46"/>
      <c r="O41" s="46"/>
      <c r="P41" s="46"/>
      <c r="R41" s="15">
        <v>7.0000000000000007E-2</v>
      </c>
      <c r="S41" s="18">
        <f>(Tabela2246[[#This Row],[FRETE]]+Tabela2246[[#This Row],[DESPESAS]]+Tabela2246[[#This Row],[IPI]]+Tabela2246[[#This Row],[Vl. Produto]])*Tabela2246[[#This Row],[Aliq.%]]</f>
        <v>0</v>
      </c>
    </row>
    <row r="42" spans="13:19" x14ac:dyDescent="0.25">
      <c r="M42" s="46"/>
      <c r="N42" s="46"/>
      <c r="O42" s="46"/>
      <c r="P42" s="46"/>
      <c r="R42" s="15">
        <v>7.0000000000000007E-2</v>
      </c>
      <c r="S42" s="18">
        <f>(Tabela2246[[#This Row],[FRETE]]+Tabela2246[[#This Row],[DESPESAS]]+Tabela2246[[#This Row],[IPI]]+Tabela2246[[#This Row],[Vl. Produto]])*Tabela2246[[#This Row],[Aliq.%]]</f>
        <v>0</v>
      </c>
    </row>
    <row r="43" spans="13:19" x14ac:dyDescent="0.25">
      <c r="M43" s="46"/>
      <c r="N43" s="46"/>
      <c r="O43" s="46"/>
      <c r="P43" s="46"/>
      <c r="R43" s="15">
        <v>7.0000000000000007E-2</v>
      </c>
      <c r="S43" s="18">
        <f>(Tabela2246[[#This Row],[FRETE]]+Tabela2246[[#This Row],[DESPESAS]]+Tabela2246[[#This Row],[IPI]]+Tabela2246[[#This Row],[Vl. Produto]])*Tabela2246[[#This Row],[Aliq.%]]</f>
        <v>0</v>
      </c>
    </row>
    <row r="44" spans="13:19" x14ac:dyDescent="0.25">
      <c r="M44" s="46"/>
      <c r="N44" s="46"/>
      <c r="O44" s="46"/>
      <c r="P44" s="46"/>
      <c r="R44" s="15">
        <v>7.0000000000000007E-2</v>
      </c>
      <c r="S44" s="18">
        <f>(Tabela2246[[#This Row],[FRETE]]+Tabela2246[[#This Row],[DESPESAS]]+Tabela2246[[#This Row],[IPI]]+Tabela2246[[#This Row],[Vl. Produto]])*Tabela2246[[#This Row],[Aliq.%]]</f>
        <v>0</v>
      </c>
    </row>
    <row r="45" spans="13:19" x14ac:dyDescent="0.25">
      <c r="M45" s="46"/>
      <c r="N45" s="46"/>
      <c r="O45" s="46"/>
      <c r="P45" s="46"/>
      <c r="R45" s="15">
        <v>7.0000000000000007E-2</v>
      </c>
      <c r="S45" s="18">
        <f>(Tabela2246[[#This Row],[FRETE]]+Tabela2246[[#This Row],[DESPESAS]]+Tabela2246[[#This Row],[IPI]]+Tabela2246[[#This Row],[Vl. Produto]])*Tabela2246[[#This Row],[Aliq.%]]</f>
        <v>0</v>
      </c>
    </row>
    <row r="46" spans="13:19" x14ac:dyDescent="0.25">
      <c r="M46" s="46"/>
      <c r="N46" s="46"/>
      <c r="O46" s="46"/>
      <c r="P46" s="46"/>
      <c r="R46" s="15">
        <v>7.0000000000000007E-2</v>
      </c>
      <c r="S46" s="18">
        <f>(Tabela2246[[#This Row],[FRETE]]+Tabela2246[[#This Row],[DESPESAS]]+Tabela2246[[#This Row],[IPI]]+Tabela2246[[#This Row],[Vl. Produto]])*Tabela2246[[#This Row],[Aliq.%]]</f>
        <v>0</v>
      </c>
    </row>
    <row r="47" spans="13:19" x14ac:dyDescent="0.25">
      <c r="M47" s="46"/>
      <c r="N47" s="46"/>
      <c r="O47" s="46"/>
      <c r="P47" s="46"/>
      <c r="R47" s="15">
        <v>7.0000000000000007E-2</v>
      </c>
      <c r="S47" s="18">
        <f>(Tabela2246[[#This Row],[FRETE]]+Tabela2246[[#This Row],[DESPESAS]]+Tabela2246[[#This Row],[IPI]]+Tabela2246[[#This Row],[Vl. Produto]])*Tabela2246[[#This Row],[Aliq.%]]</f>
        <v>0</v>
      </c>
    </row>
    <row r="48" spans="13:19" x14ac:dyDescent="0.25">
      <c r="M48" s="46"/>
      <c r="N48" s="46"/>
      <c r="O48" s="46"/>
      <c r="P48" s="46"/>
      <c r="R48" s="15">
        <v>7.0000000000000007E-2</v>
      </c>
      <c r="S48" s="18">
        <f>(Tabela2246[[#This Row],[FRETE]]+Tabela2246[[#This Row],[DESPESAS]]+Tabela2246[[#This Row],[IPI]]+Tabela2246[[#This Row],[Vl. Produto]])*Tabela2246[[#This Row],[Aliq.%]]</f>
        <v>0</v>
      </c>
    </row>
    <row r="49" spans="13:19" x14ac:dyDescent="0.25">
      <c r="M49" s="46"/>
      <c r="N49" s="46"/>
      <c r="O49" s="46"/>
      <c r="P49" s="46"/>
      <c r="R49" s="15">
        <v>7.0000000000000007E-2</v>
      </c>
      <c r="S49" s="18">
        <f>(Tabela2246[[#This Row],[FRETE]]+Tabela2246[[#This Row],[DESPESAS]]+Tabela2246[[#This Row],[IPI]]+Tabela2246[[#This Row],[Vl. Produto]])*Tabela2246[[#This Row],[Aliq.%]]</f>
        <v>0</v>
      </c>
    </row>
    <row r="50" spans="13:19" x14ac:dyDescent="0.25">
      <c r="M50" s="46"/>
      <c r="N50" s="46"/>
      <c r="O50" s="46"/>
      <c r="P50" s="46"/>
      <c r="R50" s="15">
        <v>7.0000000000000007E-2</v>
      </c>
      <c r="S50" s="18">
        <f>(Tabela2246[[#This Row],[FRETE]]+Tabela2246[[#This Row],[DESPESAS]]+Tabela2246[[#This Row],[IPI]]+Tabela2246[[#This Row],[Vl. Produto]])*Tabela2246[[#This Row],[Aliq.%]]</f>
        <v>0</v>
      </c>
    </row>
    <row r="51" spans="13:19" x14ac:dyDescent="0.25">
      <c r="M51" s="46"/>
      <c r="N51" s="46"/>
      <c r="O51" s="46"/>
      <c r="P51" s="46"/>
      <c r="R51" s="15">
        <v>7.0000000000000007E-2</v>
      </c>
      <c r="S51" s="18">
        <f>(Tabela2246[[#This Row],[FRETE]]+Tabela2246[[#This Row],[DESPESAS]]+Tabela2246[[#This Row],[IPI]]+Tabela2246[[#This Row],[Vl. Produto]])*Tabela2246[[#This Row],[Aliq.%]]</f>
        <v>0</v>
      </c>
    </row>
    <row r="52" spans="13:19" x14ac:dyDescent="0.25">
      <c r="M52" s="46"/>
      <c r="N52" s="46"/>
      <c r="O52" s="46"/>
      <c r="P52" s="46"/>
      <c r="R52" s="15">
        <v>7.0000000000000007E-2</v>
      </c>
      <c r="S52" s="18">
        <f>(Tabela2246[[#This Row],[FRETE]]+Tabela2246[[#This Row],[DESPESAS]]+Tabela2246[[#This Row],[IPI]]+Tabela2246[[#This Row],[Vl. Produto]])*Tabela2246[[#This Row],[Aliq.%]]</f>
        <v>0</v>
      </c>
    </row>
    <row r="53" spans="13:19" x14ac:dyDescent="0.25">
      <c r="M53" s="46"/>
      <c r="N53" s="46"/>
      <c r="O53" s="46"/>
      <c r="P53" s="46"/>
      <c r="R53" s="15">
        <v>7.0000000000000007E-2</v>
      </c>
      <c r="S53" s="18">
        <f>(Tabela2246[[#This Row],[FRETE]]+Tabela2246[[#This Row],[DESPESAS]]+Tabela2246[[#This Row],[IPI]]+Tabela2246[[#This Row],[Vl. Produto]])*Tabela2246[[#This Row],[Aliq.%]]</f>
        <v>0</v>
      </c>
    </row>
    <row r="54" spans="13:19" x14ac:dyDescent="0.25">
      <c r="M54" s="46"/>
      <c r="N54" s="46"/>
      <c r="O54" s="46"/>
      <c r="P54" s="46"/>
      <c r="R54" s="15">
        <v>7.0000000000000007E-2</v>
      </c>
      <c r="S54" s="18">
        <f>(Tabela2246[[#This Row],[FRETE]]+Tabela2246[[#This Row],[DESPESAS]]+Tabela2246[[#This Row],[IPI]]+Tabela2246[[#This Row],[Vl. Produto]])*Tabela2246[[#This Row],[Aliq.%]]</f>
        <v>0</v>
      </c>
    </row>
    <row r="55" spans="13:19" x14ac:dyDescent="0.25">
      <c r="M55" s="46"/>
      <c r="N55" s="46"/>
      <c r="O55" s="46"/>
      <c r="P55" s="46"/>
      <c r="R55" s="15">
        <v>7.0000000000000007E-2</v>
      </c>
      <c r="S55" s="18">
        <f>(Tabela2246[[#This Row],[FRETE]]+Tabela2246[[#This Row],[DESPESAS]]+Tabela2246[[#This Row],[IPI]]+Tabela2246[[#This Row],[Vl. Produto]])*Tabela2246[[#This Row],[Aliq.%]]</f>
        <v>0</v>
      </c>
    </row>
    <row r="56" spans="13:19" x14ac:dyDescent="0.25">
      <c r="M56" s="46"/>
      <c r="N56" s="46"/>
      <c r="O56" s="46"/>
      <c r="P56" s="46"/>
      <c r="R56" s="15">
        <v>7.0000000000000007E-2</v>
      </c>
      <c r="S56" s="18">
        <f>(Tabela2246[[#This Row],[FRETE]]+Tabela2246[[#This Row],[DESPESAS]]+Tabela2246[[#This Row],[IPI]]+Tabela2246[[#This Row],[Vl. Produto]])*Tabela2246[[#This Row],[Aliq.%]]</f>
        <v>0</v>
      </c>
    </row>
    <row r="57" spans="13:19" x14ac:dyDescent="0.25">
      <c r="M57" s="46"/>
      <c r="N57" s="46"/>
      <c r="O57" s="46"/>
      <c r="P57" s="46"/>
      <c r="R57" s="15">
        <v>7.0000000000000007E-2</v>
      </c>
      <c r="S57" s="18">
        <f>(Tabela2246[[#This Row],[FRETE]]+Tabela2246[[#This Row],[DESPESAS]]+Tabela2246[[#This Row],[IPI]]+Tabela2246[[#This Row],[Vl. Produto]])*Tabela2246[[#This Row],[Aliq.%]]</f>
        <v>0</v>
      </c>
    </row>
    <row r="58" spans="13:19" x14ac:dyDescent="0.25">
      <c r="M58" s="46"/>
      <c r="N58" s="46"/>
      <c r="O58" s="46"/>
      <c r="P58" s="46"/>
      <c r="R58" s="15">
        <v>7.0000000000000007E-2</v>
      </c>
      <c r="S58" s="18">
        <f>(Tabela2246[[#This Row],[FRETE]]+Tabela2246[[#This Row],[DESPESAS]]+Tabela2246[[#This Row],[IPI]]+Tabela2246[[#This Row],[Vl. Produto]])*Tabela2246[[#This Row],[Aliq.%]]</f>
        <v>0</v>
      </c>
    </row>
    <row r="59" spans="13:19" x14ac:dyDescent="0.25">
      <c r="M59" s="46"/>
      <c r="N59" s="46"/>
      <c r="O59" s="46"/>
      <c r="P59" s="46"/>
      <c r="R59" s="15">
        <v>7.0000000000000007E-2</v>
      </c>
      <c r="S59" s="18">
        <f>(Tabela2246[[#This Row],[FRETE]]+Tabela2246[[#This Row],[DESPESAS]]+Tabela2246[[#This Row],[IPI]]+Tabela2246[[#This Row],[Vl. Produto]])*Tabela2246[[#This Row],[Aliq.%]]</f>
        <v>0</v>
      </c>
    </row>
    <row r="60" spans="13:19" x14ac:dyDescent="0.25">
      <c r="M60" s="46"/>
      <c r="N60" s="46"/>
      <c r="O60" s="46"/>
      <c r="P60" s="46"/>
      <c r="R60" s="15">
        <v>7.0000000000000007E-2</v>
      </c>
      <c r="S60" s="18">
        <f>(Tabela2246[[#This Row],[FRETE]]+Tabela2246[[#This Row],[DESPESAS]]+Tabela2246[[#This Row],[IPI]]+Tabela2246[[#This Row],[Vl. Produto]])*Tabela2246[[#This Row],[Aliq.%]]</f>
        <v>0</v>
      </c>
    </row>
    <row r="61" spans="13:19" x14ac:dyDescent="0.25">
      <c r="M61" s="46"/>
      <c r="N61" s="46"/>
      <c r="O61" s="46"/>
      <c r="P61" s="46"/>
      <c r="R61" s="15">
        <v>7.0000000000000007E-2</v>
      </c>
      <c r="S61" s="18">
        <f>(Tabela2246[[#This Row],[FRETE]]+Tabela2246[[#This Row],[DESPESAS]]+Tabela2246[[#This Row],[IPI]]+Tabela2246[[#This Row],[Vl. Produto]])*Tabela2246[[#This Row],[Aliq.%]]</f>
        <v>0</v>
      </c>
    </row>
    <row r="62" spans="13:19" x14ac:dyDescent="0.25">
      <c r="M62" s="46"/>
      <c r="N62" s="46"/>
      <c r="O62" s="46"/>
      <c r="P62" s="46"/>
      <c r="R62" s="15">
        <v>7.0000000000000007E-2</v>
      </c>
      <c r="S62" s="18">
        <f>(Tabela2246[[#This Row],[FRETE]]+Tabela2246[[#This Row],[DESPESAS]]+Tabela2246[[#This Row],[IPI]]+Tabela2246[[#This Row],[Vl. Produto]])*Tabela2246[[#This Row],[Aliq.%]]</f>
        <v>0</v>
      </c>
    </row>
    <row r="63" spans="13:19" x14ac:dyDescent="0.25">
      <c r="M63" s="46"/>
      <c r="N63" s="46"/>
      <c r="O63" s="46"/>
      <c r="P63" s="46"/>
      <c r="R63" s="15">
        <v>7.0000000000000007E-2</v>
      </c>
      <c r="S63" s="18">
        <f>(Tabela2246[[#This Row],[FRETE]]+Tabela2246[[#This Row],[DESPESAS]]+Tabela2246[[#This Row],[IPI]]+Tabela2246[[#This Row],[Vl. Produto]])*Tabela2246[[#This Row],[Aliq.%]]</f>
        <v>0</v>
      </c>
    </row>
    <row r="64" spans="13:19" x14ac:dyDescent="0.25">
      <c r="M64" s="46"/>
      <c r="N64" s="46"/>
      <c r="O64" s="46"/>
      <c r="P64" s="46"/>
      <c r="R64" s="15">
        <v>7.0000000000000007E-2</v>
      </c>
      <c r="S64" s="18">
        <f>(Tabela2246[[#This Row],[FRETE]]+Tabela2246[[#This Row],[DESPESAS]]+Tabela2246[[#This Row],[IPI]]+Tabela2246[[#This Row],[Vl. Produto]])*Tabela2246[[#This Row],[Aliq.%]]</f>
        <v>0</v>
      </c>
    </row>
    <row r="65" spans="13:19" x14ac:dyDescent="0.25">
      <c r="M65" s="46"/>
      <c r="N65" s="46"/>
      <c r="O65" s="46"/>
      <c r="P65" s="46"/>
      <c r="R65" s="15">
        <v>7.0000000000000007E-2</v>
      </c>
      <c r="S65" s="18">
        <f>(Tabela2246[[#This Row],[FRETE]]+Tabela2246[[#This Row],[DESPESAS]]+Tabela2246[[#This Row],[IPI]]+Tabela2246[[#This Row],[Vl. Produto]])*Tabela2246[[#This Row],[Aliq.%]]</f>
        <v>0</v>
      </c>
    </row>
    <row r="66" spans="13:19" x14ac:dyDescent="0.25">
      <c r="M66" s="46"/>
      <c r="N66" s="46"/>
      <c r="O66" s="46"/>
      <c r="P66" s="46"/>
      <c r="R66" s="15">
        <v>7.0000000000000007E-2</v>
      </c>
      <c r="S66" s="18">
        <f>(Tabela2246[[#This Row],[FRETE]]+Tabela2246[[#This Row],[DESPESAS]]+Tabela2246[[#This Row],[IPI]]+Tabela2246[[#This Row],[Vl. Produto]])*Tabela2246[[#This Row],[Aliq.%]]</f>
        <v>0</v>
      </c>
    </row>
    <row r="67" spans="13:19" x14ac:dyDescent="0.25">
      <c r="M67" s="46"/>
      <c r="N67" s="46"/>
      <c r="O67" s="46"/>
      <c r="P67" s="46"/>
      <c r="R67" s="15">
        <v>7.0000000000000007E-2</v>
      </c>
      <c r="S67" s="18">
        <f>(Tabela2246[[#This Row],[FRETE]]+Tabela2246[[#This Row],[DESPESAS]]+Tabela2246[[#This Row],[IPI]]+Tabela2246[[#This Row],[Vl. Produto]])*Tabela2246[[#This Row],[Aliq.%]]</f>
        <v>0</v>
      </c>
    </row>
    <row r="68" spans="13:19" x14ac:dyDescent="0.25">
      <c r="M68" s="46"/>
      <c r="N68" s="46"/>
      <c r="O68" s="46"/>
      <c r="P68" s="46"/>
      <c r="R68" s="15">
        <v>7.0000000000000007E-2</v>
      </c>
      <c r="S68" s="18">
        <f>(Tabela2246[[#This Row],[FRETE]]+Tabela2246[[#This Row],[DESPESAS]]+Tabela2246[[#This Row],[IPI]]+Tabela2246[[#This Row],[Vl. Produto]])*Tabela2246[[#This Row],[Aliq.%]]</f>
        <v>0</v>
      </c>
    </row>
    <row r="69" spans="13:19" x14ac:dyDescent="0.25">
      <c r="M69" s="46"/>
      <c r="N69" s="46"/>
      <c r="O69" s="46"/>
      <c r="P69" s="46"/>
      <c r="R69" s="15">
        <v>7.0000000000000007E-2</v>
      </c>
      <c r="S69" s="18">
        <f>(Tabela2246[[#This Row],[FRETE]]+Tabela2246[[#This Row],[DESPESAS]]+Tabela2246[[#This Row],[IPI]]+Tabela2246[[#This Row],[Vl. Produto]])*Tabela2246[[#This Row],[Aliq.%]]</f>
        <v>0</v>
      </c>
    </row>
    <row r="70" spans="13:19" x14ac:dyDescent="0.25">
      <c r="M70" s="46"/>
      <c r="N70" s="46"/>
      <c r="O70" s="46"/>
      <c r="P70" s="46"/>
      <c r="R70" s="15">
        <v>7.0000000000000007E-2</v>
      </c>
      <c r="S70" s="18">
        <f>(Tabela2246[[#This Row],[FRETE]]+Tabela2246[[#This Row],[DESPESAS]]+Tabela2246[[#This Row],[IPI]]+Tabela2246[[#This Row],[Vl. Produto]])*Tabela2246[[#This Row],[Aliq.%]]</f>
        <v>0</v>
      </c>
    </row>
    <row r="71" spans="13:19" x14ac:dyDescent="0.25">
      <c r="M71" s="46"/>
      <c r="N71" s="46"/>
      <c r="O71" s="46"/>
      <c r="P71" s="46"/>
      <c r="R71" s="15">
        <v>7.0000000000000007E-2</v>
      </c>
      <c r="S71" s="18">
        <f>(Tabela2246[[#This Row],[FRETE]]+Tabela2246[[#This Row],[DESPESAS]]+Tabela2246[[#This Row],[IPI]]+Tabela2246[[#This Row],[Vl. Produto]])*Tabela2246[[#This Row],[Aliq.%]]</f>
        <v>0</v>
      </c>
    </row>
    <row r="72" spans="13:19" x14ac:dyDescent="0.25">
      <c r="M72" s="46"/>
      <c r="N72" s="46"/>
      <c r="O72" s="46"/>
      <c r="P72" s="46"/>
      <c r="R72" s="15">
        <v>7.0000000000000007E-2</v>
      </c>
      <c r="S72" s="18">
        <f>(Tabela2246[[#This Row],[FRETE]]+Tabela2246[[#This Row],[DESPESAS]]+Tabela2246[[#This Row],[IPI]]+Tabela2246[[#This Row],[Vl. Produto]])*Tabela2246[[#This Row],[Aliq.%]]</f>
        <v>0</v>
      </c>
    </row>
    <row r="73" spans="13:19" x14ac:dyDescent="0.25">
      <c r="M73" s="46"/>
      <c r="N73" s="46"/>
      <c r="O73" s="46"/>
      <c r="P73" s="46"/>
      <c r="R73" s="15">
        <v>7.0000000000000007E-2</v>
      </c>
      <c r="S73" s="18">
        <f>(Tabela2246[[#This Row],[FRETE]]+Tabela2246[[#This Row],[DESPESAS]]+Tabela2246[[#This Row],[IPI]]+Tabela2246[[#This Row],[Vl. Produto]])*Tabela2246[[#This Row],[Aliq.%]]</f>
        <v>0</v>
      </c>
    </row>
    <row r="74" spans="13:19" x14ac:dyDescent="0.25">
      <c r="M74" s="46"/>
      <c r="N74" s="46"/>
      <c r="O74" s="46"/>
      <c r="P74" s="46"/>
      <c r="R74" s="15">
        <v>7.0000000000000007E-2</v>
      </c>
      <c r="S74" s="18">
        <f>(Tabela2246[[#This Row],[FRETE]]+Tabela2246[[#This Row],[DESPESAS]]+Tabela2246[[#This Row],[IPI]]+Tabela2246[[#This Row],[Vl. Produto]])*Tabela2246[[#This Row],[Aliq.%]]</f>
        <v>0</v>
      </c>
    </row>
    <row r="75" spans="13:19" x14ac:dyDescent="0.25">
      <c r="M75" s="46"/>
      <c r="N75" s="46"/>
      <c r="O75" s="46"/>
      <c r="P75" s="46"/>
      <c r="R75" s="15">
        <v>7.0000000000000007E-2</v>
      </c>
      <c r="S75" s="18">
        <f>(Tabela2246[[#This Row],[FRETE]]+Tabela2246[[#This Row],[DESPESAS]]+Tabela2246[[#This Row],[IPI]]+Tabela2246[[#This Row],[Vl. Produto]])*Tabela2246[[#This Row],[Aliq.%]]</f>
        <v>0</v>
      </c>
    </row>
    <row r="76" spans="13:19" x14ac:dyDescent="0.25">
      <c r="M76" s="46"/>
      <c r="N76" s="46"/>
      <c r="O76" s="46"/>
      <c r="P76" s="46"/>
      <c r="R76" s="15">
        <v>7.0000000000000007E-2</v>
      </c>
      <c r="S76" s="18">
        <f>(Tabela2246[[#This Row],[FRETE]]+Tabela2246[[#This Row],[DESPESAS]]+Tabela2246[[#This Row],[IPI]]+Tabela2246[[#This Row],[Vl. Produto]])*Tabela2246[[#This Row],[Aliq.%]]</f>
        <v>0</v>
      </c>
    </row>
    <row r="77" spans="13:19" x14ac:dyDescent="0.25">
      <c r="M77" s="46"/>
      <c r="N77" s="46"/>
      <c r="O77" s="46"/>
      <c r="P77" s="46"/>
      <c r="R77" s="15">
        <v>7.0000000000000007E-2</v>
      </c>
      <c r="S77" s="18">
        <f>(Tabela2246[[#This Row],[FRETE]]+Tabela2246[[#This Row],[DESPESAS]]+Tabela2246[[#This Row],[IPI]]+Tabela2246[[#This Row],[Vl. Produto]])*Tabela2246[[#This Row],[Aliq.%]]</f>
        <v>0</v>
      </c>
    </row>
    <row r="78" spans="13:19" x14ac:dyDescent="0.25">
      <c r="M78" s="46"/>
      <c r="N78" s="46"/>
      <c r="O78" s="46"/>
      <c r="P78" s="46"/>
      <c r="R78" s="15">
        <v>7.0000000000000007E-2</v>
      </c>
      <c r="S78" s="18">
        <f>(Tabela2246[[#This Row],[FRETE]]+Tabela2246[[#This Row],[DESPESAS]]+Tabela2246[[#This Row],[IPI]]+Tabela2246[[#This Row],[Vl. Produto]])*Tabela2246[[#This Row],[Aliq.%]]</f>
        <v>0</v>
      </c>
    </row>
    <row r="79" spans="13:19" x14ac:dyDescent="0.25">
      <c r="M79" s="46"/>
      <c r="N79" s="46"/>
      <c r="O79" s="46"/>
      <c r="P79" s="46"/>
      <c r="R79" s="15">
        <v>7.0000000000000007E-2</v>
      </c>
      <c r="S79" s="18">
        <f>(Tabela2246[[#This Row],[FRETE]]+Tabela2246[[#This Row],[DESPESAS]]+Tabela2246[[#This Row],[IPI]]+Tabela2246[[#This Row],[Vl. Produto]])*Tabela2246[[#This Row],[Aliq.%]]</f>
        <v>0</v>
      </c>
    </row>
    <row r="80" spans="13:19" x14ac:dyDescent="0.25">
      <c r="M80" s="46"/>
      <c r="N80" s="46"/>
      <c r="O80" s="46"/>
      <c r="P80" s="46"/>
      <c r="R80" s="15">
        <v>7.0000000000000007E-2</v>
      </c>
      <c r="S80" s="18">
        <f>(Tabela2246[[#This Row],[FRETE]]+Tabela2246[[#This Row],[DESPESAS]]+Tabela2246[[#This Row],[IPI]]+Tabela2246[[#This Row],[Vl. Produto]])*Tabela2246[[#This Row],[Aliq.%]]</f>
        <v>0</v>
      </c>
    </row>
    <row r="81" spans="13:19" x14ac:dyDescent="0.25">
      <c r="M81" s="46"/>
      <c r="N81" s="46"/>
      <c r="O81" s="46"/>
      <c r="P81" s="46"/>
      <c r="R81" s="15">
        <v>7.0000000000000007E-2</v>
      </c>
      <c r="S81" s="18">
        <f>(Tabela2246[[#This Row],[FRETE]]+Tabela2246[[#This Row],[DESPESAS]]+Tabela2246[[#This Row],[IPI]]+Tabela2246[[#This Row],[Vl. Produto]])*Tabela2246[[#This Row],[Aliq.%]]</f>
        <v>0</v>
      </c>
    </row>
    <row r="82" spans="13:19" x14ac:dyDescent="0.25">
      <c r="M82" s="46"/>
      <c r="N82" s="46"/>
      <c r="O82" s="46"/>
      <c r="P82" s="46"/>
      <c r="R82" s="15">
        <v>7.0000000000000007E-2</v>
      </c>
      <c r="S82" s="18">
        <f>(Tabela2246[[#This Row],[FRETE]]+Tabela2246[[#This Row],[DESPESAS]]+Tabela2246[[#This Row],[IPI]]+Tabela2246[[#This Row],[Vl. Produto]])*Tabela2246[[#This Row],[Aliq.%]]</f>
        <v>0</v>
      </c>
    </row>
    <row r="83" spans="13:19" x14ac:dyDescent="0.25">
      <c r="M83" s="46"/>
      <c r="N83" s="46"/>
      <c r="O83" s="46"/>
      <c r="P83" s="46"/>
      <c r="R83" s="15">
        <v>7.0000000000000007E-2</v>
      </c>
      <c r="S83" s="18">
        <f>(Tabela2246[[#This Row],[FRETE]]+Tabela2246[[#This Row],[DESPESAS]]+Tabela2246[[#This Row],[IPI]]+Tabela2246[[#This Row],[Vl. Produto]])*Tabela2246[[#This Row],[Aliq.%]]</f>
        <v>0</v>
      </c>
    </row>
    <row r="84" spans="13:19" x14ac:dyDescent="0.25">
      <c r="M84" s="46"/>
      <c r="N84" s="46"/>
      <c r="O84" s="46"/>
      <c r="P84" s="46"/>
      <c r="R84" s="15">
        <v>7.0000000000000007E-2</v>
      </c>
      <c r="S84" s="18">
        <f>(Tabela2246[[#This Row],[FRETE]]+Tabela2246[[#This Row],[DESPESAS]]+Tabela2246[[#This Row],[IPI]]+Tabela2246[[#This Row],[Vl. Produto]])*Tabela2246[[#This Row],[Aliq.%]]</f>
        <v>0</v>
      </c>
    </row>
    <row r="85" spans="13:19" x14ac:dyDescent="0.25">
      <c r="M85" s="46"/>
      <c r="N85" s="46"/>
      <c r="O85" s="46"/>
      <c r="P85" s="46"/>
      <c r="R85" s="15">
        <v>7.0000000000000007E-2</v>
      </c>
      <c r="S85" s="18">
        <f>(Tabela2246[[#This Row],[FRETE]]+Tabela2246[[#This Row],[DESPESAS]]+Tabela2246[[#This Row],[IPI]]+Tabela2246[[#This Row],[Vl. Produto]])*Tabela2246[[#This Row],[Aliq.%]]</f>
        <v>0</v>
      </c>
    </row>
    <row r="86" spans="13:19" x14ac:dyDescent="0.25">
      <c r="M86" s="46"/>
      <c r="N86" s="46"/>
      <c r="O86" s="46"/>
      <c r="P86" s="46"/>
      <c r="R86" s="15">
        <v>7.0000000000000007E-2</v>
      </c>
      <c r="S86" s="18">
        <f>(Tabela2246[[#This Row],[FRETE]]+Tabela2246[[#This Row],[DESPESAS]]+Tabela2246[[#This Row],[IPI]]+Tabela2246[[#This Row],[Vl. Produto]])*Tabela2246[[#This Row],[Aliq.%]]</f>
        <v>0</v>
      </c>
    </row>
    <row r="87" spans="13:19" x14ac:dyDescent="0.25">
      <c r="M87" s="46"/>
      <c r="N87" s="46"/>
      <c r="O87" s="46"/>
      <c r="P87" s="46"/>
      <c r="R87" s="15">
        <v>7.0000000000000007E-2</v>
      </c>
      <c r="S87" s="18">
        <f>(Tabela2246[[#This Row],[FRETE]]+Tabela2246[[#This Row],[DESPESAS]]+Tabela2246[[#This Row],[IPI]]+Tabela2246[[#This Row],[Vl. Produto]])*Tabela2246[[#This Row],[Aliq.%]]</f>
        <v>0</v>
      </c>
    </row>
    <row r="88" spans="13:19" x14ac:dyDescent="0.25">
      <c r="M88" s="46"/>
      <c r="N88" s="46"/>
      <c r="O88" s="46"/>
      <c r="P88" s="46"/>
      <c r="R88" s="15">
        <v>7.0000000000000007E-2</v>
      </c>
      <c r="S88" s="18">
        <f>(Tabela2246[[#This Row],[FRETE]]+Tabela2246[[#This Row],[DESPESAS]]+Tabela2246[[#This Row],[IPI]]+Tabela2246[[#This Row],[Vl. Produto]])*Tabela2246[[#This Row],[Aliq.%]]</f>
        <v>0</v>
      </c>
    </row>
    <row r="89" spans="13:19" x14ac:dyDescent="0.25">
      <c r="M89" s="46"/>
      <c r="N89" s="46"/>
      <c r="O89" s="46"/>
      <c r="P89" s="46"/>
      <c r="R89" s="15">
        <v>7.0000000000000007E-2</v>
      </c>
      <c r="S89" s="18">
        <f>(Tabela2246[[#This Row],[FRETE]]+Tabela2246[[#This Row],[DESPESAS]]+Tabela2246[[#This Row],[IPI]]+Tabela2246[[#This Row],[Vl. Produto]])*Tabela2246[[#This Row],[Aliq.%]]</f>
        <v>0</v>
      </c>
    </row>
    <row r="90" spans="13:19" x14ac:dyDescent="0.25">
      <c r="M90" s="46"/>
      <c r="N90" s="46"/>
      <c r="O90" s="46"/>
      <c r="P90" s="46"/>
      <c r="R90" s="15">
        <v>7.0000000000000007E-2</v>
      </c>
      <c r="S90" s="18">
        <f>(Tabela2246[[#This Row],[FRETE]]+Tabela2246[[#This Row],[DESPESAS]]+Tabela2246[[#This Row],[IPI]]+Tabela2246[[#This Row],[Vl. Produto]])*Tabela2246[[#This Row],[Aliq.%]]</f>
        <v>0</v>
      </c>
    </row>
    <row r="91" spans="13:19" x14ac:dyDescent="0.25">
      <c r="M91" s="46"/>
      <c r="N91" s="46"/>
      <c r="O91" s="46"/>
      <c r="P91" s="46"/>
      <c r="R91" s="15">
        <v>7.0000000000000007E-2</v>
      </c>
      <c r="S91" s="18">
        <f>(Tabela2246[[#This Row],[FRETE]]+Tabela2246[[#This Row],[DESPESAS]]+Tabela2246[[#This Row],[IPI]]+Tabela2246[[#This Row],[Vl. Produto]])*Tabela2246[[#This Row],[Aliq.%]]</f>
        <v>0</v>
      </c>
    </row>
    <row r="92" spans="13:19" x14ac:dyDescent="0.25">
      <c r="M92" s="46"/>
      <c r="N92" s="46"/>
      <c r="O92" s="46"/>
      <c r="P92" s="46"/>
      <c r="R92" s="15">
        <v>7.0000000000000007E-2</v>
      </c>
      <c r="S92" s="18">
        <f>(Tabela2246[[#This Row],[FRETE]]+Tabela2246[[#This Row],[DESPESAS]]+Tabela2246[[#This Row],[IPI]]+Tabela2246[[#This Row],[Vl. Produto]])*Tabela2246[[#This Row],[Aliq.%]]</f>
        <v>0</v>
      </c>
    </row>
    <row r="93" spans="13:19" x14ac:dyDescent="0.25">
      <c r="M93" s="46"/>
      <c r="N93" s="46"/>
      <c r="O93" s="46"/>
      <c r="P93" s="46"/>
      <c r="R93" s="15">
        <v>7.0000000000000007E-2</v>
      </c>
      <c r="S93" s="18">
        <f>(Tabela2246[[#This Row],[FRETE]]+Tabela2246[[#This Row],[DESPESAS]]+Tabela2246[[#This Row],[IPI]]+Tabela2246[[#This Row],[Vl. Produto]])*Tabela2246[[#This Row],[Aliq.%]]</f>
        <v>0</v>
      </c>
    </row>
    <row r="94" spans="13:19" x14ac:dyDescent="0.25">
      <c r="M94" s="46"/>
      <c r="N94" s="46"/>
      <c r="O94" s="46"/>
      <c r="P94" s="46"/>
      <c r="R94" s="15">
        <v>7.0000000000000007E-2</v>
      </c>
      <c r="S94" s="18">
        <f>(Tabela2246[[#This Row],[FRETE]]+Tabela2246[[#This Row],[DESPESAS]]+Tabela2246[[#This Row],[IPI]]+Tabela2246[[#This Row],[Vl. Produto]])*Tabela2246[[#This Row],[Aliq.%]]</f>
        <v>0</v>
      </c>
    </row>
    <row r="95" spans="13:19" x14ac:dyDescent="0.25">
      <c r="M95" s="46"/>
      <c r="N95" s="46"/>
      <c r="O95" s="46"/>
      <c r="P95" s="46"/>
      <c r="R95" s="15">
        <v>7.0000000000000007E-2</v>
      </c>
      <c r="S95" s="18">
        <f>(Tabela2246[[#This Row],[FRETE]]+Tabela2246[[#This Row],[DESPESAS]]+Tabela2246[[#This Row],[IPI]]+Tabela2246[[#This Row],[Vl. Produto]])*Tabela2246[[#This Row],[Aliq.%]]</f>
        <v>0</v>
      </c>
    </row>
    <row r="96" spans="13:19" x14ac:dyDescent="0.25">
      <c r="M96" s="46"/>
      <c r="N96" s="46"/>
      <c r="O96" s="46"/>
      <c r="P96" s="46"/>
      <c r="R96" s="15">
        <v>7.0000000000000007E-2</v>
      </c>
      <c r="S96" s="18">
        <f>(Tabela2246[[#This Row],[FRETE]]+Tabela2246[[#This Row],[DESPESAS]]+Tabela2246[[#This Row],[IPI]]+Tabela2246[[#This Row],[Vl. Produto]])*Tabela2246[[#This Row],[Aliq.%]]</f>
        <v>0</v>
      </c>
    </row>
    <row r="97" spans="13:19" x14ac:dyDescent="0.25">
      <c r="M97" s="46"/>
      <c r="N97" s="46"/>
      <c r="O97" s="46"/>
      <c r="P97" s="46"/>
      <c r="R97" s="15">
        <v>7.0000000000000007E-2</v>
      </c>
      <c r="S97" s="18">
        <f>(Tabela2246[[#This Row],[FRETE]]+Tabela2246[[#This Row],[DESPESAS]]+Tabela2246[[#This Row],[IPI]]+Tabela2246[[#This Row],[Vl. Produto]])*Tabela2246[[#This Row],[Aliq.%]]</f>
        <v>0</v>
      </c>
    </row>
    <row r="98" spans="13:19" x14ac:dyDescent="0.25">
      <c r="M98" s="46"/>
      <c r="N98" s="46"/>
      <c r="O98" s="46"/>
      <c r="P98" s="46"/>
      <c r="R98" s="15">
        <v>7.0000000000000007E-2</v>
      </c>
      <c r="S98" s="18">
        <f>(Tabela2246[[#This Row],[FRETE]]+Tabela2246[[#This Row],[DESPESAS]]+Tabela2246[[#This Row],[IPI]]+Tabela2246[[#This Row],[Vl. Produto]])*Tabela2246[[#This Row],[Aliq.%]]</f>
        <v>0</v>
      </c>
    </row>
    <row r="99" spans="13:19" x14ac:dyDescent="0.25">
      <c r="M99" s="46"/>
      <c r="N99" s="46"/>
      <c r="O99" s="46"/>
      <c r="P99" s="46"/>
      <c r="R99" s="15">
        <v>7.0000000000000007E-2</v>
      </c>
      <c r="S99" s="18">
        <f>(Tabela2246[[#This Row],[FRETE]]+Tabela2246[[#This Row],[DESPESAS]]+Tabela2246[[#This Row],[IPI]]+Tabela2246[[#This Row],[Vl. Produto]])*Tabela2246[[#This Row],[Aliq.%]]</f>
        <v>0</v>
      </c>
    </row>
    <row r="100" spans="13:19" x14ac:dyDescent="0.25">
      <c r="M100" s="46"/>
      <c r="N100" s="46"/>
      <c r="O100" s="46"/>
      <c r="P100" s="46"/>
      <c r="R100" s="15">
        <v>7.0000000000000007E-2</v>
      </c>
      <c r="S100" s="18">
        <f>(Tabela2246[[#This Row],[FRETE]]+Tabela2246[[#This Row],[DESPESAS]]+Tabela2246[[#This Row],[IPI]]+Tabela2246[[#This Row],[Vl. Produto]])*Tabela2246[[#This Row],[Aliq.%]]</f>
        <v>0</v>
      </c>
    </row>
    <row r="101" spans="13:19" x14ac:dyDescent="0.25">
      <c r="M101" s="46"/>
      <c r="N101" s="46"/>
      <c r="O101" s="46"/>
      <c r="P101" s="46"/>
      <c r="R101" s="15">
        <v>7.0000000000000007E-2</v>
      </c>
      <c r="S101" s="18">
        <f>(Tabela2246[[#This Row],[FRETE]]+Tabela2246[[#This Row],[DESPESAS]]+Tabela2246[[#This Row],[IPI]]+Tabela2246[[#This Row],[Vl. Produto]])*Tabela2246[[#This Row],[Aliq.%]]</f>
        <v>0</v>
      </c>
    </row>
    <row r="102" spans="13:19" x14ac:dyDescent="0.25">
      <c r="M102" s="46"/>
      <c r="N102" s="46"/>
      <c r="O102" s="46"/>
      <c r="P102" s="46"/>
      <c r="R102" s="15">
        <v>7.0000000000000007E-2</v>
      </c>
      <c r="S102" s="18">
        <f>(Tabela2246[[#This Row],[FRETE]]+Tabela2246[[#This Row],[DESPESAS]]+Tabela2246[[#This Row],[IPI]]+Tabela2246[[#This Row],[Vl. Produto]])*Tabela2246[[#This Row],[Aliq.%]]</f>
        <v>0</v>
      </c>
    </row>
    <row r="103" spans="13:19" x14ac:dyDescent="0.25">
      <c r="M103" s="46"/>
      <c r="N103" s="46"/>
      <c r="O103" s="46"/>
      <c r="P103" s="46"/>
      <c r="R103" s="15">
        <v>7.0000000000000007E-2</v>
      </c>
      <c r="S103" s="18">
        <f>(Tabela2246[[#This Row],[FRETE]]+Tabela2246[[#This Row],[DESPESAS]]+Tabela2246[[#This Row],[IPI]]+Tabela2246[[#This Row],[Vl. Produto]])*Tabela2246[[#This Row],[Aliq.%]]</f>
        <v>0</v>
      </c>
    </row>
    <row r="104" spans="13:19" x14ac:dyDescent="0.25">
      <c r="M104" s="46"/>
      <c r="N104" s="46"/>
      <c r="O104" s="46"/>
      <c r="P104" s="46"/>
      <c r="R104" s="15">
        <v>7.0000000000000007E-2</v>
      </c>
      <c r="S104" s="18">
        <f>(Tabela2246[[#This Row],[FRETE]]+Tabela2246[[#This Row],[DESPESAS]]+Tabela2246[[#This Row],[IPI]]+Tabela2246[[#This Row],[Vl. Produto]])*Tabela2246[[#This Row],[Aliq.%]]</f>
        <v>0</v>
      </c>
    </row>
    <row r="105" spans="13:19" x14ac:dyDescent="0.25">
      <c r="M105" s="46"/>
      <c r="N105" s="46"/>
      <c r="O105" s="46"/>
      <c r="P105" s="46"/>
      <c r="R105" s="15">
        <v>7.0000000000000007E-2</v>
      </c>
      <c r="S105" s="18">
        <f>(Tabela2246[[#This Row],[FRETE]]+Tabela2246[[#This Row],[DESPESAS]]+Tabela2246[[#This Row],[IPI]]+Tabela2246[[#This Row],[Vl. Produto]])*Tabela2246[[#This Row],[Aliq.%]]</f>
        <v>0</v>
      </c>
    </row>
    <row r="106" spans="13:19" x14ac:dyDescent="0.25">
      <c r="M106" s="46"/>
      <c r="N106" s="46"/>
      <c r="O106" s="46"/>
      <c r="P106" s="46"/>
      <c r="R106" s="15">
        <v>7.0000000000000007E-2</v>
      </c>
      <c r="S106" s="18">
        <f>(Tabela2246[[#This Row],[FRETE]]+Tabela2246[[#This Row],[DESPESAS]]+Tabela2246[[#This Row],[IPI]]+Tabela2246[[#This Row],[Vl. Produto]])*Tabela2246[[#This Row],[Aliq.%]]</f>
        <v>0</v>
      </c>
    </row>
    <row r="107" spans="13:19" x14ac:dyDescent="0.25">
      <c r="M107" s="46"/>
      <c r="N107" s="46"/>
      <c r="O107" s="46"/>
      <c r="P107" s="46"/>
      <c r="R107" s="15">
        <v>7.0000000000000007E-2</v>
      </c>
      <c r="S107" s="18">
        <f>(Tabela2246[[#This Row],[FRETE]]+Tabela2246[[#This Row],[DESPESAS]]+Tabela2246[[#This Row],[IPI]]+Tabela2246[[#This Row],[Vl. Produto]])*Tabela2246[[#This Row],[Aliq.%]]</f>
        <v>0</v>
      </c>
    </row>
    <row r="108" spans="13:19" x14ac:dyDescent="0.25">
      <c r="M108" s="46"/>
      <c r="N108" s="46"/>
      <c r="O108" s="46"/>
      <c r="P108" s="46"/>
      <c r="R108" s="15">
        <v>7.0000000000000007E-2</v>
      </c>
      <c r="S108" s="18">
        <f>(Tabela2246[[#This Row],[FRETE]]+Tabela2246[[#This Row],[DESPESAS]]+Tabela2246[[#This Row],[IPI]]+Tabela2246[[#This Row],[Vl. Produto]])*Tabela2246[[#This Row],[Aliq.%]]</f>
        <v>0</v>
      </c>
    </row>
    <row r="109" spans="13:19" x14ac:dyDescent="0.25">
      <c r="M109" s="46"/>
      <c r="N109" s="46"/>
      <c r="O109" s="46"/>
      <c r="P109" s="46"/>
      <c r="R109" s="15">
        <v>7.0000000000000007E-2</v>
      </c>
      <c r="S109" s="18">
        <f>(Tabela2246[[#This Row],[FRETE]]+Tabela2246[[#This Row],[DESPESAS]]+Tabela2246[[#This Row],[IPI]]+Tabela2246[[#This Row],[Vl. Produto]])*Tabela2246[[#This Row],[Aliq.%]]</f>
        <v>0</v>
      </c>
    </row>
    <row r="110" spans="13:19" x14ac:dyDescent="0.25">
      <c r="M110" s="46"/>
      <c r="N110" s="46"/>
      <c r="O110" s="46"/>
      <c r="P110" s="46"/>
      <c r="R110" s="15">
        <v>7.0000000000000007E-2</v>
      </c>
      <c r="S110" s="18">
        <f>(Tabela2246[[#This Row],[FRETE]]+Tabela2246[[#This Row],[DESPESAS]]+Tabela2246[[#This Row],[IPI]]+Tabela2246[[#This Row],[Vl. Produto]])*Tabela2246[[#This Row],[Aliq.%]]</f>
        <v>0</v>
      </c>
    </row>
    <row r="111" spans="13:19" x14ac:dyDescent="0.25">
      <c r="M111" s="46"/>
      <c r="N111" s="46"/>
      <c r="O111" s="46"/>
      <c r="P111" s="46"/>
      <c r="R111" s="15">
        <v>7.0000000000000007E-2</v>
      </c>
      <c r="S111" s="18">
        <f>(Tabela2246[[#This Row],[FRETE]]+Tabela2246[[#This Row],[DESPESAS]]+Tabela2246[[#This Row],[IPI]]+Tabela2246[[#This Row],[Vl. Produto]])*Tabela2246[[#This Row],[Aliq.%]]</f>
        <v>0</v>
      </c>
    </row>
    <row r="112" spans="13:19" x14ac:dyDescent="0.25">
      <c r="M112" s="46"/>
      <c r="N112" s="46"/>
      <c r="O112" s="46"/>
      <c r="P112" s="46"/>
      <c r="R112" s="15">
        <v>7.0000000000000007E-2</v>
      </c>
      <c r="S112" s="18">
        <f>(Tabela2246[[#This Row],[FRETE]]+Tabela2246[[#This Row],[DESPESAS]]+Tabela2246[[#This Row],[IPI]]+Tabela2246[[#This Row],[Vl. Produto]])*Tabela2246[[#This Row],[Aliq.%]]</f>
        <v>0</v>
      </c>
    </row>
    <row r="113" spans="13:19" x14ac:dyDescent="0.25">
      <c r="M113" s="46"/>
      <c r="N113" s="46"/>
      <c r="O113" s="46"/>
      <c r="P113" s="46"/>
      <c r="R113" s="15">
        <v>7.0000000000000007E-2</v>
      </c>
      <c r="S113" s="18">
        <f>(Tabela2246[[#This Row],[FRETE]]+Tabela2246[[#This Row],[DESPESAS]]+Tabela2246[[#This Row],[IPI]]+Tabela2246[[#This Row],[Vl. Produto]])*Tabela2246[[#This Row],[Aliq.%]]</f>
        <v>0</v>
      </c>
    </row>
    <row r="114" spans="13:19" x14ac:dyDescent="0.25">
      <c r="M114" s="46"/>
      <c r="N114" s="46"/>
      <c r="O114" s="46"/>
      <c r="P114" s="46"/>
      <c r="R114" s="15">
        <v>7.0000000000000007E-2</v>
      </c>
      <c r="S114" s="18">
        <f>(Tabela2246[[#This Row],[FRETE]]+Tabela2246[[#This Row],[DESPESAS]]+Tabela2246[[#This Row],[IPI]]+Tabela2246[[#This Row],[Vl. Produto]])*Tabela2246[[#This Row],[Aliq.%]]</f>
        <v>0</v>
      </c>
    </row>
    <row r="115" spans="13:19" x14ac:dyDescent="0.25">
      <c r="M115" s="46"/>
      <c r="N115" s="46"/>
      <c r="O115" s="46"/>
      <c r="P115" s="46"/>
      <c r="R115" s="15">
        <v>7.0000000000000007E-2</v>
      </c>
      <c r="S115" s="18">
        <f>(Tabela2246[[#This Row],[FRETE]]+Tabela2246[[#This Row],[DESPESAS]]+Tabela2246[[#This Row],[IPI]]+Tabela2246[[#This Row],[Vl. Produto]])*Tabela2246[[#This Row],[Aliq.%]]</f>
        <v>0</v>
      </c>
    </row>
    <row r="116" spans="13:19" x14ac:dyDescent="0.25">
      <c r="M116" s="46"/>
      <c r="N116" s="46"/>
      <c r="O116" s="46"/>
      <c r="P116" s="46"/>
      <c r="R116" s="15">
        <v>7.0000000000000007E-2</v>
      </c>
      <c r="S116" s="18">
        <f>(Tabela2246[[#This Row],[FRETE]]+Tabela2246[[#This Row],[DESPESAS]]+Tabela2246[[#This Row],[IPI]]+Tabela2246[[#This Row],[Vl. Produto]])*Tabela2246[[#This Row],[Aliq.%]]</f>
        <v>0</v>
      </c>
    </row>
    <row r="117" spans="13:19" x14ac:dyDescent="0.25">
      <c r="M117" s="46"/>
      <c r="N117" s="46"/>
      <c r="O117" s="46"/>
      <c r="P117" s="46"/>
      <c r="R117" s="15">
        <v>7.0000000000000007E-2</v>
      </c>
      <c r="S117" s="18">
        <f>(Tabela2246[[#This Row],[FRETE]]+Tabela2246[[#This Row],[DESPESAS]]+Tabela2246[[#This Row],[IPI]]+Tabela2246[[#This Row],[Vl. Produto]])*Tabela2246[[#This Row],[Aliq.%]]</f>
        <v>0</v>
      </c>
    </row>
    <row r="118" spans="13:19" x14ac:dyDescent="0.25">
      <c r="M118" s="46"/>
      <c r="N118" s="46"/>
      <c r="O118" s="46"/>
      <c r="P118" s="46"/>
      <c r="R118" s="15">
        <v>7.0000000000000007E-2</v>
      </c>
      <c r="S118" s="18">
        <f>(Tabela2246[[#This Row],[FRETE]]+Tabela2246[[#This Row],[DESPESAS]]+Tabela2246[[#This Row],[IPI]]+Tabela2246[[#This Row],[Vl. Produto]])*Tabela2246[[#This Row],[Aliq.%]]</f>
        <v>0</v>
      </c>
    </row>
    <row r="119" spans="13:19" x14ac:dyDescent="0.25">
      <c r="M119" s="46"/>
      <c r="N119" s="46"/>
      <c r="O119" s="46"/>
      <c r="P119" s="46"/>
      <c r="R119" s="15">
        <v>7.0000000000000007E-2</v>
      </c>
      <c r="S119" s="18">
        <f>(Tabela2246[[#This Row],[FRETE]]+Tabela2246[[#This Row],[DESPESAS]]+Tabela2246[[#This Row],[IPI]]+Tabela2246[[#This Row],[Vl. Produto]])*Tabela2246[[#This Row],[Aliq.%]]</f>
        <v>0</v>
      </c>
    </row>
    <row r="120" spans="13:19" x14ac:dyDescent="0.25">
      <c r="M120" s="46"/>
      <c r="N120" s="46"/>
      <c r="O120" s="46"/>
      <c r="P120" s="46"/>
      <c r="R120" s="15">
        <v>7.0000000000000007E-2</v>
      </c>
      <c r="S120" s="18">
        <f>(Tabela2246[[#This Row],[FRETE]]+Tabela2246[[#This Row],[DESPESAS]]+Tabela2246[[#This Row],[IPI]]+Tabela2246[[#This Row],[Vl. Produto]])*Tabela2246[[#This Row],[Aliq.%]]</f>
        <v>0</v>
      </c>
    </row>
    <row r="121" spans="13:19" x14ac:dyDescent="0.25">
      <c r="M121" s="46"/>
      <c r="N121" s="46"/>
      <c r="O121" s="46"/>
      <c r="P121" s="46"/>
      <c r="R121" s="15">
        <v>7.0000000000000007E-2</v>
      </c>
      <c r="S121" s="18">
        <f>(Tabela2246[[#This Row],[FRETE]]+Tabela2246[[#This Row],[DESPESAS]]+Tabela2246[[#This Row],[IPI]]+Tabela2246[[#This Row],[Vl. Produto]])*Tabela2246[[#This Row],[Aliq.%]]</f>
        <v>0</v>
      </c>
    </row>
    <row r="122" spans="13:19" x14ac:dyDescent="0.25">
      <c r="M122" s="46"/>
      <c r="N122" s="46"/>
      <c r="O122" s="46"/>
      <c r="P122" s="46"/>
      <c r="R122" s="15">
        <v>7.0000000000000007E-2</v>
      </c>
      <c r="S122" s="18">
        <f>(Tabela2246[[#This Row],[FRETE]]+Tabela2246[[#This Row],[DESPESAS]]+Tabela2246[[#This Row],[IPI]]+Tabela2246[[#This Row],[Vl. Produto]])*Tabela2246[[#This Row],[Aliq.%]]</f>
        <v>0</v>
      </c>
    </row>
    <row r="123" spans="13:19" x14ac:dyDescent="0.25">
      <c r="M123" s="46"/>
      <c r="N123" s="46"/>
      <c r="O123" s="46"/>
      <c r="P123" s="46"/>
      <c r="R123" s="15">
        <v>7.0000000000000007E-2</v>
      </c>
      <c r="S123" s="18">
        <f>(Tabela2246[[#This Row],[FRETE]]+Tabela2246[[#This Row],[DESPESAS]]+Tabela2246[[#This Row],[IPI]]+Tabela2246[[#This Row],[Vl. Produto]])*Tabela2246[[#This Row],[Aliq.%]]</f>
        <v>0</v>
      </c>
    </row>
    <row r="124" spans="13:19" x14ac:dyDescent="0.25">
      <c r="M124" s="46"/>
      <c r="N124" s="46"/>
      <c r="O124" s="46"/>
      <c r="P124" s="46"/>
      <c r="R124" s="15">
        <v>7.0000000000000007E-2</v>
      </c>
      <c r="S124" s="18">
        <f>(Tabela2246[[#This Row],[FRETE]]+Tabela2246[[#This Row],[DESPESAS]]+Tabela2246[[#This Row],[IPI]]+Tabela2246[[#This Row],[Vl. Produto]])*Tabela2246[[#This Row],[Aliq.%]]</f>
        <v>0</v>
      </c>
    </row>
    <row r="125" spans="13:19" x14ac:dyDescent="0.25">
      <c r="M125" s="46"/>
      <c r="N125" s="46"/>
      <c r="O125" s="46"/>
      <c r="P125" s="46"/>
      <c r="R125" s="15">
        <v>7.0000000000000007E-2</v>
      </c>
      <c r="S125" s="18">
        <f>(Tabela2246[[#This Row],[FRETE]]+Tabela2246[[#This Row],[DESPESAS]]+Tabela2246[[#This Row],[IPI]]+Tabela2246[[#This Row],[Vl. Produto]])*Tabela2246[[#This Row],[Aliq.%]]</f>
        <v>0</v>
      </c>
    </row>
    <row r="126" spans="13:19" x14ac:dyDescent="0.25">
      <c r="M126" s="46"/>
      <c r="N126" s="46"/>
      <c r="O126" s="46"/>
      <c r="P126" s="46"/>
      <c r="R126" s="15">
        <v>7.0000000000000007E-2</v>
      </c>
      <c r="S126" s="18">
        <f>(Tabela2246[[#This Row],[FRETE]]+Tabela2246[[#This Row],[DESPESAS]]+Tabela2246[[#This Row],[IPI]]+Tabela2246[[#This Row],[Vl. Produto]])*Tabela2246[[#This Row],[Aliq.%]]</f>
        <v>0</v>
      </c>
    </row>
    <row r="127" spans="13:19" x14ac:dyDescent="0.25">
      <c r="M127" s="46"/>
      <c r="N127" s="46"/>
      <c r="O127" s="46"/>
      <c r="P127" s="46"/>
      <c r="R127" s="15">
        <v>7.0000000000000007E-2</v>
      </c>
      <c r="S127" s="18">
        <f>(Tabela2246[[#This Row],[FRETE]]+Tabela2246[[#This Row],[DESPESAS]]+Tabela2246[[#This Row],[IPI]]+Tabela2246[[#This Row],[Vl. Produto]])*Tabela2246[[#This Row],[Aliq.%]]</f>
        <v>0</v>
      </c>
    </row>
    <row r="128" spans="13:19" x14ac:dyDescent="0.25">
      <c r="M128" s="46"/>
      <c r="N128" s="46"/>
      <c r="O128" s="46"/>
      <c r="P128" s="46"/>
      <c r="R128" s="15">
        <v>7.0000000000000007E-2</v>
      </c>
      <c r="S128" s="18">
        <f>(Tabela2246[[#This Row],[FRETE]]+Tabela2246[[#This Row],[DESPESAS]]+Tabela2246[[#This Row],[IPI]]+Tabela2246[[#This Row],[Vl. Produto]])*Tabela2246[[#This Row],[Aliq.%]]</f>
        <v>0</v>
      </c>
    </row>
    <row r="129" spans="13:19" x14ac:dyDescent="0.25">
      <c r="M129" s="46"/>
      <c r="N129" s="46"/>
      <c r="O129" s="46"/>
      <c r="P129" s="46"/>
      <c r="R129" s="15">
        <v>7.0000000000000007E-2</v>
      </c>
      <c r="S129" s="18">
        <f>(Tabela2246[[#This Row],[FRETE]]+Tabela2246[[#This Row],[DESPESAS]]+Tabela2246[[#This Row],[IPI]]+Tabela2246[[#This Row],[Vl. Produto]])*Tabela2246[[#This Row],[Aliq.%]]</f>
        <v>0</v>
      </c>
    </row>
    <row r="130" spans="13:19" x14ac:dyDescent="0.25">
      <c r="M130" s="46"/>
      <c r="N130" s="46"/>
      <c r="O130" s="46"/>
      <c r="P130" s="46"/>
      <c r="R130" s="15">
        <v>7.0000000000000007E-2</v>
      </c>
      <c r="S130" s="18">
        <f>(Tabela2246[[#This Row],[FRETE]]+Tabela2246[[#This Row],[DESPESAS]]+Tabela2246[[#This Row],[IPI]]+Tabela2246[[#This Row],[Vl. Produto]])*Tabela2246[[#This Row],[Aliq.%]]</f>
        <v>0</v>
      </c>
    </row>
    <row r="131" spans="13:19" x14ac:dyDescent="0.25">
      <c r="M131" s="46"/>
      <c r="N131" s="46"/>
      <c r="O131" s="46"/>
      <c r="P131" s="46"/>
      <c r="R131" s="15">
        <v>7.0000000000000007E-2</v>
      </c>
      <c r="S131" s="18">
        <f>(Tabela2246[[#This Row],[FRETE]]+Tabela2246[[#This Row],[DESPESAS]]+Tabela2246[[#This Row],[IPI]]+Tabela2246[[#This Row],[Vl. Produto]])*Tabela2246[[#This Row],[Aliq.%]]</f>
        <v>0</v>
      </c>
    </row>
    <row r="132" spans="13:19" x14ac:dyDescent="0.25">
      <c r="M132" s="46"/>
      <c r="N132" s="46"/>
      <c r="O132" s="46"/>
      <c r="P132" s="46"/>
      <c r="R132" s="15">
        <v>7.0000000000000007E-2</v>
      </c>
      <c r="S132" s="18">
        <f>(Tabela2246[[#This Row],[FRETE]]+Tabela2246[[#This Row],[DESPESAS]]+Tabela2246[[#This Row],[IPI]]+Tabela2246[[#This Row],[Vl. Produto]])*Tabela2246[[#This Row],[Aliq.%]]</f>
        <v>0</v>
      </c>
    </row>
    <row r="133" spans="13:19" x14ac:dyDescent="0.25">
      <c r="M133" s="46"/>
      <c r="N133" s="46"/>
      <c r="O133" s="46"/>
      <c r="P133" s="46"/>
      <c r="R133" s="15">
        <v>7.0000000000000007E-2</v>
      </c>
      <c r="S133" s="18">
        <f>(Tabela2246[[#This Row],[FRETE]]+Tabela2246[[#This Row],[DESPESAS]]+Tabela2246[[#This Row],[IPI]]+Tabela2246[[#This Row],[Vl. Produto]])*Tabela2246[[#This Row],[Aliq.%]]</f>
        <v>0</v>
      </c>
    </row>
    <row r="134" spans="13:19" x14ac:dyDescent="0.25">
      <c r="M134" s="46"/>
      <c r="N134" s="46"/>
      <c r="O134" s="46"/>
      <c r="P134" s="46"/>
      <c r="R134" s="15">
        <v>7.0000000000000007E-2</v>
      </c>
      <c r="S134" s="18">
        <f>(Tabela2246[[#This Row],[FRETE]]+Tabela2246[[#This Row],[DESPESAS]]+Tabela2246[[#This Row],[IPI]]+Tabela2246[[#This Row],[Vl. Produto]])*Tabela2246[[#This Row],[Aliq.%]]</f>
        <v>0</v>
      </c>
    </row>
    <row r="135" spans="13:19" x14ac:dyDescent="0.25">
      <c r="M135" s="46"/>
      <c r="N135" s="46"/>
      <c r="O135" s="46"/>
      <c r="P135" s="46"/>
      <c r="R135" s="15">
        <v>7.0000000000000007E-2</v>
      </c>
      <c r="S135" s="18">
        <f>(Tabela2246[[#This Row],[FRETE]]+Tabela2246[[#This Row],[DESPESAS]]+Tabela2246[[#This Row],[IPI]]+Tabela2246[[#This Row],[Vl. Produto]])*Tabela2246[[#This Row],[Aliq.%]]</f>
        <v>0</v>
      </c>
    </row>
    <row r="136" spans="13:19" x14ac:dyDescent="0.25">
      <c r="M136" s="46"/>
      <c r="N136" s="46"/>
      <c r="O136" s="46"/>
      <c r="P136" s="46"/>
      <c r="R136" s="15">
        <v>7.0000000000000007E-2</v>
      </c>
      <c r="S136" s="18">
        <f>(Tabela2246[[#This Row],[FRETE]]+Tabela2246[[#This Row],[DESPESAS]]+Tabela2246[[#This Row],[IPI]]+Tabela2246[[#This Row],[Vl. Produto]])*Tabela2246[[#This Row],[Aliq.%]]</f>
        <v>0</v>
      </c>
    </row>
    <row r="137" spans="13:19" x14ac:dyDescent="0.25">
      <c r="M137" s="46"/>
      <c r="N137" s="46"/>
      <c r="O137" s="46"/>
      <c r="P137" s="46"/>
      <c r="R137" s="15">
        <v>7.0000000000000007E-2</v>
      </c>
      <c r="S137" s="18">
        <f>(Tabela2246[[#This Row],[FRETE]]+Tabela2246[[#This Row],[DESPESAS]]+Tabela2246[[#This Row],[IPI]]+Tabela2246[[#This Row],[Vl. Produto]])*Tabela2246[[#This Row],[Aliq.%]]</f>
        <v>0</v>
      </c>
    </row>
    <row r="138" spans="13:19" x14ac:dyDescent="0.25">
      <c r="M138" s="46"/>
      <c r="N138" s="46"/>
      <c r="O138" s="46"/>
      <c r="P138" s="46"/>
      <c r="R138" s="15">
        <v>7.0000000000000007E-2</v>
      </c>
      <c r="S138" s="18">
        <f>(Tabela2246[[#This Row],[FRETE]]+Tabela2246[[#This Row],[DESPESAS]]+Tabela2246[[#This Row],[IPI]]+Tabela2246[[#This Row],[Vl. Produto]])*Tabela2246[[#This Row],[Aliq.%]]</f>
        <v>0</v>
      </c>
    </row>
    <row r="139" spans="13:19" x14ac:dyDescent="0.25">
      <c r="M139" s="46"/>
      <c r="N139" s="46"/>
      <c r="O139" s="46"/>
      <c r="P139" s="46"/>
      <c r="R139" s="15">
        <v>7.0000000000000007E-2</v>
      </c>
      <c r="S139" s="18">
        <f>(Tabela2246[[#This Row],[FRETE]]+Tabela2246[[#This Row],[DESPESAS]]+Tabela2246[[#This Row],[IPI]]+Tabela2246[[#This Row],[Vl. Produto]])*Tabela2246[[#This Row],[Aliq.%]]</f>
        <v>0</v>
      </c>
    </row>
    <row r="140" spans="13:19" x14ac:dyDescent="0.25">
      <c r="M140" s="46"/>
      <c r="N140" s="46"/>
      <c r="O140" s="46"/>
      <c r="P140" s="46"/>
      <c r="R140" s="15">
        <v>7.0000000000000007E-2</v>
      </c>
      <c r="S140" s="18">
        <f>(Tabela2246[[#This Row],[FRETE]]+Tabela2246[[#This Row],[DESPESAS]]+Tabela2246[[#This Row],[IPI]]+Tabela2246[[#This Row],[Vl. Produto]])*Tabela2246[[#This Row],[Aliq.%]]</f>
        <v>0</v>
      </c>
    </row>
    <row r="141" spans="13:19" x14ac:dyDescent="0.25">
      <c r="M141" s="46"/>
      <c r="N141" s="46"/>
      <c r="O141" s="46"/>
      <c r="P141" s="46"/>
      <c r="R141" s="15">
        <v>7.0000000000000007E-2</v>
      </c>
      <c r="S141" s="18">
        <f>(Tabela2246[[#This Row],[FRETE]]+Tabela2246[[#This Row],[DESPESAS]]+Tabela2246[[#This Row],[IPI]]+Tabela2246[[#This Row],[Vl. Produto]])*Tabela2246[[#This Row],[Aliq.%]]</f>
        <v>0</v>
      </c>
    </row>
    <row r="142" spans="13:19" x14ac:dyDescent="0.25">
      <c r="M142" s="46"/>
      <c r="N142" s="46"/>
      <c r="O142" s="46"/>
      <c r="P142" s="46"/>
      <c r="R142" s="15">
        <v>7.0000000000000007E-2</v>
      </c>
      <c r="S142" s="18">
        <f>(Tabela2246[[#This Row],[FRETE]]+Tabela2246[[#This Row],[DESPESAS]]+Tabela2246[[#This Row],[IPI]]+Tabela2246[[#This Row],[Vl. Produto]])*Tabela2246[[#This Row],[Aliq.%]]</f>
        <v>0</v>
      </c>
    </row>
    <row r="143" spans="13:19" x14ac:dyDescent="0.25">
      <c r="M143" s="46"/>
      <c r="N143" s="46"/>
      <c r="O143" s="46"/>
      <c r="P143" s="46"/>
      <c r="R143" s="15">
        <v>7.0000000000000007E-2</v>
      </c>
      <c r="S143" s="18">
        <f>(Tabela2246[[#This Row],[FRETE]]+Tabela2246[[#This Row],[DESPESAS]]+Tabela2246[[#This Row],[IPI]]+Tabela2246[[#This Row],[Vl. Produto]])*Tabela2246[[#This Row],[Aliq.%]]</f>
        <v>0</v>
      </c>
    </row>
    <row r="144" spans="13:19" x14ac:dyDescent="0.25">
      <c r="M144" s="46"/>
      <c r="N144" s="46"/>
      <c r="O144" s="46"/>
      <c r="P144" s="46"/>
      <c r="R144" s="15">
        <v>7.0000000000000007E-2</v>
      </c>
      <c r="S144" s="18">
        <f>(Tabela2246[[#This Row],[FRETE]]+Tabela2246[[#This Row],[DESPESAS]]+Tabela2246[[#This Row],[IPI]]+Tabela2246[[#This Row],[Vl. Produto]])*Tabela2246[[#This Row],[Aliq.%]]</f>
        <v>0</v>
      </c>
    </row>
    <row r="145" spans="13:19" x14ac:dyDescent="0.25">
      <c r="M145" s="46"/>
      <c r="N145" s="46"/>
      <c r="O145" s="46"/>
      <c r="P145" s="46"/>
      <c r="R145" s="15">
        <v>7.0000000000000007E-2</v>
      </c>
      <c r="S145" s="18">
        <f>(Tabela2246[[#This Row],[FRETE]]+Tabela2246[[#This Row],[DESPESAS]]+Tabela2246[[#This Row],[IPI]]+Tabela2246[[#This Row],[Vl. Produto]])*Tabela2246[[#This Row],[Aliq.%]]</f>
        <v>0</v>
      </c>
    </row>
    <row r="146" spans="13:19" x14ac:dyDescent="0.25">
      <c r="M146" s="46"/>
      <c r="N146" s="46"/>
      <c r="O146" s="46"/>
      <c r="P146" s="46"/>
      <c r="R146" s="15">
        <v>7.0000000000000007E-2</v>
      </c>
      <c r="S146" s="18">
        <f>(Tabela2246[[#This Row],[FRETE]]+Tabela2246[[#This Row],[DESPESAS]]+Tabela2246[[#This Row],[IPI]]+Tabela2246[[#This Row],[Vl. Produto]])*Tabela2246[[#This Row],[Aliq.%]]</f>
        <v>0</v>
      </c>
    </row>
    <row r="147" spans="13:19" x14ac:dyDescent="0.25">
      <c r="M147" s="46"/>
      <c r="N147" s="46"/>
      <c r="O147" s="46"/>
      <c r="P147" s="46"/>
      <c r="R147" s="15">
        <v>7.0000000000000007E-2</v>
      </c>
      <c r="S147" s="18">
        <f>(Tabela2246[[#This Row],[FRETE]]+Tabela2246[[#This Row],[DESPESAS]]+Tabela2246[[#This Row],[IPI]]+Tabela2246[[#This Row],[Vl. Produto]])*Tabela2246[[#This Row],[Aliq.%]]</f>
        <v>0</v>
      </c>
    </row>
    <row r="148" spans="13:19" x14ac:dyDescent="0.25">
      <c r="M148" s="46"/>
      <c r="N148" s="46"/>
      <c r="O148" s="46"/>
      <c r="P148" s="46"/>
      <c r="R148" s="15">
        <v>7.0000000000000007E-2</v>
      </c>
      <c r="S148" s="18">
        <f>(Tabela2246[[#This Row],[FRETE]]+Tabela2246[[#This Row],[DESPESAS]]+Tabela2246[[#This Row],[IPI]]+Tabela2246[[#This Row],[Vl. Produto]])*Tabela2246[[#This Row],[Aliq.%]]</f>
        <v>0</v>
      </c>
    </row>
    <row r="149" spans="13:19" x14ac:dyDescent="0.25">
      <c r="M149" s="46"/>
      <c r="N149" s="46"/>
      <c r="O149" s="46"/>
      <c r="P149" s="46"/>
      <c r="R149" s="15">
        <v>7.0000000000000007E-2</v>
      </c>
      <c r="S149" s="18">
        <f>(Tabela2246[[#This Row],[FRETE]]+Tabela2246[[#This Row],[DESPESAS]]+Tabela2246[[#This Row],[IPI]]+Tabela2246[[#This Row],[Vl. Produto]])*Tabela2246[[#This Row],[Aliq.%]]</f>
        <v>0</v>
      </c>
    </row>
    <row r="150" spans="13:19" x14ac:dyDescent="0.25">
      <c r="M150" s="46"/>
      <c r="N150" s="46"/>
      <c r="O150" s="46"/>
      <c r="P150" s="46"/>
      <c r="R150" s="15">
        <v>7.0000000000000007E-2</v>
      </c>
      <c r="S150" s="18">
        <f>(Tabela2246[[#This Row],[FRETE]]+Tabela2246[[#This Row],[DESPESAS]]+Tabela2246[[#This Row],[IPI]]+Tabela2246[[#This Row],[Vl. Produto]])*Tabela2246[[#This Row],[Aliq.%]]</f>
        <v>0</v>
      </c>
    </row>
    <row r="151" spans="13:19" x14ac:dyDescent="0.25">
      <c r="M151" s="46"/>
      <c r="N151" s="46"/>
      <c r="O151" s="46"/>
      <c r="P151" s="46"/>
      <c r="R151" s="15">
        <v>7.0000000000000007E-2</v>
      </c>
      <c r="S151" s="18">
        <f>(Tabela2246[[#This Row],[FRETE]]+Tabela2246[[#This Row],[DESPESAS]]+Tabela2246[[#This Row],[IPI]]+Tabela2246[[#This Row],[Vl. Produto]])*Tabela2246[[#This Row],[Aliq.%]]</f>
        <v>0</v>
      </c>
    </row>
    <row r="152" spans="13:19" x14ac:dyDescent="0.25">
      <c r="M152" s="46"/>
      <c r="N152" s="46"/>
      <c r="O152" s="46"/>
      <c r="P152" s="46"/>
      <c r="R152" s="15">
        <v>7.0000000000000007E-2</v>
      </c>
      <c r="S152" s="18">
        <f>(Tabela2246[[#This Row],[FRETE]]+Tabela2246[[#This Row],[DESPESAS]]+Tabela2246[[#This Row],[IPI]]+Tabela2246[[#This Row],[Vl. Produto]])*Tabela2246[[#This Row],[Aliq.%]]</f>
        <v>0</v>
      </c>
    </row>
    <row r="153" spans="13:19" x14ac:dyDescent="0.25">
      <c r="M153" s="46"/>
      <c r="N153" s="46"/>
      <c r="O153" s="46"/>
      <c r="P153" s="46"/>
      <c r="R153" s="15">
        <v>7.0000000000000007E-2</v>
      </c>
      <c r="S153" s="18">
        <f>(Tabela2246[[#This Row],[FRETE]]+Tabela2246[[#This Row],[DESPESAS]]+Tabela2246[[#This Row],[IPI]]+Tabela2246[[#This Row],[Vl. Produto]])*Tabela2246[[#This Row],[Aliq.%]]</f>
        <v>0</v>
      </c>
    </row>
    <row r="154" spans="13:19" x14ac:dyDescent="0.25">
      <c r="M154" s="46"/>
      <c r="N154" s="46"/>
      <c r="O154" s="46"/>
      <c r="P154" s="46"/>
      <c r="R154" s="15">
        <v>7.0000000000000007E-2</v>
      </c>
      <c r="S154" s="18">
        <f>(Tabela2246[[#This Row],[FRETE]]+Tabela2246[[#This Row],[DESPESAS]]+Tabela2246[[#This Row],[IPI]]+Tabela2246[[#This Row],[Vl. Produto]])*Tabela2246[[#This Row],[Aliq.%]]</f>
        <v>0</v>
      </c>
    </row>
    <row r="155" spans="13:19" x14ac:dyDescent="0.25">
      <c r="M155" s="46"/>
      <c r="N155" s="46"/>
      <c r="O155" s="46"/>
      <c r="P155" s="46"/>
      <c r="R155" s="15">
        <v>7.0000000000000007E-2</v>
      </c>
      <c r="S155" s="18">
        <f>(Tabela2246[[#This Row],[FRETE]]+Tabela2246[[#This Row],[DESPESAS]]+Tabela2246[[#This Row],[IPI]]+Tabela2246[[#This Row],[Vl. Produto]])*Tabela2246[[#This Row],[Aliq.%]]</f>
        <v>0</v>
      </c>
    </row>
    <row r="156" spans="13:19" x14ac:dyDescent="0.25">
      <c r="M156" s="46"/>
      <c r="N156" s="46"/>
      <c r="O156" s="46"/>
      <c r="P156" s="46"/>
      <c r="R156" s="15">
        <v>7.0000000000000007E-2</v>
      </c>
      <c r="S156" s="18">
        <f>(Tabela2246[[#This Row],[FRETE]]+Tabela2246[[#This Row],[DESPESAS]]+Tabela2246[[#This Row],[IPI]]+Tabela2246[[#This Row],[Vl. Produto]])*Tabela2246[[#This Row],[Aliq.%]]</f>
        <v>0</v>
      </c>
    </row>
    <row r="157" spans="13:19" x14ac:dyDescent="0.25">
      <c r="M157" s="46"/>
      <c r="N157" s="46"/>
      <c r="O157" s="46"/>
      <c r="P157" s="46"/>
      <c r="R157" s="15">
        <v>7.0000000000000007E-2</v>
      </c>
      <c r="S157" s="18">
        <f>(Tabela2246[[#This Row],[FRETE]]+Tabela2246[[#This Row],[DESPESAS]]+Tabela2246[[#This Row],[IPI]]+Tabela2246[[#This Row],[Vl. Produto]])*Tabela2246[[#This Row],[Aliq.%]]</f>
        <v>0</v>
      </c>
    </row>
    <row r="158" spans="13:19" x14ac:dyDescent="0.25">
      <c r="M158" s="46"/>
      <c r="N158" s="46"/>
      <c r="O158" s="46"/>
      <c r="P158" s="46"/>
      <c r="R158" s="15">
        <v>7.0000000000000007E-2</v>
      </c>
      <c r="S158" s="18">
        <f>(Tabela2246[[#This Row],[FRETE]]+Tabela2246[[#This Row],[DESPESAS]]+Tabela2246[[#This Row],[IPI]]+Tabela2246[[#This Row],[Vl. Produto]])*Tabela2246[[#This Row],[Aliq.%]]</f>
        <v>0</v>
      </c>
    </row>
    <row r="159" spans="13:19" x14ac:dyDescent="0.25">
      <c r="M159" s="46"/>
      <c r="N159" s="46"/>
      <c r="O159" s="46"/>
      <c r="P159" s="46"/>
      <c r="R159" s="15">
        <v>7.0000000000000007E-2</v>
      </c>
      <c r="S159" s="18">
        <f>(Tabela2246[[#This Row],[FRETE]]+Tabela2246[[#This Row],[DESPESAS]]+Tabela2246[[#This Row],[IPI]]+Tabela2246[[#This Row],[Vl. Produto]])*Tabela2246[[#This Row],[Aliq.%]]</f>
        <v>0</v>
      </c>
    </row>
    <row r="160" spans="13:19" x14ac:dyDescent="0.25">
      <c r="M160" s="46"/>
      <c r="N160" s="46"/>
      <c r="O160" s="46"/>
      <c r="P160" s="46"/>
      <c r="R160" s="15">
        <v>7.0000000000000007E-2</v>
      </c>
      <c r="S160" s="18">
        <f>(Tabela2246[[#This Row],[FRETE]]+Tabela2246[[#This Row],[DESPESAS]]+Tabela2246[[#This Row],[IPI]]+Tabela2246[[#This Row],[Vl. Produto]])*Tabela2246[[#This Row],[Aliq.%]]</f>
        <v>0</v>
      </c>
    </row>
    <row r="161" spans="13:19" x14ac:dyDescent="0.25">
      <c r="M161" s="46"/>
      <c r="N161" s="46"/>
      <c r="O161" s="46"/>
      <c r="P161" s="46"/>
      <c r="R161" s="15">
        <v>7.0000000000000007E-2</v>
      </c>
      <c r="S161" s="18">
        <f>(Tabela2246[[#This Row],[FRETE]]+Tabela2246[[#This Row],[DESPESAS]]+Tabela2246[[#This Row],[IPI]]+Tabela2246[[#This Row],[Vl. Produto]])*Tabela2246[[#This Row],[Aliq.%]]</f>
        <v>0</v>
      </c>
    </row>
    <row r="162" spans="13:19" x14ac:dyDescent="0.25">
      <c r="M162" s="46"/>
      <c r="N162" s="46"/>
      <c r="O162" s="46"/>
      <c r="P162" s="46"/>
      <c r="R162" s="15">
        <v>7.0000000000000007E-2</v>
      </c>
      <c r="S162" s="18">
        <f>(Tabela2246[[#This Row],[FRETE]]+Tabela2246[[#This Row],[DESPESAS]]+Tabela2246[[#This Row],[IPI]]+Tabela2246[[#This Row],[Vl. Produto]])*Tabela2246[[#This Row],[Aliq.%]]</f>
        <v>0</v>
      </c>
    </row>
    <row r="163" spans="13:19" x14ac:dyDescent="0.25">
      <c r="M163" s="46"/>
      <c r="N163" s="46"/>
      <c r="O163" s="46"/>
      <c r="P163" s="46"/>
      <c r="R163" s="15">
        <v>7.0000000000000007E-2</v>
      </c>
      <c r="S163" s="18">
        <f>(Tabela2246[[#This Row],[FRETE]]+Tabela2246[[#This Row],[DESPESAS]]+Tabela2246[[#This Row],[IPI]]+Tabela2246[[#This Row],[Vl. Produto]])*Tabela2246[[#This Row],[Aliq.%]]</f>
        <v>0</v>
      </c>
    </row>
    <row r="164" spans="13:19" x14ac:dyDescent="0.25">
      <c r="M164" s="46"/>
      <c r="N164" s="46"/>
      <c r="O164" s="46"/>
      <c r="P164" s="46"/>
      <c r="R164" s="15">
        <v>7.0000000000000007E-2</v>
      </c>
      <c r="S164" s="18">
        <f>(Tabela2246[[#This Row],[FRETE]]+Tabela2246[[#This Row],[DESPESAS]]+Tabela2246[[#This Row],[IPI]]+Tabela2246[[#This Row],[Vl. Produto]])*Tabela2246[[#This Row],[Aliq.%]]</f>
        <v>0</v>
      </c>
    </row>
    <row r="165" spans="13:19" x14ac:dyDescent="0.25">
      <c r="M165" s="46"/>
      <c r="N165" s="46"/>
      <c r="O165" s="46"/>
      <c r="P165" s="46"/>
      <c r="R165" s="15">
        <v>7.0000000000000007E-2</v>
      </c>
      <c r="S165" s="18">
        <f>(Tabela2246[[#This Row],[FRETE]]+Tabela2246[[#This Row],[DESPESAS]]+Tabela2246[[#This Row],[IPI]]+Tabela2246[[#This Row],[Vl. Produto]])*Tabela2246[[#This Row],[Aliq.%]]</f>
        <v>0</v>
      </c>
    </row>
    <row r="166" spans="13:19" x14ac:dyDescent="0.25">
      <c r="M166" s="46"/>
      <c r="N166" s="46"/>
      <c r="O166" s="46"/>
      <c r="P166" s="46"/>
      <c r="R166" s="15">
        <v>7.0000000000000007E-2</v>
      </c>
      <c r="S166" s="18">
        <f>(Tabela2246[[#This Row],[FRETE]]+Tabela2246[[#This Row],[DESPESAS]]+Tabela2246[[#This Row],[IPI]]+Tabela2246[[#This Row],[Vl. Produto]])*Tabela2246[[#This Row],[Aliq.%]]</f>
        <v>0</v>
      </c>
    </row>
    <row r="167" spans="13:19" x14ac:dyDescent="0.25">
      <c r="M167" s="46"/>
      <c r="N167" s="46"/>
      <c r="O167" s="46"/>
      <c r="P167" s="46"/>
      <c r="R167" s="15">
        <v>7.0000000000000007E-2</v>
      </c>
      <c r="S167" s="18">
        <f>(Tabela2246[[#This Row],[FRETE]]+Tabela2246[[#This Row],[DESPESAS]]+Tabela2246[[#This Row],[IPI]]+Tabela2246[[#This Row],[Vl. Produto]])*Tabela2246[[#This Row],[Aliq.%]]</f>
        <v>0</v>
      </c>
    </row>
    <row r="168" spans="13:19" x14ac:dyDescent="0.25">
      <c r="M168" s="46"/>
      <c r="N168" s="46"/>
      <c r="O168" s="46"/>
      <c r="P168" s="46"/>
      <c r="R168" s="15">
        <v>7.0000000000000007E-2</v>
      </c>
      <c r="S168" s="18">
        <f>(Tabela2246[[#This Row],[FRETE]]+Tabela2246[[#This Row],[DESPESAS]]+Tabela2246[[#This Row],[IPI]]+Tabela2246[[#This Row],[Vl. Produto]])*Tabela2246[[#This Row],[Aliq.%]]</f>
        <v>0</v>
      </c>
    </row>
    <row r="169" spans="13:19" x14ac:dyDescent="0.25">
      <c r="M169" s="46"/>
      <c r="N169" s="46"/>
      <c r="O169" s="46"/>
      <c r="P169" s="46"/>
      <c r="R169" s="15">
        <v>7.0000000000000007E-2</v>
      </c>
      <c r="S169" s="18">
        <f>(Tabela2246[[#This Row],[FRETE]]+Tabela2246[[#This Row],[DESPESAS]]+Tabela2246[[#This Row],[IPI]]+Tabela2246[[#This Row],[Vl. Produto]])*Tabela2246[[#This Row],[Aliq.%]]</f>
        <v>0</v>
      </c>
    </row>
    <row r="170" spans="13:19" x14ac:dyDescent="0.25">
      <c r="M170" s="46"/>
      <c r="N170" s="46"/>
      <c r="O170" s="46"/>
      <c r="P170" s="46"/>
      <c r="R170" s="15">
        <v>7.0000000000000007E-2</v>
      </c>
      <c r="S170" s="18">
        <f>(Tabela2246[[#This Row],[FRETE]]+Tabela2246[[#This Row],[DESPESAS]]+Tabela2246[[#This Row],[IPI]]+Tabela2246[[#This Row],[Vl. Produto]])*Tabela2246[[#This Row],[Aliq.%]]</f>
        <v>0</v>
      </c>
    </row>
    <row r="171" spans="13:19" x14ac:dyDescent="0.25">
      <c r="M171" s="46"/>
      <c r="N171" s="46"/>
      <c r="O171" s="46"/>
      <c r="P171" s="46"/>
      <c r="R171" s="15">
        <v>7.0000000000000007E-2</v>
      </c>
      <c r="S171" s="18">
        <f>(Tabela2246[[#This Row],[FRETE]]+Tabela2246[[#This Row],[DESPESAS]]+Tabela2246[[#This Row],[IPI]]+Tabela2246[[#This Row],[Vl. Produto]])*Tabela2246[[#This Row],[Aliq.%]]</f>
        <v>0</v>
      </c>
    </row>
    <row r="172" spans="13:19" x14ac:dyDescent="0.25">
      <c r="M172" s="46"/>
      <c r="N172" s="46"/>
      <c r="O172" s="46"/>
      <c r="P172" s="46"/>
      <c r="R172" s="15">
        <v>7.0000000000000007E-2</v>
      </c>
      <c r="S172" s="18">
        <f>(Tabela2246[[#This Row],[FRETE]]+Tabela2246[[#This Row],[DESPESAS]]+Tabela2246[[#This Row],[IPI]]+Tabela2246[[#This Row],[Vl. Produto]])*Tabela2246[[#This Row],[Aliq.%]]</f>
        <v>0</v>
      </c>
    </row>
    <row r="173" spans="13:19" x14ac:dyDescent="0.25">
      <c r="M173" s="46"/>
      <c r="N173" s="46"/>
      <c r="O173" s="46"/>
      <c r="P173" s="46"/>
      <c r="R173" s="15">
        <v>7.0000000000000007E-2</v>
      </c>
      <c r="S173" s="18">
        <f>(Tabela2246[[#This Row],[FRETE]]+Tabela2246[[#This Row],[DESPESAS]]+Tabela2246[[#This Row],[IPI]]+Tabela2246[[#This Row],[Vl. Produto]])*Tabela2246[[#This Row],[Aliq.%]]</f>
        <v>0</v>
      </c>
    </row>
    <row r="174" spans="13:19" x14ac:dyDescent="0.25">
      <c r="M174" s="46"/>
      <c r="N174" s="46"/>
      <c r="O174" s="46"/>
      <c r="P174" s="46"/>
      <c r="R174" s="15">
        <v>7.0000000000000007E-2</v>
      </c>
      <c r="S174" s="18">
        <f>(Tabela2246[[#This Row],[FRETE]]+Tabela2246[[#This Row],[DESPESAS]]+Tabela2246[[#This Row],[IPI]]+Tabela2246[[#This Row],[Vl. Produto]])*Tabela2246[[#This Row],[Aliq.%]]</f>
        <v>0</v>
      </c>
    </row>
    <row r="175" spans="13:19" x14ac:dyDescent="0.25">
      <c r="M175" s="46"/>
      <c r="N175" s="46"/>
      <c r="O175" s="46"/>
      <c r="P175" s="46"/>
      <c r="R175" s="15">
        <v>7.0000000000000007E-2</v>
      </c>
      <c r="S175" s="18">
        <f>(Tabela2246[[#This Row],[FRETE]]+Tabela2246[[#This Row],[DESPESAS]]+Tabela2246[[#This Row],[IPI]]+Tabela2246[[#This Row],[Vl. Produto]])*Tabela2246[[#This Row],[Aliq.%]]</f>
        <v>0</v>
      </c>
    </row>
    <row r="176" spans="13:19" x14ac:dyDescent="0.25">
      <c r="M176" s="46"/>
      <c r="N176" s="46"/>
      <c r="O176" s="46"/>
      <c r="P176" s="46"/>
      <c r="R176" s="15">
        <v>7.0000000000000007E-2</v>
      </c>
      <c r="S176" s="18">
        <f>(Tabela2246[[#This Row],[FRETE]]+Tabela2246[[#This Row],[DESPESAS]]+Tabela2246[[#This Row],[IPI]]+Tabela2246[[#This Row],[Vl. Produto]])*Tabela2246[[#This Row],[Aliq.%]]</f>
        <v>0</v>
      </c>
    </row>
    <row r="177" spans="13:19" x14ac:dyDescent="0.25">
      <c r="M177" s="46"/>
      <c r="N177" s="46"/>
      <c r="O177" s="46"/>
      <c r="P177" s="46"/>
      <c r="R177" s="15">
        <v>7.0000000000000007E-2</v>
      </c>
      <c r="S177" s="18">
        <f>(Tabela2246[[#This Row],[FRETE]]+Tabela2246[[#This Row],[DESPESAS]]+Tabela2246[[#This Row],[IPI]]+Tabela2246[[#This Row],[Vl. Produto]])*Tabela2246[[#This Row],[Aliq.%]]</f>
        <v>0</v>
      </c>
    </row>
    <row r="178" spans="13:19" x14ac:dyDescent="0.25">
      <c r="M178" s="46"/>
      <c r="N178" s="46"/>
      <c r="O178" s="46"/>
      <c r="P178" s="46"/>
      <c r="R178" s="15">
        <v>7.0000000000000007E-2</v>
      </c>
      <c r="S178" s="18">
        <f>(Tabela2246[[#This Row],[FRETE]]+Tabela2246[[#This Row],[DESPESAS]]+Tabela2246[[#This Row],[IPI]]+Tabela2246[[#This Row],[Vl. Produto]])*Tabela2246[[#This Row],[Aliq.%]]</f>
        <v>0</v>
      </c>
    </row>
    <row r="179" spans="13:19" x14ac:dyDescent="0.25">
      <c r="M179" s="46"/>
      <c r="N179" s="46"/>
      <c r="O179" s="46"/>
      <c r="P179" s="46"/>
      <c r="R179" s="15">
        <v>7.0000000000000007E-2</v>
      </c>
      <c r="S179" s="18">
        <f>(Tabela2246[[#This Row],[FRETE]]+Tabela2246[[#This Row],[DESPESAS]]+Tabela2246[[#This Row],[IPI]]+Tabela2246[[#This Row],[Vl. Produto]])*Tabela2246[[#This Row],[Aliq.%]]</f>
        <v>0</v>
      </c>
    </row>
    <row r="180" spans="13:19" x14ac:dyDescent="0.25">
      <c r="M180" s="46"/>
      <c r="N180" s="46"/>
      <c r="O180" s="46"/>
      <c r="P180" s="46"/>
      <c r="R180" s="15">
        <v>7.0000000000000007E-2</v>
      </c>
      <c r="S180" s="18">
        <f>(Tabela2246[[#This Row],[FRETE]]+Tabela2246[[#This Row],[DESPESAS]]+Tabela2246[[#This Row],[IPI]]+Tabela2246[[#This Row],[Vl. Produto]])*Tabela2246[[#This Row],[Aliq.%]]</f>
        <v>0</v>
      </c>
    </row>
    <row r="181" spans="13:19" x14ac:dyDescent="0.25">
      <c r="M181" s="46"/>
      <c r="N181" s="46"/>
      <c r="O181" s="46"/>
      <c r="P181" s="46"/>
      <c r="R181" s="15">
        <v>7.0000000000000007E-2</v>
      </c>
      <c r="S181" s="18">
        <f>(Tabela2246[[#This Row],[FRETE]]+Tabela2246[[#This Row],[DESPESAS]]+Tabela2246[[#This Row],[IPI]]+Tabela2246[[#This Row],[Vl. Produto]])*Tabela2246[[#This Row],[Aliq.%]]</f>
        <v>0</v>
      </c>
    </row>
    <row r="182" spans="13:19" x14ac:dyDescent="0.25">
      <c r="M182" s="46"/>
      <c r="N182" s="46"/>
      <c r="O182" s="46"/>
      <c r="P182" s="46"/>
      <c r="R182" s="15">
        <v>7.0000000000000007E-2</v>
      </c>
      <c r="S182" s="18">
        <f>(Tabela2246[[#This Row],[FRETE]]+Tabela2246[[#This Row],[DESPESAS]]+Tabela2246[[#This Row],[IPI]]+Tabela2246[[#This Row],[Vl. Produto]])*Tabela2246[[#This Row],[Aliq.%]]</f>
        <v>0</v>
      </c>
    </row>
    <row r="183" spans="13:19" x14ac:dyDescent="0.25">
      <c r="M183" s="46"/>
      <c r="N183" s="46"/>
      <c r="O183" s="46"/>
      <c r="P183" s="46"/>
      <c r="R183" s="15">
        <v>7.0000000000000007E-2</v>
      </c>
      <c r="S183" s="18">
        <f>(Tabela2246[[#This Row],[FRETE]]+Tabela2246[[#This Row],[DESPESAS]]+Tabela2246[[#This Row],[IPI]]+Tabela2246[[#This Row],[Vl. Produto]])*Tabela2246[[#This Row],[Aliq.%]]</f>
        <v>0</v>
      </c>
    </row>
    <row r="184" spans="13:19" x14ac:dyDescent="0.25">
      <c r="M184" s="46"/>
      <c r="N184" s="46"/>
      <c r="O184" s="46"/>
      <c r="P184" s="46"/>
      <c r="R184" s="15">
        <v>7.0000000000000007E-2</v>
      </c>
      <c r="S184" s="18">
        <f>(Tabela2246[[#This Row],[FRETE]]+Tabela2246[[#This Row],[DESPESAS]]+Tabela2246[[#This Row],[IPI]]+Tabela2246[[#This Row],[Vl. Produto]])*Tabela2246[[#This Row],[Aliq.%]]</f>
        <v>0</v>
      </c>
    </row>
    <row r="185" spans="13:19" x14ac:dyDescent="0.25">
      <c r="M185" s="46"/>
      <c r="N185" s="46"/>
      <c r="O185" s="46"/>
      <c r="P185" s="46"/>
      <c r="R185" s="15">
        <v>7.0000000000000007E-2</v>
      </c>
      <c r="S185" s="18">
        <f>(Tabela2246[[#This Row],[FRETE]]+Tabela2246[[#This Row],[DESPESAS]]+Tabela2246[[#This Row],[IPI]]+Tabela2246[[#This Row],[Vl. Produto]])*Tabela2246[[#This Row],[Aliq.%]]</f>
        <v>0</v>
      </c>
    </row>
    <row r="186" spans="13:19" x14ac:dyDescent="0.25">
      <c r="M186" s="46"/>
      <c r="N186" s="46"/>
      <c r="O186" s="46"/>
      <c r="P186" s="46"/>
      <c r="R186" s="15">
        <v>7.0000000000000007E-2</v>
      </c>
      <c r="S186" s="18">
        <f>(Tabela2246[[#This Row],[FRETE]]+Tabela2246[[#This Row],[DESPESAS]]+Tabela2246[[#This Row],[IPI]]+Tabela2246[[#This Row],[Vl. Produto]])*Tabela2246[[#This Row],[Aliq.%]]</f>
        <v>0</v>
      </c>
    </row>
    <row r="187" spans="13:19" x14ac:dyDescent="0.25">
      <c r="M187" s="46"/>
      <c r="N187" s="46"/>
      <c r="O187" s="46"/>
      <c r="P187" s="46"/>
      <c r="R187" s="15">
        <v>7.0000000000000007E-2</v>
      </c>
      <c r="S187" s="18">
        <f>(Tabela2246[[#This Row],[FRETE]]+Tabela2246[[#This Row],[DESPESAS]]+Tabela2246[[#This Row],[IPI]]+Tabela2246[[#This Row],[Vl. Produto]])*Tabela2246[[#This Row],[Aliq.%]]</f>
        <v>0</v>
      </c>
    </row>
    <row r="188" spans="13:19" x14ac:dyDescent="0.25">
      <c r="M188" s="46"/>
      <c r="N188" s="46"/>
      <c r="O188" s="46"/>
      <c r="P188" s="46"/>
      <c r="R188" s="15">
        <v>7.0000000000000007E-2</v>
      </c>
      <c r="S188" s="18">
        <f>(Tabela2246[[#This Row],[FRETE]]+Tabela2246[[#This Row],[DESPESAS]]+Tabela2246[[#This Row],[IPI]]+Tabela2246[[#This Row],[Vl. Produto]])*Tabela2246[[#This Row],[Aliq.%]]</f>
        <v>0</v>
      </c>
    </row>
    <row r="189" spans="13:19" x14ac:dyDescent="0.25">
      <c r="M189" s="46"/>
      <c r="N189" s="46"/>
      <c r="O189" s="46"/>
      <c r="P189" s="46"/>
      <c r="R189" s="15">
        <v>7.0000000000000007E-2</v>
      </c>
      <c r="S189" s="18">
        <f>(Tabela2246[[#This Row],[FRETE]]+Tabela2246[[#This Row],[DESPESAS]]+Tabela2246[[#This Row],[IPI]]+Tabela2246[[#This Row],[Vl. Produto]])*Tabela2246[[#This Row],[Aliq.%]]</f>
        <v>0</v>
      </c>
    </row>
    <row r="190" spans="13:19" x14ac:dyDescent="0.25">
      <c r="M190" s="46"/>
      <c r="N190" s="46"/>
      <c r="O190" s="46"/>
      <c r="P190" s="46"/>
      <c r="R190" s="15">
        <v>7.0000000000000007E-2</v>
      </c>
      <c r="S190" s="18">
        <f>(Tabela2246[[#This Row],[FRETE]]+Tabela2246[[#This Row],[DESPESAS]]+Tabela2246[[#This Row],[IPI]]+Tabela2246[[#This Row],[Vl. Produto]])*Tabela2246[[#This Row],[Aliq.%]]</f>
        <v>0</v>
      </c>
    </row>
    <row r="191" spans="13:19" x14ac:dyDescent="0.25">
      <c r="M191" s="46"/>
      <c r="N191" s="46"/>
      <c r="O191" s="46"/>
      <c r="P191" s="46"/>
      <c r="R191" s="15">
        <v>7.0000000000000007E-2</v>
      </c>
      <c r="S191" s="18">
        <f>(Tabela2246[[#This Row],[FRETE]]+Tabela2246[[#This Row],[DESPESAS]]+Tabela2246[[#This Row],[IPI]]+Tabela2246[[#This Row],[Vl. Produto]])*Tabela2246[[#This Row],[Aliq.%]]</f>
        <v>0</v>
      </c>
    </row>
    <row r="192" spans="13:19" x14ac:dyDescent="0.25">
      <c r="M192" s="46"/>
      <c r="N192" s="46"/>
      <c r="O192" s="46"/>
      <c r="P192" s="46"/>
      <c r="R192" s="15">
        <v>7.0000000000000007E-2</v>
      </c>
      <c r="S192" s="18">
        <f>(Tabela2246[[#This Row],[FRETE]]+Tabela2246[[#This Row],[DESPESAS]]+Tabela2246[[#This Row],[IPI]]+Tabela2246[[#This Row],[Vl. Produto]])*Tabela2246[[#This Row],[Aliq.%]]</f>
        <v>0</v>
      </c>
    </row>
    <row r="193" spans="13:19" x14ac:dyDescent="0.25">
      <c r="M193" s="46"/>
      <c r="N193" s="46"/>
      <c r="O193" s="46"/>
      <c r="P193" s="46"/>
      <c r="R193" s="15">
        <v>7.0000000000000007E-2</v>
      </c>
      <c r="S193" s="18">
        <f>(Tabela2246[[#This Row],[FRETE]]+Tabela2246[[#This Row],[DESPESAS]]+Tabela2246[[#This Row],[IPI]]+Tabela2246[[#This Row],[Vl. Produto]])*Tabela2246[[#This Row],[Aliq.%]]</f>
        <v>0</v>
      </c>
    </row>
    <row r="194" spans="13:19" x14ac:dyDescent="0.25">
      <c r="M194" s="46"/>
      <c r="N194" s="46"/>
      <c r="O194" s="46"/>
      <c r="P194" s="46"/>
      <c r="R194" s="15">
        <v>7.0000000000000007E-2</v>
      </c>
      <c r="S194" s="18">
        <f>(Tabela2246[[#This Row],[FRETE]]+Tabela2246[[#This Row],[DESPESAS]]+Tabela2246[[#This Row],[IPI]]+Tabela2246[[#This Row],[Vl. Produto]])*Tabela2246[[#This Row],[Aliq.%]]</f>
        <v>0</v>
      </c>
    </row>
    <row r="195" spans="13:19" x14ac:dyDescent="0.25">
      <c r="M195" s="46"/>
      <c r="N195" s="46"/>
      <c r="O195" s="46"/>
      <c r="P195" s="46"/>
      <c r="R195" s="15">
        <v>7.0000000000000007E-2</v>
      </c>
      <c r="S195" s="18">
        <f>(Tabela2246[[#This Row],[FRETE]]+Tabela2246[[#This Row],[DESPESAS]]+Tabela2246[[#This Row],[IPI]]+Tabela2246[[#This Row],[Vl. Produto]])*Tabela2246[[#This Row],[Aliq.%]]</f>
        <v>0</v>
      </c>
    </row>
    <row r="196" spans="13:19" x14ac:dyDescent="0.25">
      <c r="M196" s="46"/>
      <c r="N196" s="46"/>
      <c r="O196" s="46"/>
      <c r="P196" s="46"/>
      <c r="R196" s="15">
        <v>7.0000000000000007E-2</v>
      </c>
      <c r="S196" s="18">
        <f>(Tabela2246[[#This Row],[FRETE]]+Tabela2246[[#This Row],[DESPESAS]]+Tabela2246[[#This Row],[IPI]]+Tabela2246[[#This Row],[Vl. Produto]])*Tabela2246[[#This Row],[Aliq.%]]</f>
        <v>0</v>
      </c>
    </row>
    <row r="197" spans="13:19" x14ac:dyDescent="0.25">
      <c r="M197" s="46"/>
      <c r="N197" s="46"/>
      <c r="O197" s="46"/>
      <c r="P197" s="46"/>
      <c r="R197" s="15">
        <v>7.0000000000000007E-2</v>
      </c>
      <c r="S197" s="18">
        <f>(Tabela2246[[#This Row],[FRETE]]+Tabela2246[[#This Row],[DESPESAS]]+Tabela2246[[#This Row],[IPI]]+Tabela2246[[#This Row],[Vl. Produto]])*Tabela2246[[#This Row],[Aliq.%]]</f>
        <v>0</v>
      </c>
    </row>
    <row r="198" spans="13:19" x14ac:dyDescent="0.25">
      <c r="M198" s="46"/>
      <c r="N198" s="46"/>
      <c r="O198" s="46"/>
      <c r="P198" s="46"/>
      <c r="R198" s="15">
        <v>7.0000000000000007E-2</v>
      </c>
      <c r="S198" s="18">
        <f>(Tabela2246[[#This Row],[FRETE]]+Tabela2246[[#This Row],[DESPESAS]]+Tabela2246[[#This Row],[IPI]]+Tabela2246[[#This Row],[Vl. Produto]])*Tabela2246[[#This Row],[Aliq.%]]</f>
        <v>0</v>
      </c>
    </row>
    <row r="199" spans="13:19" x14ac:dyDescent="0.25">
      <c r="M199" s="46"/>
      <c r="N199" s="46"/>
      <c r="O199" s="46"/>
      <c r="P199" s="46"/>
      <c r="R199" s="15">
        <v>7.0000000000000007E-2</v>
      </c>
      <c r="S199" s="18">
        <f>(Tabela2246[[#This Row],[FRETE]]+Tabela2246[[#This Row],[DESPESAS]]+Tabela2246[[#This Row],[IPI]]+Tabela2246[[#This Row],[Vl. Produto]])*Tabela2246[[#This Row],[Aliq.%]]</f>
        <v>0</v>
      </c>
    </row>
    <row r="200" spans="13:19" x14ac:dyDescent="0.25">
      <c r="M200" s="46"/>
      <c r="N200" s="46"/>
      <c r="O200" s="46"/>
      <c r="P200" s="46"/>
      <c r="R200" s="15">
        <v>7.0000000000000007E-2</v>
      </c>
      <c r="S200" s="18">
        <f>(Tabela2246[[#This Row],[FRETE]]+Tabela2246[[#This Row],[DESPESAS]]+Tabela2246[[#This Row],[IPI]]+Tabela2246[[#This Row],[Vl. Produto]])*Tabela2246[[#This Row],[Aliq.%]]</f>
        <v>0</v>
      </c>
    </row>
    <row r="201" spans="13:19" x14ac:dyDescent="0.25">
      <c r="M201" s="46"/>
      <c r="N201" s="46"/>
      <c r="O201" s="46"/>
      <c r="P201" s="46"/>
      <c r="R201" s="15">
        <v>7.0000000000000007E-2</v>
      </c>
      <c r="S201" s="18">
        <f>(Tabela2246[[#This Row],[FRETE]]+Tabela2246[[#This Row],[DESPESAS]]+Tabela2246[[#This Row],[IPI]]+Tabela2246[[#This Row],[Vl. Produto]])*Tabela2246[[#This Row],[Aliq.%]]</f>
        <v>0</v>
      </c>
    </row>
    <row r="202" spans="13:19" x14ac:dyDescent="0.25">
      <c r="M202" s="46"/>
      <c r="N202" s="46"/>
      <c r="O202" s="46"/>
      <c r="P202" s="46"/>
      <c r="R202" s="15">
        <v>7.0000000000000007E-2</v>
      </c>
      <c r="S202" s="18">
        <f>(Tabela2246[[#This Row],[FRETE]]+Tabela2246[[#This Row],[DESPESAS]]+Tabela2246[[#This Row],[IPI]]+Tabela2246[[#This Row],[Vl. Produto]])*Tabela2246[[#This Row],[Aliq.%]]</f>
        <v>0</v>
      </c>
    </row>
    <row r="203" spans="13:19" x14ac:dyDescent="0.25">
      <c r="M203" s="46"/>
      <c r="N203" s="46"/>
      <c r="O203" s="46"/>
      <c r="P203" s="46"/>
      <c r="R203" s="15">
        <v>7.0000000000000007E-2</v>
      </c>
      <c r="S203" s="18">
        <f>(Tabela2246[[#This Row],[FRETE]]+Tabela2246[[#This Row],[DESPESAS]]+Tabela2246[[#This Row],[IPI]]+Tabela2246[[#This Row],[Vl. Produto]])*Tabela2246[[#This Row],[Aliq.%]]</f>
        <v>0</v>
      </c>
    </row>
    <row r="204" spans="13:19" x14ac:dyDescent="0.25">
      <c r="M204" s="46"/>
      <c r="N204" s="46"/>
      <c r="O204" s="46"/>
      <c r="P204" s="46"/>
      <c r="R204" s="15">
        <v>7.0000000000000007E-2</v>
      </c>
      <c r="S204" s="18">
        <f>(Tabela2246[[#This Row],[FRETE]]+Tabela2246[[#This Row],[DESPESAS]]+Tabela2246[[#This Row],[IPI]]+Tabela2246[[#This Row],[Vl. Produto]])*Tabela2246[[#This Row],[Aliq.%]]</f>
        <v>0</v>
      </c>
    </row>
    <row r="205" spans="13:19" x14ac:dyDescent="0.25">
      <c r="M205" s="46"/>
      <c r="N205" s="46"/>
      <c r="O205" s="46"/>
      <c r="P205" s="46"/>
      <c r="R205" s="15">
        <v>7.0000000000000007E-2</v>
      </c>
      <c r="S205" s="18">
        <f>(Tabela2246[[#This Row],[FRETE]]+Tabela2246[[#This Row],[DESPESAS]]+Tabela2246[[#This Row],[IPI]]+Tabela2246[[#This Row],[Vl. Produto]])*Tabela2246[[#This Row],[Aliq.%]]</f>
        <v>0</v>
      </c>
    </row>
    <row r="206" spans="13:19" x14ac:dyDescent="0.25">
      <c r="M206" s="46"/>
      <c r="N206" s="46"/>
      <c r="O206" s="46"/>
      <c r="P206" s="46"/>
      <c r="R206" s="15">
        <v>7.0000000000000007E-2</v>
      </c>
      <c r="S206" s="18">
        <f>(Tabela2246[[#This Row],[FRETE]]+Tabela2246[[#This Row],[DESPESAS]]+Tabela2246[[#This Row],[IPI]]+Tabela2246[[#This Row],[Vl. Produto]])*Tabela2246[[#This Row],[Aliq.%]]</f>
        <v>0</v>
      </c>
    </row>
    <row r="207" spans="13:19" x14ac:dyDescent="0.25">
      <c r="M207" s="46"/>
      <c r="N207" s="46"/>
      <c r="O207" s="46"/>
      <c r="P207" s="46"/>
      <c r="R207" s="15">
        <v>7.0000000000000007E-2</v>
      </c>
      <c r="S207" s="18">
        <f>(Tabela2246[[#This Row],[FRETE]]+Tabela2246[[#This Row],[DESPESAS]]+Tabela2246[[#This Row],[IPI]]+Tabela2246[[#This Row],[Vl. Produto]])*Tabela2246[[#This Row],[Aliq.%]]</f>
        <v>0</v>
      </c>
    </row>
    <row r="208" spans="13:19" x14ac:dyDescent="0.25">
      <c r="M208" s="46"/>
      <c r="N208" s="46"/>
      <c r="O208" s="46"/>
      <c r="P208" s="46"/>
      <c r="R208" s="15">
        <v>7.0000000000000007E-2</v>
      </c>
      <c r="S208" s="18">
        <f>(Tabela2246[[#This Row],[FRETE]]+Tabela2246[[#This Row],[DESPESAS]]+Tabela2246[[#This Row],[IPI]]+Tabela2246[[#This Row],[Vl. Produto]])*Tabela2246[[#This Row],[Aliq.%]]</f>
        <v>0</v>
      </c>
    </row>
    <row r="209" spans="13:19" x14ac:dyDescent="0.25">
      <c r="M209" s="46"/>
      <c r="N209" s="46"/>
      <c r="O209" s="46"/>
      <c r="P209" s="46"/>
      <c r="R209" s="15">
        <v>7.0000000000000007E-2</v>
      </c>
      <c r="S209" s="18">
        <f>(Tabela2246[[#This Row],[FRETE]]+Tabela2246[[#This Row],[DESPESAS]]+Tabela2246[[#This Row],[IPI]]+Tabela2246[[#This Row],[Vl. Produto]])*Tabela2246[[#This Row],[Aliq.%]]</f>
        <v>0</v>
      </c>
    </row>
    <row r="210" spans="13:19" x14ac:dyDescent="0.25">
      <c r="M210" s="46"/>
      <c r="N210" s="46"/>
      <c r="O210" s="46"/>
      <c r="P210" s="46"/>
      <c r="R210" s="15">
        <v>7.0000000000000007E-2</v>
      </c>
      <c r="S210" s="18">
        <f>(Tabela2246[[#This Row],[FRETE]]+Tabela2246[[#This Row],[DESPESAS]]+Tabela2246[[#This Row],[IPI]]+Tabela2246[[#This Row],[Vl. Produto]])*Tabela2246[[#This Row],[Aliq.%]]</f>
        <v>0</v>
      </c>
    </row>
    <row r="211" spans="13:19" x14ac:dyDescent="0.25">
      <c r="M211" s="46"/>
      <c r="N211" s="46"/>
      <c r="O211" s="46"/>
      <c r="P211" s="46"/>
      <c r="R211" s="15">
        <v>7.0000000000000007E-2</v>
      </c>
      <c r="S211" s="18">
        <f>(Tabela2246[[#This Row],[FRETE]]+Tabela2246[[#This Row],[DESPESAS]]+Tabela2246[[#This Row],[IPI]]+Tabela2246[[#This Row],[Vl. Produto]])*Tabela2246[[#This Row],[Aliq.%]]</f>
        <v>0</v>
      </c>
    </row>
    <row r="212" spans="13:19" x14ac:dyDescent="0.25">
      <c r="M212" s="46"/>
      <c r="N212" s="46"/>
      <c r="O212" s="46"/>
      <c r="P212" s="46"/>
      <c r="R212" s="15">
        <v>7.0000000000000007E-2</v>
      </c>
      <c r="S212" s="18">
        <f>(Tabela2246[[#This Row],[FRETE]]+Tabela2246[[#This Row],[DESPESAS]]+Tabela2246[[#This Row],[IPI]]+Tabela2246[[#This Row],[Vl. Produto]])*Tabela2246[[#This Row],[Aliq.%]]</f>
        <v>0</v>
      </c>
    </row>
    <row r="213" spans="13:19" x14ac:dyDescent="0.25">
      <c r="M213" s="46"/>
      <c r="N213" s="46"/>
      <c r="O213" s="46"/>
      <c r="P213" s="46"/>
      <c r="R213" s="15">
        <v>7.0000000000000007E-2</v>
      </c>
      <c r="S213" s="18">
        <f>(Tabela2246[[#This Row],[FRETE]]+Tabela2246[[#This Row],[DESPESAS]]+Tabela2246[[#This Row],[IPI]]+Tabela2246[[#This Row],[Vl. Produto]])*Tabela2246[[#This Row],[Aliq.%]]</f>
        <v>0</v>
      </c>
    </row>
    <row r="214" spans="13:19" x14ac:dyDescent="0.25">
      <c r="M214" s="46"/>
      <c r="N214" s="46"/>
      <c r="O214" s="46"/>
      <c r="P214" s="46"/>
      <c r="R214" s="15">
        <v>7.0000000000000007E-2</v>
      </c>
      <c r="S214" s="18">
        <f>(Tabela2246[[#This Row],[FRETE]]+Tabela2246[[#This Row],[DESPESAS]]+Tabela2246[[#This Row],[IPI]]+Tabela2246[[#This Row],[Vl. Produto]])*Tabela2246[[#This Row],[Aliq.%]]</f>
        <v>0</v>
      </c>
    </row>
    <row r="215" spans="13:19" x14ac:dyDescent="0.25">
      <c r="M215" s="46"/>
      <c r="N215" s="46"/>
      <c r="O215" s="46"/>
      <c r="P215" s="46"/>
      <c r="R215" s="15">
        <v>7.0000000000000007E-2</v>
      </c>
      <c r="S215" s="18">
        <f>(Tabela2246[[#This Row],[FRETE]]+Tabela2246[[#This Row],[DESPESAS]]+Tabela2246[[#This Row],[IPI]]+Tabela2246[[#This Row],[Vl. Produto]])*Tabela2246[[#This Row],[Aliq.%]]</f>
        <v>0</v>
      </c>
    </row>
    <row r="216" spans="13:19" x14ac:dyDescent="0.25">
      <c r="M216" s="46"/>
      <c r="N216" s="46"/>
      <c r="O216" s="46"/>
      <c r="P216" s="46"/>
      <c r="R216" s="15">
        <v>7.0000000000000007E-2</v>
      </c>
      <c r="S216" s="18">
        <f>(Tabela2246[[#This Row],[FRETE]]+Tabela2246[[#This Row],[DESPESAS]]+Tabela2246[[#This Row],[IPI]]+Tabela2246[[#This Row],[Vl. Produto]])*Tabela2246[[#This Row],[Aliq.%]]</f>
        <v>0</v>
      </c>
    </row>
    <row r="217" spans="13:19" x14ac:dyDescent="0.25">
      <c r="M217" s="46"/>
      <c r="N217" s="46"/>
      <c r="O217" s="46"/>
      <c r="P217" s="46"/>
      <c r="R217" s="15">
        <v>7.0000000000000007E-2</v>
      </c>
      <c r="S217" s="18">
        <f>(Tabela2246[[#This Row],[FRETE]]+Tabela2246[[#This Row],[DESPESAS]]+Tabela2246[[#This Row],[IPI]]+Tabela2246[[#This Row],[Vl. Produto]])*Tabela2246[[#This Row],[Aliq.%]]</f>
        <v>0</v>
      </c>
    </row>
    <row r="218" spans="13:19" x14ac:dyDescent="0.25">
      <c r="M218" s="46"/>
      <c r="N218" s="46"/>
      <c r="O218" s="46"/>
      <c r="P218" s="46"/>
      <c r="R218" s="15">
        <v>7.0000000000000007E-2</v>
      </c>
      <c r="S218" s="18">
        <f>(Tabela2246[[#This Row],[FRETE]]+Tabela2246[[#This Row],[DESPESAS]]+Tabela2246[[#This Row],[IPI]]+Tabela2246[[#This Row],[Vl. Produto]])*Tabela2246[[#This Row],[Aliq.%]]</f>
        <v>0</v>
      </c>
    </row>
    <row r="219" spans="13:19" x14ac:dyDescent="0.25">
      <c r="M219" s="46"/>
      <c r="N219" s="46"/>
      <c r="O219" s="46"/>
      <c r="P219" s="46"/>
      <c r="R219" s="15">
        <v>7.0000000000000007E-2</v>
      </c>
      <c r="S219" s="18">
        <f>(Tabela2246[[#This Row],[FRETE]]+Tabela2246[[#This Row],[DESPESAS]]+Tabela2246[[#This Row],[IPI]]+Tabela2246[[#This Row],[Vl. Produto]])*Tabela2246[[#This Row],[Aliq.%]]</f>
        <v>0</v>
      </c>
    </row>
    <row r="220" spans="13:19" x14ac:dyDescent="0.25">
      <c r="M220" s="46"/>
      <c r="N220" s="46"/>
      <c r="O220" s="46"/>
      <c r="P220" s="46"/>
      <c r="R220" s="15">
        <v>7.0000000000000007E-2</v>
      </c>
      <c r="S220" s="18">
        <f>(Tabela2246[[#This Row],[FRETE]]+Tabela2246[[#This Row],[DESPESAS]]+Tabela2246[[#This Row],[IPI]]+Tabela2246[[#This Row],[Vl. Produto]])*Tabela2246[[#This Row],[Aliq.%]]</f>
        <v>0</v>
      </c>
    </row>
    <row r="221" spans="13:19" x14ac:dyDescent="0.25">
      <c r="M221" s="46"/>
      <c r="N221" s="46"/>
      <c r="O221" s="46"/>
      <c r="P221" s="46"/>
      <c r="R221" s="15">
        <v>7.0000000000000007E-2</v>
      </c>
      <c r="S221" s="18">
        <f>(Tabela2246[[#This Row],[FRETE]]+Tabela2246[[#This Row],[DESPESAS]]+Tabela2246[[#This Row],[IPI]]+Tabela2246[[#This Row],[Vl. Produto]])*Tabela2246[[#This Row],[Aliq.%]]</f>
        <v>0</v>
      </c>
    </row>
    <row r="222" spans="13:19" x14ac:dyDescent="0.25">
      <c r="M222" s="46"/>
      <c r="N222" s="46"/>
      <c r="O222" s="46"/>
      <c r="P222" s="46"/>
      <c r="R222" s="15">
        <v>7.0000000000000007E-2</v>
      </c>
      <c r="S222" s="18">
        <f>(Tabela2246[[#This Row],[FRETE]]+Tabela2246[[#This Row],[DESPESAS]]+Tabela2246[[#This Row],[IPI]]+Tabela2246[[#This Row],[Vl. Produto]])*Tabela2246[[#This Row],[Aliq.%]]</f>
        <v>0</v>
      </c>
    </row>
    <row r="223" spans="13:19" x14ac:dyDescent="0.25">
      <c r="M223" s="46"/>
      <c r="N223" s="46"/>
      <c r="O223" s="46"/>
      <c r="P223" s="46"/>
      <c r="R223" s="15">
        <v>7.0000000000000007E-2</v>
      </c>
      <c r="S223" s="18">
        <f>(Tabela2246[[#This Row],[FRETE]]+Tabela2246[[#This Row],[DESPESAS]]+Tabela2246[[#This Row],[IPI]]+Tabela2246[[#This Row],[Vl. Produto]])*Tabela2246[[#This Row],[Aliq.%]]</f>
        <v>0</v>
      </c>
    </row>
    <row r="224" spans="13:19" x14ac:dyDescent="0.25">
      <c r="M224" s="46"/>
      <c r="N224" s="46"/>
      <c r="O224" s="46"/>
      <c r="P224" s="46"/>
      <c r="R224" s="15">
        <v>7.0000000000000007E-2</v>
      </c>
      <c r="S224" s="18">
        <f>(Tabela2246[[#This Row],[FRETE]]+Tabela2246[[#This Row],[DESPESAS]]+Tabela2246[[#This Row],[IPI]]+Tabela2246[[#This Row],[Vl. Produto]])*Tabela2246[[#This Row],[Aliq.%]]</f>
        <v>0</v>
      </c>
    </row>
    <row r="225" spans="13:19" x14ac:dyDescent="0.25">
      <c r="M225" s="46"/>
      <c r="N225" s="46"/>
      <c r="O225" s="46"/>
      <c r="P225" s="46"/>
      <c r="R225" s="15">
        <v>7.0000000000000007E-2</v>
      </c>
      <c r="S225" s="18">
        <f>(Tabela2246[[#This Row],[FRETE]]+Tabela2246[[#This Row],[DESPESAS]]+Tabela2246[[#This Row],[IPI]]+Tabela2246[[#This Row],[Vl. Produto]])*Tabela2246[[#This Row],[Aliq.%]]</f>
        <v>0</v>
      </c>
    </row>
    <row r="226" spans="13:19" x14ac:dyDescent="0.25">
      <c r="M226" s="46"/>
      <c r="N226" s="46"/>
      <c r="O226" s="46"/>
      <c r="P226" s="46"/>
      <c r="R226" s="15">
        <v>7.0000000000000007E-2</v>
      </c>
      <c r="S226" s="18">
        <f>(Tabela2246[[#This Row],[FRETE]]+Tabela2246[[#This Row],[DESPESAS]]+Tabela2246[[#This Row],[IPI]]+Tabela2246[[#This Row],[Vl. Produto]])*Tabela2246[[#This Row],[Aliq.%]]</f>
        <v>0</v>
      </c>
    </row>
    <row r="227" spans="13:19" x14ac:dyDescent="0.25">
      <c r="M227" s="46"/>
      <c r="N227" s="46"/>
      <c r="O227" s="46"/>
      <c r="P227" s="46"/>
      <c r="R227" s="15">
        <v>7.0000000000000007E-2</v>
      </c>
      <c r="S227" s="18">
        <f>(Tabela2246[[#This Row],[FRETE]]+Tabela2246[[#This Row],[DESPESAS]]+Tabela2246[[#This Row],[IPI]]+Tabela2246[[#This Row],[Vl. Produto]])*Tabela2246[[#This Row],[Aliq.%]]</f>
        <v>0</v>
      </c>
    </row>
    <row r="228" spans="13:19" x14ac:dyDescent="0.25">
      <c r="M228" s="46"/>
      <c r="N228" s="46"/>
      <c r="O228" s="46"/>
      <c r="P228" s="46"/>
      <c r="R228" s="15">
        <v>7.0000000000000007E-2</v>
      </c>
      <c r="S228" s="18">
        <f>(Tabela2246[[#This Row],[FRETE]]+Tabela2246[[#This Row],[DESPESAS]]+Tabela2246[[#This Row],[IPI]]+Tabela2246[[#This Row],[Vl. Produto]])*Tabela2246[[#This Row],[Aliq.%]]</f>
        <v>0</v>
      </c>
    </row>
    <row r="229" spans="13:19" x14ac:dyDescent="0.25">
      <c r="M229" s="46"/>
      <c r="N229" s="46"/>
      <c r="O229" s="46"/>
      <c r="P229" s="46"/>
      <c r="R229" s="15">
        <v>7.0000000000000007E-2</v>
      </c>
      <c r="S229" s="18">
        <f>(Tabela2246[[#This Row],[FRETE]]+Tabela2246[[#This Row],[DESPESAS]]+Tabela2246[[#This Row],[IPI]]+Tabela2246[[#This Row],[Vl. Produto]])*Tabela2246[[#This Row],[Aliq.%]]</f>
        <v>0</v>
      </c>
    </row>
    <row r="230" spans="13:19" x14ac:dyDescent="0.25">
      <c r="M230" s="46"/>
      <c r="N230" s="46"/>
      <c r="O230" s="46"/>
      <c r="P230" s="46"/>
      <c r="R230" s="15">
        <v>7.0000000000000007E-2</v>
      </c>
      <c r="S230" s="18">
        <f>(Tabela2246[[#This Row],[FRETE]]+Tabela2246[[#This Row],[DESPESAS]]+Tabela2246[[#This Row],[IPI]]+Tabela2246[[#This Row],[Vl. Produto]])*Tabela2246[[#This Row],[Aliq.%]]</f>
        <v>0</v>
      </c>
    </row>
    <row r="231" spans="13:19" x14ac:dyDescent="0.25">
      <c r="M231" s="46"/>
      <c r="N231" s="46"/>
      <c r="O231" s="46"/>
      <c r="P231" s="46"/>
      <c r="R231" s="15">
        <v>7.0000000000000007E-2</v>
      </c>
      <c r="S231" s="18">
        <f>(Tabela2246[[#This Row],[FRETE]]+Tabela2246[[#This Row],[DESPESAS]]+Tabela2246[[#This Row],[IPI]]+Tabela2246[[#This Row],[Vl. Produto]])*Tabela2246[[#This Row],[Aliq.%]]</f>
        <v>0</v>
      </c>
    </row>
    <row r="232" spans="13:19" x14ac:dyDescent="0.25">
      <c r="M232" s="46"/>
      <c r="N232" s="46"/>
      <c r="O232" s="46"/>
      <c r="P232" s="46"/>
      <c r="R232" s="15">
        <v>7.0000000000000007E-2</v>
      </c>
      <c r="S232" s="18">
        <f>(Tabela2246[[#This Row],[FRETE]]+Tabela2246[[#This Row],[DESPESAS]]+Tabela2246[[#This Row],[IPI]]+Tabela2246[[#This Row],[Vl. Produto]])*Tabela2246[[#This Row],[Aliq.%]]</f>
        <v>0</v>
      </c>
    </row>
    <row r="233" spans="13:19" x14ac:dyDescent="0.25">
      <c r="M233" s="46"/>
      <c r="N233" s="46"/>
      <c r="O233" s="46"/>
      <c r="P233" s="46"/>
      <c r="R233" s="15">
        <v>7.0000000000000007E-2</v>
      </c>
      <c r="S233" s="18">
        <f>(Tabela2246[[#This Row],[FRETE]]+Tabela2246[[#This Row],[DESPESAS]]+Tabela2246[[#This Row],[IPI]]+Tabela2246[[#This Row],[Vl. Produto]])*Tabela2246[[#This Row],[Aliq.%]]</f>
        <v>0</v>
      </c>
    </row>
    <row r="234" spans="13:19" x14ac:dyDescent="0.25">
      <c r="M234" s="46"/>
      <c r="N234" s="46"/>
      <c r="O234" s="46"/>
      <c r="P234" s="46"/>
      <c r="R234" s="15">
        <v>7.0000000000000007E-2</v>
      </c>
      <c r="S234" s="18">
        <f>(Tabela2246[[#This Row],[FRETE]]+Tabela2246[[#This Row],[DESPESAS]]+Tabela2246[[#This Row],[IPI]]+Tabela2246[[#This Row],[Vl. Produto]])*Tabela2246[[#This Row],[Aliq.%]]</f>
        <v>0</v>
      </c>
    </row>
    <row r="235" spans="13:19" x14ac:dyDescent="0.25">
      <c r="M235" s="46"/>
      <c r="N235" s="46"/>
      <c r="O235" s="46"/>
      <c r="P235" s="46"/>
      <c r="R235" s="15">
        <v>7.0000000000000007E-2</v>
      </c>
      <c r="S235" s="18">
        <f>(Tabela2246[[#This Row],[FRETE]]+Tabela2246[[#This Row],[DESPESAS]]+Tabela2246[[#This Row],[IPI]]+Tabela2246[[#This Row],[Vl. Produto]])*Tabela2246[[#This Row],[Aliq.%]]</f>
        <v>0</v>
      </c>
    </row>
    <row r="236" spans="13:19" x14ac:dyDescent="0.25">
      <c r="M236" s="46"/>
      <c r="N236" s="46"/>
      <c r="O236" s="46"/>
      <c r="P236" s="46"/>
      <c r="R236" s="15">
        <v>7.0000000000000007E-2</v>
      </c>
      <c r="S236" s="18">
        <f>(Tabela2246[[#This Row],[FRETE]]+Tabela2246[[#This Row],[DESPESAS]]+Tabela2246[[#This Row],[IPI]]+Tabela2246[[#This Row],[Vl. Produto]])*Tabela2246[[#This Row],[Aliq.%]]</f>
        <v>0</v>
      </c>
    </row>
    <row r="237" spans="13:19" x14ac:dyDescent="0.25">
      <c r="M237" s="46"/>
      <c r="N237" s="46"/>
      <c r="O237" s="46"/>
      <c r="P237" s="46"/>
      <c r="R237" s="15">
        <v>7.0000000000000007E-2</v>
      </c>
      <c r="S237" s="18">
        <f>(Tabela2246[[#This Row],[FRETE]]+Tabela2246[[#This Row],[DESPESAS]]+Tabela2246[[#This Row],[IPI]]+Tabela2246[[#This Row],[Vl. Produto]])*Tabela2246[[#This Row],[Aliq.%]]</f>
        <v>0</v>
      </c>
    </row>
    <row r="238" spans="13:19" x14ac:dyDescent="0.25">
      <c r="M238" s="46"/>
      <c r="N238" s="46"/>
      <c r="O238" s="46"/>
      <c r="P238" s="46"/>
      <c r="R238" s="15">
        <v>7.0000000000000007E-2</v>
      </c>
      <c r="S238" s="18">
        <f>(Tabela2246[[#This Row],[FRETE]]+Tabela2246[[#This Row],[DESPESAS]]+Tabela2246[[#This Row],[IPI]]+Tabela2246[[#This Row],[Vl. Produto]])*Tabela2246[[#This Row],[Aliq.%]]</f>
        <v>0</v>
      </c>
    </row>
    <row r="239" spans="13:19" x14ac:dyDescent="0.25">
      <c r="M239" s="46"/>
      <c r="N239" s="46"/>
      <c r="O239" s="46"/>
      <c r="P239" s="46"/>
      <c r="R239" s="15">
        <v>7.0000000000000007E-2</v>
      </c>
      <c r="S239" s="18">
        <f>(Tabela2246[[#This Row],[FRETE]]+Tabela2246[[#This Row],[DESPESAS]]+Tabela2246[[#This Row],[IPI]]+Tabela2246[[#This Row],[Vl. Produto]])*Tabela2246[[#This Row],[Aliq.%]]</f>
        <v>0</v>
      </c>
    </row>
    <row r="240" spans="13:19" x14ac:dyDescent="0.25">
      <c r="M240" s="46"/>
      <c r="N240" s="46"/>
      <c r="O240" s="46"/>
      <c r="P240" s="46"/>
      <c r="R240" s="15">
        <v>7.0000000000000007E-2</v>
      </c>
      <c r="S240" s="18">
        <f>(Tabela2246[[#This Row],[FRETE]]+Tabela2246[[#This Row],[DESPESAS]]+Tabela2246[[#This Row],[IPI]]+Tabela2246[[#This Row],[Vl. Produto]])*Tabela2246[[#This Row],[Aliq.%]]</f>
        <v>0</v>
      </c>
    </row>
    <row r="241" spans="13:19" x14ac:dyDescent="0.25">
      <c r="M241" s="46"/>
      <c r="N241" s="46"/>
      <c r="O241" s="46"/>
      <c r="P241" s="46"/>
      <c r="R241" s="15">
        <v>7.0000000000000007E-2</v>
      </c>
      <c r="S241" s="18">
        <f>(Tabela2246[[#This Row],[FRETE]]+Tabela2246[[#This Row],[DESPESAS]]+Tabela2246[[#This Row],[IPI]]+Tabela2246[[#This Row],[Vl. Produto]])*Tabela2246[[#This Row],[Aliq.%]]</f>
        <v>0</v>
      </c>
    </row>
    <row r="242" spans="13:19" x14ac:dyDescent="0.25">
      <c r="M242" s="46"/>
      <c r="N242" s="46"/>
      <c r="O242" s="46"/>
      <c r="P242" s="46"/>
      <c r="R242" s="15">
        <v>7.0000000000000007E-2</v>
      </c>
      <c r="S242" s="18">
        <f>(Tabela2246[[#This Row],[FRETE]]+Tabela2246[[#This Row],[DESPESAS]]+Tabela2246[[#This Row],[IPI]]+Tabela2246[[#This Row],[Vl. Produto]])*Tabela2246[[#This Row],[Aliq.%]]</f>
        <v>0</v>
      </c>
    </row>
    <row r="243" spans="13:19" x14ac:dyDescent="0.25">
      <c r="M243" s="46"/>
      <c r="N243" s="46"/>
      <c r="O243" s="46"/>
      <c r="P243" s="46"/>
      <c r="R243" s="15">
        <v>7.0000000000000007E-2</v>
      </c>
      <c r="S243" s="18">
        <f>(Tabela2246[[#This Row],[FRETE]]+Tabela2246[[#This Row],[DESPESAS]]+Tabela2246[[#This Row],[IPI]]+Tabela2246[[#This Row],[Vl. Produto]])*Tabela2246[[#This Row],[Aliq.%]]</f>
        <v>0</v>
      </c>
    </row>
    <row r="244" spans="13:19" x14ac:dyDescent="0.25">
      <c r="M244" s="46"/>
      <c r="N244" s="46"/>
      <c r="O244" s="46"/>
      <c r="P244" s="46"/>
      <c r="R244" s="15">
        <v>7.0000000000000007E-2</v>
      </c>
      <c r="S244" s="18">
        <f>(Tabela2246[[#This Row],[FRETE]]+Tabela2246[[#This Row],[DESPESAS]]+Tabela2246[[#This Row],[IPI]]+Tabela2246[[#This Row],[Vl. Produto]])*Tabela2246[[#This Row],[Aliq.%]]</f>
        <v>0</v>
      </c>
    </row>
    <row r="245" spans="13:19" x14ac:dyDescent="0.25">
      <c r="M245" s="46"/>
      <c r="N245" s="46"/>
      <c r="O245" s="46"/>
      <c r="P245" s="46"/>
      <c r="R245" s="15">
        <v>7.0000000000000007E-2</v>
      </c>
      <c r="S245" s="18">
        <f>(Tabela2246[[#This Row],[FRETE]]+Tabela2246[[#This Row],[DESPESAS]]+Tabela2246[[#This Row],[IPI]]+Tabela2246[[#This Row],[Vl. Produto]])*Tabela2246[[#This Row],[Aliq.%]]</f>
        <v>0</v>
      </c>
    </row>
    <row r="246" spans="13:19" x14ac:dyDescent="0.25">
      <c r="M246" s="46"/>
      <c r="N246" s="46"/>
      <c r="O246" s="46"/>
      <c r="P246" s="46"/>
      <c r="R246" s="15">
        <v>7.0000000000000007E-2</v>
      </c>
      <c r="S246" s="18">
        <f>(Tabela2246[[#This Row],[FRETE]]+Tabela2246[[#This Row],[DESPESAS]]+Tabela2246[[#This Row],[IPI]]+Tabela2246[[#This Row],[Vl. Produto]])*Tabela2246[[#This Row],[Aliq.%]]</f>
        <v>0</v>
      </c>
    </row>
    <row r="247" spans="13:19" x14ac:dyDescent="0.25">
      <c r="M247" s="46"/>
      <c r="N247" s="46"/>
      <c r="O247" s="46"/>
      <c r="P247" s="46"/>
      <c r="R247" s="15">
        <v>7.0000000000000007E-2</v>
      </c>
      <c r="S247" s="18">
        <f>(Tabela2246[[#This Row],[FRETE]]+Tabela2246[[#This Row],[DESPESAS]]+Tabela2246[[#This Row],[IPI]]+Tabela2246[[#This Row],[Vl. Produto]])*Tabela2246[[#This Row],[Aliq.%]]</f>
        <v>0</v>
      </c>
    </row>
    <row r="248" spans="13:19" x14ac:dyDescent="0.25">
      <c r="M248" s="46"/>
      <c r="N248" s="46"/>
      <c r="O248" s="46"/>
      <c r="P248" s="46"/>
      <c r="R248" s="15">
        <v>7.0000000000000007E-2</v>
      </c>
      <c r="S248" s="18">
        <f>(Tabela2246[[#This Row],[FRETE]]+Tabela2246[[#This Row],[DESPESAS]]+Tabela2246[[#This Row],[IPI]]+Tabela2246[[#This Row],[Vl. Produto]])*Tabela2246[[#This Row],[Aliq.%]]</f>
        <v>0</v>
      </c>
    </row>
    <row r="249" spans="13:19" x14ac:dyDescent="0.25">
      <c r="M249" s="46"/>
      <c r="N249" s="46"/>
      <c r="O249" s="46"/>
      <c r="P249" s="46"/>
      <c r="R249" s="15">
        <v>7.0000000000000007E-2</v>
      </c>
      <c r="S249" s="18">
        <f>(Tabela2246[[#This Row],[FRETE]]+Tabela2246[[#This Row],[DESPESAS]]+Tabela2246[[#This Row],[IPI]]+Tabela2246[[#This Row],[Vl. Produto]])*Tabela2246[[#This Row],[Aliq.%]]</f>
        <v>0</v>
      </c>
    </row>
    <row r="250" spans="13:19" x14ac:dyDescent="0.25">
      <c r="M250" s="46"/>
      <c r="N250" s="46"/>
      <c r="O250" s="46"/>
      <c r="P250" s="46"/>
      <c r="R250" s="15">
        <v>7.0000000000000007E-2</v>
      </c>
      <c r="S250" s="18">
        <f>(Tabela2246[[#This Row],[FRETE]]+Tabela2246[[#This Row],[DESPESAS]]+Tabela2246[[#This Row],[IPI]]+Tabela2246[[#This Row],[Vl. Produto]])*Tabela2246[[#This Row],[Aliq.%]]</f>
        <v>0</v>
      </c>
    </row>
    <row r="251" spans="13:19" x14ac:dyDescent="0.25">
      <c r="M251" s="46"/>
      <c r="N251" s="46"/>
      <c r="O251" s="46"/>
      <c r="P251" s="46"/>
      <c r="R251" s="15">
        <v>7.0000000000000007E-2</v>
      </c>
      <c r="S251" s="18">
        <f>(Tabela2246[[#This Row],[FRETE]]+Tabela2246[[#This Row],[DESPESAS]]+Tabela2246[[#This Row],[IPI]]+Tabela2246[[#This Row],[Vl. Produto]])*Tabela2246[[#This Row],[Aliq.%]]</f>
        <v>0</v>
      </c>
    </row>
    <row r="252" spans="13:19" x14ac:dyDescent="0.25">
      <c r="M252" s="46"/>
      <c r="N252" s="46"/>
      <c r="O252" s="46"/>
      <c r="P252" s="46"/>
      <c r="R252" s="15">
        <v>7.0000000000000007E-2</v>
      </c>
      <c r="S252" s="18">
        <f>(Tabela2246[[#This Row],[FRETE]]+Tabela2246[[#This Row],[DESPESAS]]+Tabela2246[[#This Row],[IPI]]+Tabela2246[[#This Row],[Vl. Produto]])*Tabela2246[[#This Row],[Aliq.%]]</f>
        <v>0</v>
      </c>
    </row>
    <row r="253" spans="13:19" x14ac:dyDescent="0.25">
      <c r="M253" s="46"/>
      <c r="N253" s="46"/>
      <c r="O253" s="46"/>
      <c r="P253" s="46"/>
      <c r="R253" s="15">
        <v>7.0000000000000007E-2</v>
      </c>
      <c r="S253" s="18">
        <f>(Tabela2246[[#This Row],[FRETE]]+Tabela2246[[#This Row],[DESPESAS]]+Tabela2246[[#This Row],[IPI]]+Tabela2246[[#This Row],[Vl. Produto]])*Tabela2246[[#This Row],[Aliq.%]]</f>
        <v>0</v>
      </c>
    </row>
    <row r="254" spans="13:19" x14ac:dyDescent="0.25">
      <c r="M254" s="46"/>
      <c r="N254" s="46"/>
      <c r="O254" s="46"/>
      <c r="P254" s="46"/>
      <c r="R254" s="15">
        <v>7.0000000000000007E-2</v>
      </c>
      <c r="S254" s="18">
        <f>(Tabela2246[[#This Row],[FRETE]]+Tabela2246[[#This Row],[DESPESAS]]+Tabela2246[[#This Row],[IPI]]+Tabela2246[[#This Row],[Vl. Produto]])*Tabela2246[[#This Row],[Aliq.%]]</f>
        <v>0</v>
      </c>
    </row>
    <row r="255" spans="13:19" x14ac:dyDescent="0.25">
      <c r="M255" s="46"/>
      <c r="N255" s="46"/>
      <c r="O255" s="46"/>
      <c r="P255" s="46"/>
      <c r="R255" s="15">
        <v>7.0000000000000007E-2</v>
      </c>
      <c r="S255" s="18">
        <f>(Tabela2246[[#This Row],[FRETE]]+Tabela2246[[#This Row],[DESPESAS]]+Tabela2246[[#This Row],[IPI]]+Tabela2246[[#This Row],[Vl. Produto]])*Tabela2246[[#This Row],[Aliq.%]]</f>
        <v>0</v>
      </c>
    </row>
    <row r="256" spans="13:19" x14ac:dyDescent="0.25">
      <c r="M256" s="46"/>
      <c r="N256" s="46"/>
      <c r="O256" s="46"/>
      <c r="P256" s="46"/>
      <c r="R256" s="15">
        <v>7.0000000000000007E-2</v>
      </c>
      <c r="S256" s="18">
        <f>(Tabela2246[[#This Row],[FRETE]]+Tabela2246[[#This Row],[DESPESAS]]+Tabela2246[[#This Row],[IPI]]+Tabela2246[[#This Row],[Vl. Produto]])*Tabela2246[[#This Row],[Aliq.%]]</f>
        <v>0</v>
      </c>
    </row>
    <row r="257" spans="13:19" x14ac:dyDescent="0.25">
      <c r="M257" s="46"/>
      <c r="N257" s="46"/>
      <c r="O257" s="46"/>
      <c r="P257" s="46"/>
      <c r="R257" s="15">
        <v>7.0000000000000007E-2</v>
      </c>
      <c r="S257" s="18">
        <f>(Tabela2246[[#This Row],[FRETE]]+Tabela2246[[#This Row],[DESPESAS]]+Tabela2246[[#This Row],[IPI]]+Tabela2246[[#This Row],[Vl. Produto]])*Tabela2246[[#This Row],[Aliq.%]]</f>
        <v>0</v>
      </c>
    </row>
    <row r="258" spans="13:19" x14ac:dyDescent="0.25">
      <c r="M258" s="46"/>
      <c r="N258" s="46"/>
      <c r="O258" s="46"/>
      <c r="P258" s="46"/>
      <c r="R258" s="15">
        <v>7.0000000000000007E-2</v>
      </c>
      <c r="S258" s="18">
        <f>(Tabela2246[[#This Row],[FRETE]]+Tabela2246[[#This Row],[DESPESAS]]+Tabela2246[[#This Row],[IPI]]+Tabela2246[[#This Row],[Vl. Produto]])*Tabela2246[[#This Row],[Aliq.%]]</f>
        <v>0</v>
      </c>
    </row>
    <row r="259" spans="13:19" x14ac:dyDescent="0.25">
      <c r="M259" s="46"/>
      <c r="N259" s="46"/>
      <c r="O259" s="46"/>
      <c r="P259" s="46"/>
      <c r="R259" s="15">
        <v>7.0000000000000007E-2</v>
      </c>
      <c r="S259" s="18">
        <f>(Tabela2246[[#This Row],[FRETE]]+Tabela2246[[#This Row],[DESPESAS]]+Tabela2246[[#This Row],[IPI]]+Tabela2246[[#This Row],[Vl. Produto]])*Tabela2246[[#This Row],[Aliq.%]]</f>
        <v>0</v>
      </c>
    </row>
    <row r="260" spans="13:19" x14ac:dyDescent="0.25">
      <c r="M260" s="46"/>
      <c r="N260" s="46"/>
      <c r="O260" s="46"/>
      <c r="P260" s="46"/>
      <c r="R260" s="15">
        <v>7.0000000000000007E-2</v>
      </c>
      <c r="S260" s="18">
        <f>(Tabela2246[[#This Row],[FRETE]]+Tabela2246[[#This Row],[DESPESAS]]+Tabela2246[[#This Row],[IPI]]+Tabela2246[[#This Row],[Vl. Produto]])*Tabela2246[[#This Row],[Aliq.%]]</f>
        <v>0</v>
      </c>
    </row>
    <row r="261" spans="13:19" x14ac:dyDescent="0.25">
      <c r="M261" s="46"/>
      <c r="N261" s="46"/>
      <c r="O261" s="46"/>
      <c r="P261" s="46"/>
      <c r="R261" s="15">
        <v>7.0000000000000007E-2</v>
      </c>
      <c r="S261" s="18">
        <f>(Tabela2246[[#This Row],[FRETE]]+Tabela2246[[#This Row],[DESPESAS]]+Tabela2246[[#This Row],[IPI]]+Tabela2246[[#This Row],[Vl. Produto]])*Tabela2246[[#This Row],[Aliq.%]]</f>
        <v>0</v>
      </c>
    </row>
    <row r="262" spans="13:19" x14ac:dyDescent="0.25">
      <c r="M262" s="46"/>
      <c r="N262" s="46"/>
      <c r="O262" s="46"/>
      <c r="P262" s="46"/>
      <c r="R262" s="15">
        <v>7.0000000000000007E-2</v>
      </c>
      <c r="S262" s="18">
        <f>(Tabela2246[[#This Row],[FRETE]]+Tabela2246[[#This Row],[DESPESAS]]+Tabela2246[[#This Row],[IPI]]+Tabela2246[[#This Row],[Vl. Produto]])*Tabela2246[[#This Row],[Aliq.%]]</f>
        <v>0</v>
      </c>
    </row>
    <row r="263" spans="13:19" x14ac:dyDescent="0.25">
      <c r="M263" s="46"/>
      <c r="N263" s="46"/>
      <c r="O263" s="46"/>
      <c r="P263" s="46"/>
      <c r="R263" s="15">
        <v>7.0000000000000007E-2</v>
      </c>
      <c r="S263" s="18">
        <f>(Tabela2246[[#This Row],[FRETE]]+Tabela2246[[#This Row],[DESPESAS]]+Tabela2246[[#This Row],[IPI]]+Tabela2246[[#This Row],[Vl. Produto]])*Tabela2246[[#This Row],[Aliq.%]]</f>
        <v>0</v>
      </c>
    </row>
    <row r="264" spans="13:19" x14ac:dyDescent="0.25">
      <c r="M264" s="46"/>
      <c r="N264" s="46"/>
      <c r="O264" s="46"/>
      <c r="P264" s="46"/>
      <c r="R264" s="15">
        <v>7.0000000000000007E-2</v>
      </c>
      <c r="S264" s="18">
        <f>(Tabela2246[[#This Row],[FRETE]]+Tabela2246[[#This Row],[DESPESAS]]+Tabela2246[[#This Row],[IPI]]+Tabela2246[[#This Row],[Vl. Produto]])*Tabela2246[[#This Row],[Aliq.%]]</f>
        <v>0</v>
      </c>
    </row>
    <row r="265" spans="13:19" x14ac:dyDescent="0.25">
      <c r="M265" s="46"/>
      <c r="N265" s="46"/>
      <c r="O265" s="46"/>
      <c r="P265" s="46"/>
      <c r="R265" s="15">
        <v>7.0000000000000007E-2</v>
      </c>
      <c r="S265" s="18">
        <f>(Tabela2246[[#This Row],[FRETE]]+Tabela2246[[#This Row],[DESPESAS]]+Tabela2246[[#This Row],[IPI]]+Tabela2246[[#This Row],[Vl. Produto]])*Tabela2246[[#This Row],[Aliq.%]]</f>
        <v>0</v>
      </c>
    </row>
    <row r="266" spans="13:19" x14ac:dyDescent="0.25">
      <c r="M266" s="46"/>
      <c r="N266" s="46"/>
      <c r="O266" s="46"/>
      <c r="P266" s="46"/>
      <c r="R266" s="15">
        <v>7.0000000000000007E-2</v>
      </c>
      <c r="S266" s="18">
        <f>(Tabela2246[[#This Row],[FRETE]]+Tabela2246[[#This Row],[DESPESAS]]+Tabela2246[[#This Row],[IPI]]+Tabela2246[[#This Row],[Vl. Produto]])*Tabela2246[[#This Row],[Aliq.%]]</f>
        <v>0</v>
      </c>
    </row>
    <row r="267" spans="13:19" x14ac:dyDescent="0.25">
      <c r="M267" s="46"/>
      <c r="N267" s="46"/>
      <c r="O267" s="46"/>
      <c r="P267" s="46"/>
      <c r="R267" s="15">
        <v>7.0000000000000007E-2</v>
      </c>
      <c r="S267" s="18">
        <f>(Tabela2246[[#This Row],[FRETE]]+Tabela2246[[#This Row],[DESPESAS]]+Tabela2246[[#This Row],[IPI]]+Tabela2246[[#This Row],[Vl. Produto]])*Tabela2246[[#This Row],[Aliq.%]]</f>
        <v>0</v>
      </c>
    </row>
    <row r="268" spans="13:19" x14ac:dyDescent="0.25">
      <c r="M268" s="46"/>
      <c r="N268" s="46"/>
      <c r="O268" s="46"/>
      <c r="P268" s="46"/>
      <c r="R268" s="15">
        <v>7.0000000000000007E-2</v>
      </c>
      <c r="S268" s="18">
        <f>(Tabela2246[[#This Row],[FRETE]]+Tabela2246[[#This Row],[DESPESAS]]+Tabela2246[[#This Row],[IPI]]+Tabela2246[[#This Row],[Vl. Produto]])*Tabela2246[[#This Row],[Aliq.%]]</f>
        <v>0</v>
      </c>
    </row>
    <row r="269" spans="13:19" x14ac:dyDescent="0.25">
      <c r="M269" s="46"/>
      <c r="N269" s="46"/>
      <c r="O269" s="46"/>
      <c r="P269" s="46"/>
      <c r="R269" s="15">
        <v>7.0000000000000007E-2</v>
      </c>
      <c r="S269" s="18">
        <f>(Tabela2246[[#This Row],[FRETE]]+Tabela2246[[#This Row],[DESPESAS]]+Tabela2246[[#This Row],[IPI]]+Tabela2246[[#This Row],[Vl. Produto]])*Tabela2246[[#This Row],[Aliq.%]]</f>
        <v>0</v>
      </c>
    </row>
    <row r="270" spans="13:19" x14ac:dyDescent="0.25">
      <c r="M270" s="46"/>
      <c r="N270" s="46"/>
      <c r="O270" s="46"/>
      <c r="P270" s="46"/>
      <c r="R270" s="15">
        <v>7.0000000000000007E-2</v>
      </c>
      <c r="S270" s="18">
        <f>(Tabela2246[[#This Row],[FRETE]]+Tabela2246[[#This Row],[DESPESAS]]+Tabela2246[[#This Row],[IPI]]+Tabela2246[[#This Row],[Vl. Produto]])*Tabela2246[[#This Row],[Aliq.%]]</f>
        <v>0</v>
      </c>
    </row>
    <row r="271" spans="13:19" x14ac:dyDescent="0.25">
      <c r="M271" s="46"/>
      <c r="N271" s="46"/>
      <c r="O271" s="46"/>
      <c r="P271" s="46"/>
      <c r="R271" s="15">
        <v>7.0000000000000007E-2</v>
      </c>
      <c r="S271" s="18">
        <f>(Tabela2246[[#This Row],[FRETE]]+Tabela2246[[#This Row],[DESPESAS]]+Tabela2246[[#This Row],[IPI]]+Tabela2246[[#This Row],[Vl. Produto]])*Tabela2246[[#This Row],[Aliq.%]]</f>
        <v>0</v>
      </c>
    </row>
    <row r="272" spans="13:19" x14ac:dyDescent="0.25">
      <c r="M272" s="46"/>
      <c r="N272" s="46"/>
      <c r="O272" s="46"/>
      <c r="P272" s="46"/>
      <c r="R272" s="15">
        <v>7.0000000000000007E-2</v>
      </c>
      <c r="S272" s="18">
        <f>(Tabela2246[[#This Row],[FRETE]]+Tabela2246[[#This Row],[DESPESAS]]+Tabela2246[[#This Row],[IPI]]+Tabela2246[[#This Row],[Vl. Produto]])*Tabela2246[[#This Row],[Aliq.%]]</f>
        <v>0</v>
      </c>
    </row>
    <row r="273" spans="13:19" x14ac:dyDescent="0.25">
      <c r="M273" s="46"/>
      <c r="N273" s="46"/>
      <c r="O273" s="46"/>
      <c r="P273" s="46"/>
      <c r="R273" s="15">
        <v>7.0000000000000007E-2</v>
      </c>
      <c r="S273" s="18">
        <f>(Tabela2246[[#This Row],[FRETE]]+Tabela2246[[#This Row],[DESPESAS]]+Tabela2246[[#This Row],[IPI]]+Tabela2246[[#This Row],[Vl. Produto]])*Tabela2246[[#This Row],[Aliq.%]]</f>
        <v>0</v>
      </c>
    </row>
    <row r="274" spans="13:19" x14ac:dyDescent="0.25">
      <c r="M274" s="46"/>
      <c r="N274" s="46"/>
      <c r="O274" s="46"/>
      <c r="P274" s="46"/>
      <c r="R274" s="15">
        <v>7.0000000000000007E-2</v>
      </c>
      <c r="S274" s="18">
        <f>(Tabela2246[[#This Row],[FRETE]]+Tabela2246[[#This Row],[DESPESAS]]+Tabela2246[[#This Row],[IPI]]+Tabela2246[[#This Row],[Vl. Produto]])*Tabela2246[[#This Row],[Aliq.%]]</f>
        <v>0</v>
      </c>
    </row>
    <row r="275" spans="13:19" x14ac:dyDescent="0.25">
      <c r="M275" s="46"/>
      <c r="N275" s="46"/>
      <c r="O275" s="46"/>
      <c r="P275" s="46"/>
      <c r="R275" s="15">
        <v>7.0000000000000007E-2</v>
      </c>
      <c r="S275" s="18">
        <f>(Tabela2246[[#This Row],[FRETE]]+Tabela2246[[#This Row],[DESPESAS]]+Tabela2246[[#This Row],[IPI]]+Tabela2246[[#This Row],[Vl. Produto]])*Tabela2246[[#This Row],[Aliq.%]]</f>
        <v>0</v>
      </c>
    </row>
    <row r="276" spans="13:19" x14ac:dyDescent="0.25">
      <c r="M276" s="46"/>
      <c r="N276" s="46"/>
      <c r="O276" s="46"/>
      <c r="P276" s="46"/>
      <c r="R276" s="15">
        <v>7.0000000000000007E-2</v>
      </c>
      <c r="S276" s="18">
        <f>(Tabela2246[[#This Row],[FRETE]]+Tabela2246[[#This Row],[DESPESAS]]+Tabela2246[[#This Row],[IPI]]+Tabela2246[[#This Row],[Vl. Produto]])*Tabela2246[[#This Row],[Aliq.%]]</f>
        <v>0</v>
      </c>
    </row>
    <row r="277" spans="13:19" x14ac:dyDescent="0.25">
      <c r="M277" s="46"/>
      <c r="N277" s="46"/>
      <c r="O277" s="46"/>
      <c r="P277" s="46"/>
      <c r="R277" s="15">
        <v>7.0000000000000007E-2</v>
      </c>
      <c r="S277" s="18">
        <f>(Tabela2246[[#This Row],[FRETE]]+Tabela2246[[#This Row],[DESPESAS]]+Tabela2246[[#This Row],[IPI]]+Tabela2246[[#This Row],[Vl. Produto]])*Tabela2246[[#This Row],[Aliq.%]]</f>
        <v>0</v>
      </c>
    </row>
    <row r="278" spans="13:19" x14ac:dyDescent="0.25">
      <c r="M278" s="46"/>
      <c r="N278" s="46"/>
      <c r="O278" s="46"/>
      <c r="P278" s="46"/>
      <c r="R278" s="15">
        <v>7.0000000000000007E-2</v>
      </c>
      <c r="S278" s="18">
        <f>(Tabela2246[[#This Row],[FRETE]]+Tabela2246[[#This Row],[DESPESAS]]+Tabela2246[[#This Row],[IPI]]+Tabela2246[[#This Row],[Vl. Produto]])*Tabela2246[[#This Row],[Aliq.%]]</f>
        <v>0</v>
      </c>
    </row>
    <row r="279" spans="13:19" x14ac:dyDescent="0.25">
      <c r="M279" s="46"/>
      <c r="N279" s="46"/>
      <c r="O279" s="46"/>
      <c r="P279" s="46"/>
      <c r="R279" s="15">
        <v>7.0000000000000007E-2</v>
      </c>
      <c r="S279" s="18">
        <f>(Tabela2246[[#This Row],[FRETE]]+Tabela2246[[#This Row],[DESPESAS]]+Tabela2246[[#This Row],[IPI]]+Tabela2246[[#This Row],[Vl. Produto]])*Tabela2246[[#This Row],[Aliq.%]]</f>
        <v>0</v>
      </c>
    </row>
    <row r="280" spans="13:19" x14ac:dyDescent="0.25">
      <c r="M280" s="46"/>
      <c r="N280" s="46"/>
      <c r="O280" s="46"/>
      <c r="P280" s="46"/>
      <c r="R280" s="15">
        <v>7.0000000000000007E-2</v>
      </c>
      <c r="S280" s="18">
        <f>(Tabela2246[[#This Row],[FRETE]]+Tabela2246[[#This Row],[DESPESAS]]+Tabela2246[[#This Row],[IPI]]+Tabela2246[[#This Row],[Vl. Produto]])*Tabela2246[[#This Row],[Aliq.%]]</f>
        <v>0</v>
      </c>
    </row>
    <row r="281" spans="13:19" x14ac:dyDescent="0.25">
      <c r="M281" s="46"/>
      <c r="N281" s="46"/>
      <c r="O281" s="46"/>
      <c r="P281" s="46"/>
      <c r="R281" s="15">
        <v>7.0000000000000007E-2</v>
      </c>
      <c r="S281" s="18">
        <f>(Tabela2246[[#This Row],[FRETE]]+Tabela2246[[#This Row],[DESPESAS]]+Tabela2246[[#This Row],[IPI]]+Tabela2246[[#This Row],[Vl. Produto]])*Tabela2246[[#This Row],[Aliq.%]]</f>
        <v>0</v>
      </c>
    </row>
    <row r="282" spans="13:19" x14ac:dyDescent="0.25">
      <c r="M282" s="46"/>
      <c r="N282" s="46"/>
      <c r="O282" s="46"/>
      <c r="P282" s="46"/>
      <c r="R282" s="15">
        <v>7.0000000000000007E-2</v>
      </c>
      <c r="S282" s="18">
        <f>(Tabela2246[[#This Row],[FRETE]]+Tabela2246[[#This Row],[DESPESAS]]+Tabela2246[[#This Row],[IPI]]+Tabela2246[[#This Row],[Vl. Produto]])*Tabela2246[[#This Row],[Aliq.%]]</f>
        <v>0</v>
      </c>
    </row>
    <row r="283" spans="13:19" x14ac:dyDescent="0.25">
      <c r="M283" s="46"/>
      <c r="N283" s="46"/>
      <c r="O283" s="46"/>
      <c r="P283" s="46"/>
      <c r="R283" s="15">
        <v>7.0000000000000007E-2</v>
      </c>
      <c r="S283" s="18">
        <f>(Tabela2246[[#This Row],[FRETE]]+Tabela2246[[#This Row],[DESPESAS]]+Tabela2246[[#This Row],[IPI]]+Tabela2246[[#This Row],[Vl. Produto]])*Tabela2246[[#This Row],[Aliq.%]]</f>
        <v>0</v>
      </c>
    </row>
    <row r="284" spans="13:19" x14ac:dyDescent="0.25">
      <c r="M284" s="46"/>
      <c r="N284" s="46"/>
      <c r="O284" s="46"/>
      <c r="P284" s="46"/>
      <c r="R284" s="15">
        <v>7.0000000000000007E-2</v>
      </c>
      <c r="S284" s="18">
        <f>(Tabela2246[[#This Row],[FRETE]]+Tabela2246[[#This Row],[DESPESAS]]+Tabela2246[[#This Row],[IPI]]+Tabela2246[[#This Row],[Vl. Produto]])*Tabela2246[[#This Row],[Aliq.%]]</f>
        <v>0</v>
      </c>
    </row>
    <row r="285" spans="13:19" x14ac:dyDescent="0.25">
      <c r="M285" s="46"/>
      <c r="N285" s="46"/>
      <c r="O285" s="46"/>
      <c r="P285" s="46"/>
      <c r="R285" s="15">
        <v>7.0000000000000007E-2</v>
      </c>
      <c r="S285" s="18">
        <f>(Tabela2246[[#This Row],[FRETE]]+Tabela2246[[#This Row],[DESPESAS]]+Tabela2246[[#This Row],[IPI]]+Tabela2246[[#This Row],[Vl. Produto]])*Tabela2246[[#This Row],[Aliq.%]]</f>
        <v>0</v>
      </c>
    </row>
    <row r="286" spans="13:19" x14ac:dyDescent="0.25">
      <c r="M286" s="46"/>
      <c r="N286" s="46"/>
      <c r="O286" s="46"/>
      <c r="P286" s="46"/>
      <c r="R286" s="15">
        <v>7.0000000000000007E-2</v>
      </c>
      <c r="S286" s="18">
        <f>(Tabela2246[[#This Row],[FRETE]]+Tabela2246[[#This Row],[DESPESAS]]+Tabela2246[[#This Row],[IPI]]+Tabela2246[[#This Row],[Vl. Produto]])*Tabela2246[[#This Row],[Aliq.%]]</f>
        <v>0</v>
      </c>
    </row>
    <row r="287" spans="13:19" x14ac:dyDescent="0.25">
      <c r="M287" s="46"/>
      <c r="N287" s="46"/>
      <c r="O287" s="46"/>
      <c r="P287" s="46"/>
      <c r="R287" s="15">
        <v>7.0000000000000007E-2</v>
      </c>
      <c r="S287" s="18">
        <f>(Tabela2246[[#This Row],[FRETE]]+Tabela2246[[#This Row],[DESPESAS]]+Tabela2246[[#This Row],[IPI]]+Tabela2246[[#This Row],[Vl. Produto]])*Tabela2246[[#This Row],[Aliq.%]]</f>
        <v>0</v>
      </c>
    </row>
    <row r="288" spans="13:19" x14ac:dyDescent="0.25">
      <c r="M288" s="46"/>
      <c r="N288" s="46"/>
      <c r="O288" s="46"/>
      <c r="P288" s="46"/>
      <c r="R288" s="15">
        <v>7.0000000000000007E-2</v>
      </c>
      <c r="S288" s="18">
        <f>(Tabela2246[[#This Row],[FRETE]]+Tabela2246[[#This Row],[DESPESAS]]+Tabela2246[[#This Row],[IPI]]+Tabela2246[[#This Row],[Vl. Produto]])*Tabela2246[[#This Row],[Aliq.%]]</f>
        <v>0</v>
      </c>
    </row>
    <row r="289" spans="13:19" x14ac:dyDescent="0.25">
      <c r="M289" s="46"/>
      <c r="N289" s="46"/>
      <c r="O289" s="46"/>
      <c r="P289" s="46"/>
      <c r="R289" s="15">
        <v>7.0000000000000007E-2</v>
      </c>
      <c r="S289" s="18">
        <f>(Tabela2246[[#This Row],[FRETE]]+Tabela2246[[#This Row],[DESPESAS]]+Tabela2246[[#This Row],[IPI]]+Tabela2246[[#This Row],[Vl. Produto]])*Tabela2246[[#This Row],[Aliq.%]]</f>
        <v>0</v>
      </c>
    </row>
    <row r="290" spans="13:19" x14ac:dyDescent="0.25">
      <c r="M290" s="46"/>
      <c r="N290" s="46"/>
      <c r="O290" s="46"/>
      <c r="P290" s="46"/>
      <c r="R290" s="15">
        <v>7.0000000000000007E-2</v>
      </c>
      <c r="S290" s="18">
        <f>(Tabela2246[[#This Row],[FRETE]]+Tabela2246[[#This Row],[DESPESAS]]+Tabela2246[[#This Row],[IPI]]+Tabela2246[[#This Row],[Vl. Produto]])*Tabela2246[[#This Row],[Aliq.%]]</f>
        <v>0</v>
      </c>
    </row>
    <row r="291" spans="13:19" x14ac:dyDescent="0.25">
      <c r="M291" s="46"/>
      <c r="N291" s="46"/>
      <c r="O291" s="46"/>
      <c r="P291" s="46"/>
      <c r="R291" s="15">
        <v>7.0000000000000007E-2</v>
      </c>
      <c r="S291" s="18">
        <f>(Tabela2246[[#This Row],[FRETE]]+Tabela2246[[#This Row],[DESPESAS]]+Tabela2246[[#This Row],[IPI]]+Tabela2246[[#This Row],[Vl. Produto]])*Tabela2246[[#This Row],[Aliq.%]]</f>
        <v>0</v>
      </c>
    </row>
    <row r="292" spans="13:19" x14ac:dyDescent="0.25">
      <c r="M292" s="46"/>
      <c r="N292" s="46"/>
      <c r="O292" s="46"/>
      <c r="P292" s="46"/>
      <c r="R292" s="15">
        <v>7.0000000000000007E-2</v>
      </c>
      <c r="S292" s="18">
        <f>(Tabela2246[[#This Row],[FRETE]]+Tabela2246[[#This Row],[DESPESAS]]+Tabela2246[[#This Row],[IPI]]+Tabela2246[[#This Row],[Vl. Produto]])*Tabela2246[[#This Row],[Aliq.%]]</f>
        <v>0</v>
      </c>
    </row>
    <row r="293" spans="13:19" x14ac:dyDescent="0.25">
      <c r="M293" s="46"/>
      <c r="N293" s="46"/>
      <c r="O293" s="46"/>
      <c r="P293" s="46"/>
      <c r="R293" s="15">
        <v>7.0000000000000007E-2</v>
      </c>
      <c r="S293" s="18">
        <f>(Tabela2246[[#This Row],[FRETE]]+Tabela2246[[#This Row],[DESPESAS]]+Tabela2246[[#This Row],[IPI]]+Tabela2246[[#This Row],[Vl. Produto]])*Tabela2246[[#This Row],[Aliq.%]]</f>
        <v>0</v>
      </c>
    </row>
    <row r="294" spans="13:19" x14ac:dyDescent="0.25">
      <c r="M294" s="46"/>
      <c r="N294" s="46"/>
      <c r="O294" s="46"/>
      <c r="P294" s="46"/>
      <c r="R294" s="15">
        <v>7.0000000000000007E-2</v>
      </c>
      <c r="S294" s="18">
        <f>(Tabela2246[[#This Row],[FRETE]]+Tabela2246[[#This Row],[DESPESAS]]+Tabela2246[[#This Row],[IPI]]+Tabela2246[[#This Row],[Vl. Produto]])*Tabela2246[[#This Row],[Aliq.%]]</f>
        <v>0</v>
      </c>
    </row>
    <row r="295" spans="13:19" x14ac:dyDescent="0.25">
      <c r="M295" s="46"/>
      <c r="N295" s="46"/>
      <c r="O295" s="46"/>
      <c r="P295" s="46"/>
      <c r="R295" s="15">
        <v>7.0000000000000007E-2</v>
      </c>
      <c r="S295" s="18">
        <f>(Tabela2246[[#This Row],[FRETE]]+Tabela2246[[#This Row],[DESPESAS]]+Tabela2246[[#This Row],[IPI]]+Tabela2246[[#This Row],[Vl. Produto]])*Tabela2246[[#This Row],[Aliq.%]]</f>
        <v>0</v>
      </c>
    </row>
    <row r="296" spans="13:19" x14ac:dyDescent="0.25">
      <c r="M296" s="46"/>
      <c r="N296" s="46"/>
      <c r="O296" s="46"/>
      <c r="P296" s="46"/>
      <c r="R296" s="15">
        <v>7.0000000000000007E-2</v>
      </c>
      <c r="S296" s="18">
        <f>(Tabela2246[[#This Row],[FRETE]]+Tabela2246[[#This Row],[DESPESAS]]+Tabela2246[[#This Row],[IPI]]+Tabela2246[[#This Row],[Vl. Produto]])*Tabela2246[[#This Row],[Aliq.%]]</f>
        <v>0</v>
      </c>
    </row>
    <row r="297" spans="13:19" x14ac:dyDescent="0.25">
      <c r="M297" s="46"/>
      <c r="N297" s="46"/>
      <c r="O297" s="46"/>
      <c r="P297" s="46"/>
      <c r="R297" s="15">
        <v>7.0000000000000007E-2</v>
      </c>
      <c r="S297" s="18">
        <f>(Tabela2246[[#This Row],[FRETE]]+Tabela2246[[#This Row],[DESPESAS]]+Tabela2246[[#This Row],[IPI]]+Tabela2246[[#This Row],[Vl. Produto]])*Tabela2246[[#This Row],[Aliq.%]]</f>
        <v>0</v>
      </c>
    </row>
    <row r="298" spans="13:19" x14ac:dyDescent="0.25">
      <c r="M298" s="46"/>
      <c r="N298" s="46"/>
      <c r="O298" s="46"/>
      <c r="P298" s="46"/>
      <c r="R298" s="15">
        <v>7.0000000000000007E-2</v>
      </c>
      <c r="S298" s="18">
        <f>(Tabela2246[[#This Row],[FRETE]]+Tabela2246[[#This Row],[DESPESAS]]+Tabela2246[[#This Row],[IPI]]+Tabela2246[[#This Row],[Vl. Produto]])*Tabela2246[[#This Row],[Aliq.%]]</f>
        <v>0</v>
      </c>
    </row>
    <row r="299" spans="13:19" x14ac:dyDescent="0.25">
      <c r="M299" s="46"/>
      <c r="N299" s="46"/>
      <c r="O299" s="46"/>
      <c r="P299" s="46"/>
      <c r="R299" s="15">
        <v>7.0000000000000007E-2</v>
      </c>
      <c r="S299" s="18">
        <f>(Tabela2246[[#This Row],[FRETE]]+Tabela2246[[#This Row],[DESPESAS]]+Tabela2246[[#This Row],[IPI]]+Tabela2246[[#This Row],[Vl. Produto]])*Tabela2246[[#This Row],[Aliq.%]]</f>
        <v>0</v>
      </c>
    </row>
    <row r="300" spans="13:19" x14ac:dyDescent="0.25">
      <c r="M300" s="46"/>
      <c r="N300" s="46"/>
      <c r="O300" s="46"/>
      <c r="P300" s="46"/>
      <c r="R300" s="15">
        <v>7.0000000000000007E-2</v>
      </c>
      <c r="S300" s="18">
        <f>(Tabela2246[[#This Row],[FRETE]]+Tabela2246[[#This Row],[DESPESAS]]+Tabela2246[[#This Row],[IPI]]+Tabela2246[[#This Row],[Vl. Produto]])*Tabela2246[[#This Row],[Aliq.%]]</f>
        <v>0</v>
      </c>
    </row>
    <row r="301" spans="13:19" x14ac:dyDescent="0.25">
      <c r="M301" s="46"/>
      <c r="N301" s="46"/>
      <c r="O301" s="46"/>
      <c r="P301" s="46"/>
      <c r="R301" s="15">
        <v>7.0000000000000007E-2</v>
      </c>
      <c r="S301" s="18">
        <f>(Tabela2246[[#This Row],[FRETE]]+Tabela2246[[#This Row],[DESPESAS]]+Tabela2246[[#This Row],[IPI]]+Tabela2246[[#This Row],[Vl. Produto]])*Tabela2246[[#This Row],[Aliq.%]]</f>
        <v>0</v>
      </c>
    </row>
    <row r="302" spans="13:19" x14ac:dyDescent="0.25">
      <c r="M302" s="46"/>
      <c r="N302" s="46"/>
      <c r="O302" s="46"/>
      <c r="P302" s="46"/>
      <c r="R302" s="15">
        <v>7.0000000000000007E-2</v>
      </c>
      <c r="S302" s="18">
        <f>(Tabela2246[[#This Row],[FRETE]]+Tabela2246[[#This Row],[DESPESAS]]+Tabela2246[[#This Row],[IPI]]+Tabela2246[[#This Row],[Vl. Produto]])*Tabela2246[[#This Row],[Aliq.%]]</f>
        <v>0</v>
      </c>
    </row>
    <row r="303" spans="13:19" x14ac:dyDescent="0.25">
      <c r="M303" s="46"/>
      <c r="N303" s="46"/>
      <c r="O303" s="46"/>
      <c r="P303" s="46"/>
      <c r="R303" s="15">
        <v>7.0000000000000007E-2</v>
      </c>
      <c r="S303" s="18">
        <f>(Tabela2246[[#This Row],[FRETE]]+Tabela2246[[#This Row],[DESPESAS]]+Tabela2246[[#This Row],[IPI]]+Tabela2246[[#This Row],[Vl. Produto]])*Tabela2246[[#This Row],[Aliq.%]]</f>
        <v>0</v>
      </c>
    </row>
    <row r="304" spans="13:19" x14ac:dyDescent="0.25">
      <c r="M304" s="46"/>
      <c r="N304" s="46"/>
      <c r="O304" s="46"/>
      <c r="P304" s="46"/>
      <c r="R304" s="15">
        <v>7.0000000000000007E-2</v>
      </c>
      <c r="S304" s="18">
        <f>(Tabela2246[[#This Row],[FRETE]]+Tabela2246[[#This Row],[DESPESAS]]+Tabela2246[[#This Row],[IPI]]+Tabela2246[[#This Row],[Vl. Produto]])*Tabela2246[[#This Row],[Aliq.%]]</f>
        <v>0</v>
      </c>
    </row>
    <row r="305" spans="13:19" x14ac:dyDescent="0.25">
      <c r="M305" s="46"/>
      <c r="N305" s="46"/>
      <c r="O305" s="46"/>
      <c r="P305" s="46"/>
      <c r="R305" s="15">
        <v>7.0000000000000007E-2</v>
      </c>
      <c r="S305" s="18">
        <f>(Tabela2246[[#This Row],[FRETE]]+Tabela2246[[#This Row],[DESPESAS]]+Tabela2246[[#This Row],[IPI]]+Tabela2246[[#This Row],[Vl. Produto]])*Tabela2246[[#This Row],[Aliq.%]]</f>
        <v>0</v>
      </c>
    </row>
    <row r="306" spans="13:19" x14ac:dyDescent="0.25">
      <c r="M306" s="46"/>
      <c r="N306" s="46"/>
      <c r="O306" s="46"/>
      <c r="P306" s="46"/>
      <c r="R306" s="15">
        <v>7.0000000000000007E-2</v>
      </c>
      <c r="S306" s="18">
        <f>(Tabela2246[[#This Row],[FRETE]]+Tabela2246[[#This Row],[DESPESAS]]+Tabela2246[[#This Row],[IPI]]+Tabela2246[[#This Row],[Vl. Produto]])*Tabela2246[[#This Row],[Aliq.%]]</f>
        <v>0</v>
      </c>
    </row>
    <row r="307" spans="13:19" x14ac:dyDescent="0.25">
      <c r="M307" s="46"/>
      <c r="N307" s="46"/>
      <c r="O307" s="46"/>
      <c r="P307" s="46"/>
      <c r="R307" s="15">
        <v>7.0000000000000007E-2</v>
      </c>
      <c r="S307" s="18">
        <f>(Tabela2246[[#This Row],[FRETE]]+Tabela2246[[#This Row],[DESPESAS]]+Tabela2246[[#This Row],[IPI]]+Tabela2246[[#This Row],[Vl. Produto]])*Tabela2246[[#This Row],[Aliq.%]]</f>
        <v>0</v>
      </c>
    </row>
    <row r="308" spans="13:19" x14ac:dyDescent="0.25">
      <c r="M308" s="46"/>
      <c r="N308" s="46"/>
      <c r="O308" s="46"/>
      <c r="P308" s="46"/>
      <c r="R308" s="15">
        <v>7.0000000000000007E-2</v>
      </c>
      <c r="S308" s="18">
        <f>(Tabela2246[[#This Row],[FRETE]]+Tabela2246[[#This Row],[DESPESAS]]+Tabela2246[[#This Row],[IPI]]+Tabela2246[[#This Row],[Vl. Produto]])*Tabela2246[[#This Row],[Aliq.%]]</f>
        <v>0</v>
      </c>
    </row>
    <row r="309" spans="13:19" x14ac:dyDescent="0.25">
      <c r="M309" s="46"/>
      <c r="N309" s="46"/>
      <c r="O309" s="46"/>
      <c r="P309" s="46"/>
      <c r="R309" s="15">
        <v>7.0000000000000007E-2</v>
      </c>
      <c r="S309" s="18">
        <f>(Tabela2246[[#This Row],[FRETE]]+Tabela2246[[#This Row],[DESPESAS]]+Tabela2246[[#This Row],[IPI]]+Tabela2246[[#This Row],[Vl. Produto]])*Tabela2246[[#This Row],[Aliq.%]]</f>
        <v>0</v>
      </c>
    </row>
    <row r="310" spans="13:19" x14ac:dyDescent="0.25">
      <c r="M310" s="46"/>
      <c r="N310" s="46"/>
      <c r="O310" s="46"/>
      <c r="P310" s="46"/>
      <c r="R310" s="15">
        <v>7.0000000000000007E-2</v>
      </c>
      <c r="S310" s="18">
        <f>(Tabela2246[[#This Row],[FRETE]]+Tabela2246[[#This Row],[DESPESAS]]+Tabela2246[[#This Row],[IPI]]+Tabela2246[[#This Row],[Vl. Produto]])*Tabela2246[[#This Row],[Aliq.%]]</f>
        <v>0</v>
      </c>
    </row>
    <row r="311" spans="13:19" x14ac:dyDescent="0.25">
      <c r="M311" s="46"/>
      <c r="N311" s="46"/>
      <c r="O311" s="46"/>
      <c r="P311" s="46"/>
      <c r="R311" s="15">
        <v>7.0000000000000007E-2</v>
      </c>
      <c r="S311" s="18">
        <f>(Tabela2246[[#This Row],[FRETE]]+Tabela2246[[#This Row],[DESPESAS]]+Tabela2246[[#This Row],[IPI]]+Tabela2246[[#This Row],[Vl. Produto]])*Tabela2246[[#This Row],[Aliq.%]]</f>
        <v>0</v>
      </c>
    </row>
    <row r="312" spans="13:19" x14ac:dyDescent="0.25">
      <c r="M312" s="46"/>
      <c r="N312" s="46"/>
      <c r="O312" s="46"/>
      <c r="P312" s="46"/>
      <c r="R312" s="15">
        <v>7.0000000000000007E-2</v>
      </c>
      <c r="S312" s="18">
        <f>(Tabela2246[[#This Row],[FRETE]]+Tabela2246[[#This Row],[DESPESAS]]+Tabela2246[[#This Row],[IPI]]+Tabela2246[[#This Row],[Vl. Produto]])*Tabela2246[[#This Row],[Aliq.%]]</f>
        <v>0</v>
      </c>
    </row>
    <row r="313" spans="13:19" x14ac:dyDescent="0.25">
      <c r="M313" s="46"/>
      <c r="N313" s="46"/>
      <c r="O313" s="46"/>
      <c r="P313" s="46"/>
      <c r="R313" s="15">
        <v>7.0000000000000007E-2</v>
      </c>
      <c r="S313" s="18">
        <f>(Tabela2246[[#This Row],[FRETE]]+Tabela2246[[#This Row],[DESPESAS]]+Tabela2246[[#This Row],[IPI]]+Tabela2246[[#This Row],[Vl. Produto]])*Tabela2246[[#This Row],[Aliq.%]]</f>
        <v>0</v>
      </c>
    </row>
    <row r="314" spans="13:19" x14ac:dyDescent="0.25">
      <c r="M314" s="46"/>
      <c r="N314" s="46"/>
      <c r="O314" s="46"/>
      <c r="P314" s="46"/>
      <c r="R314" s="15">
        <v>7.0000000000000007E-2</v>
      </c>
      <c r="S314" s="18">
        <f>(Tabela2246[[#This Row],[FRETE]]+Tabela2246[[#This Row],[DESPESAS]]+Tabela2246[[#This Row],[IPI]]+Tabela2246[[#This Row],[Vl. Produto]])*Tabela2246[[#This Row],[Aliq.%]]</f>
        <v>0</v>
      </c>
    </row>
    <row r="315" spans="13:19" x14ac:dyDescent="0.25">
      <c r="M315" s="46"/>
      <c r="N315" s="46"/>
      <c r="O315" s="46"/>
      <c r="P315" s="46"/>
      <c r="R315" s="15">
        <v>7.0000000000000007E-2</v>
      </c>
      <c r="S315" s="18">
        <f>(Tabela2246[[#This Row],[FRETE]]+Tabela2246[[#This Row],[DESPESAS]]+Tabela2246[[#This Row],[IPI]]+Tabela2246[[#This Row],[Vl. Produto]])*Tabela2246[[#This Row],[Aliq.%]]</f>
        <v>0</v>
      </c>
    </row>
    <row r="316" spans="13:19" x14ac:dyDescent="0.25">
      <c r="M316" s="46"/>
      <c r="N316" s="46"/>
      <c r="O316" s="46"/>
      <c r="P316" s="46"/>
      <c r="R316" s="15">
        <v>7.0000000000000007E-2</v>
      </c>
      <c r="S316" s="18">
        <f>(Tabela2246[[#This Row],[FRETE]]+Tabela2246[[#This Row],[DESPESAS]]+Tabela2246[[#This Row],[IPI]]+Tabela2246[[#This Row],[Vl. Produto]])*Tabela2246[[#This Row],[Aliq.%]]</f>
        <v>0</v>
      </c>
    </row>
    <row r="317" spans="13:19" x14ac:dyDescent="0.25">
      <c r="M317" s="46"/>
      <c r="N317" s="46"/>
      <c r="O317" s="46"/>
      <c r="P317" s="46"/>
      <c r="R317" s="15">
        <v>7.0000000000000007E-2</v>
      </c>
      <c r="S317" s="18">
        <f>(Tabela2246[[#This Row],[FRETE]]+Tabela2246[[#This Row],[DESPESAS]]+Tabela2246[[#This Row],[IPI]]+Tabela2246[[#This Row],[Vl. Produto]])*Tabela2246[[#This Row],[Aliq.%]]</f>
        <v>0</v>
      </c>
    </row>
    <row r="318" spans="13:19" x14ac:dyDescent="0.25">
      <c r="M318" s="46"/>
      <c r="N318" s="46"/>
      <c r="O318" s="46"/>
      <c r="P318" s="46"/>
      <c r="R318" s="15">
        <v>7.0000000000000007E-2</v>
      </c>
      <c r="S318" s="18">
        <f>(Tabela2246[[#This Row],[FRETE]]+Tabela2246[[#This Row],[DESPESAS]]+Tabela2246[[#This Row],[IPI]]+Tabela2246[[#This Row],[Vl. Produto]])*Tabela2246[[#This Row],[Aliq.%]]</f>
        <v>0</v>
      </c>
    </row>
    <row r="319" spans="13:19" x14ac:dyDescent="0.25">
      <c r="M319" s="46"/>
      <c r="N319" s="46"/>
      <c r="O319" s="46"/>
      <c r="P319" s="46"/>
      <c r="R319" s="15">
        <v>7.0000000000000007E-2</v>
      </c>
      <c r="S319" s="18">
        <f>(Tabela2246[[#This Row],[FRETE]]+Tabela2246[[#This Row],[DESPESAS]]+Tabela2246[[#This Row],[IPI]]+Tabela2246[[#This Row],[Vl. Produto]])*Tabela2246[[#This Row],[Aliq.%]]</f>
        <v>0</v>
      </c>
    </row>
    <row r="320" spans="13:19" x14ac:dyDescent="0.25">
      <c r="M320" s="46"/>
      <c r="N320" s="46"/>
      <c r="O320" s="46"/>
      <c r="P320" s="46"/>
      <c r="R320" s="15">
        <v>7.0000000000000007E-2</v>
      </c>
      <c r="S320" s="18">
        <f>(Tabela2246[[#This Row],[FRETE]]+Tabela2246[[#This Row],[DESPESAS]]+Tabela2246[[#This Row],[IPI]]+Tabela2246[[#This Row],[Vl. Produto]])*Tabela2246[[#This Row],[Aliq.%]]</f>
        <v>0</v>
      </c>
    </row>
    <row r="321" spans="13:19" x14ac:dyDescent="0.25">
      <c r="M321" s="46"/>
      <c r="N321" s="46"/>
      <c r="O321" s="46"/>
      <c r="P321" s="46"/>
      <c r="R321" s="15">
        <v>7.0000000000000007E-2</v>
      </c>
      <c r="S321" s="18">
        <f>(Tabela2246[[#This Row],[FRETE]]+Tabela2246[[#This Row],[DESPESAS]]+Tabela2246[[#This Row],[IPI]]+Tabela2246[[#This Row],[Vl. Produto]])*Tabela2246[[#This Row],[Aliq.%]]</f>
        <v>0</v>
      </c>
    </row>
    <row r="322" spans="13:19" x14ac:dyDescent="0.25">
      <c r="M322" s="46"/>
      <c r="N322" s="46"/>
      <c r="O322" s="46"/>
      <c r="P322" s="46"/>
      <c r="R322" s="15">
        <v>7.0000000000000007E-2</v>
      </c>
      <c r="S322" s="18">
        <f>(Tabela2246[[#This Row],[FRETE]]+Tabela2246[[#This Row],[DESPESAS]]+Tabela2246[[#This Row],[IPI]]+Tabela2246[[#This Row],[Vl. Produto]])*Tabela2246[[#This Row],[Aliq.%]]</f>
        <v>0</v>
      </c>
    </row>
    <row r="323" spans="13:19" x14ac:dyDescent="0.25">
      <c r="M323" s="46"/>
      <c r="N323" s="46"/>
      <c r="O323" s="46"/>
      <c r="P323" s="46"/>
      <c r="R323" s="15">
        <v>7.0000000000000007E-2</v>
      </c>
      <c r="S323" s="18">
        <f>(Tabela2246[[#This Row],[FRETE]]+Tabela2246[[#This Row],[DESPESAS]]+Tabela2246[[#This Row],[IPI]]+Tabela2246[[#This Row],[Vl. Produto]])*Tabela2246[[#This Row],[Aliq.%]]</f>
        <v>0</v>
      </c>
    </row>
    <row r="324" spans="13:19" x14ac:dyDescent="0.25">
      <c r="M324" s="46"/>
      <c r="N324" s="46"/>
      <c r="O324" s="46"/>
      <c r="P324" s="46"/>
      <c r="R324" s="15">
        <v>7.0000000000000007E-2</v>
      </c>
      <c r="S324" s="18">
        <f>(Tabela2246[[#This Row],[FRETE]]+Tabela2246[[#This Row],[DESPESAS]]+Tabela2246[[#This Row],[IPI]]+Tabela2246[[#This Row],[Vl. Produto]])*Tabela2246[[#This Row],[Aliq.%]]</f>
        <v>0</v>
      </c>
    </row>
    <row r="325" spans="13:19" x14ac:dyDescent="0.25">
      <c r="M325" s="46"/>
      <c r="N325" s="46"/>
      <c r="O325" s="46"/>
      <c r="P325" s="46"/>
      <c r="R325" s="15">
        <v>7.0000000000000007E-2</v>
      </c>
      <c r="S325" s="18">
        <f>(Tabela2246[[#This Row],[FRETE]]+Tabela2246[[#This Row],[DESPESAS]]+Tabela2246[[#This Row],[IPI]]+Tabela2246[[#This Row],[Vl. Produto]])*Tabela2246[[#This Row],[Aliq.%]]</f>
        <v>0</v>
      </c>
    </row>
    <row r="326" spans="13:19" x14ac:dyDescent="0.25">
      <c r="M326" s="46"/>
      <c r="N326" s="46"/>
      <c r="O326" s="46"/>
      <c r="P326" s="46"/>
      <c r="R326" s="15">
        <v>7.0000000000000007E-2</v>
      </c>
      <c r="S326" s="18">
        <f>(Tabela2246[[#This Row],[FRETE]]+Tabela2246[[#This Row],[DESPESAS]]+Tabela2246[[#This Row],[IPI]]+Tabela2246[[#This Row],[Vl. Produto]])*Tabela2246[[#This Row],[Aliq.%]]</f>
        <v>0</v>
      </c>
    </row>
    <row r="327" spans="13:19" x14ac:dyDescent="0.25">
      <c r="M327" s="46"/>
      <c r="N327" s="46"/>
      <c r="O327" s="46"/>
      <c r="P327" s="46"/>
      <c r="R327" s="15">
        <v>7.0000000000000007E-2</v>
      </c>
      <c r="S327" s="18">
        <f>(Tabela2246[[#This Row],[FRETE]]+Tabela2246[[#This Row],[DESPESAS]]+Tabela2246[[#This Row],[IPI]]+Tabela2246[[#This Row],[Vl. Produto]])*Tabela2246[[#This Row],[Aliq.%]]</f>
        <v>0</v>
      </c>
    </row>
    <row r="328" spans="13:19" x14ac:dyDescent="0.25">
      <c r="M328" s="46"/>
      <c r="N328" s="46"/>
      <c r="O328" s="46"/>
      <c r="P328" s="46"/>
      <c r="R328" s="15">
        <v>7.0000000000000007E-2</v>
      </c>
      <c r="S328" s="18">
        <f>(Tabela2246[[#This Row],[FRETE]]+Tabela2246[[#This Row],[DESPESAS]]+Tabela2246[[#This Row],[IPI]]+Tabela2246[[#This Row],[Vl. Produto]])*Tabela2246[[#This Row],[Aliq.%]]</f>
        <v>0</v>
      </c>
    </row>
    <row r="329" spans="13:19" x14ac:dyDescent="0.25">
      <c r="M329" s="46"/>
      <c r="N329" s="46"/>
      <c r="O329" s="46"/>
      <c r="P329" s="46"/>
      <c r="R329" s="15">
        <v>7.0000000000000007E-2</v>
      </c>
      <c r="S329" s="18">
        <f>(Tabela2246[[#This Row],[FRETE]]+Tabela2246[[#This Row],[DESPESAS]]+Tabela2246[[#This Row],[IPI]]+Tabela2246[[#This Row],[Vl. Produto]])*Tabela2246[[#This Row],[Aliq.%]]</f>
        <v>0</v>
      </c>
    </row>
    <row r="330" spans="13:19" x14ac:dyDescent="0.25">
      <c r="M330" s="46"/>
      <c r="N330" s="46"/>
      <c r="O330" s="46"/>
      <c r="P330" s="46"/>
      <c r="R330" s="15">
        <v>7.0000000000000007E-2</v>
      </c>
      <c r="S330" s="18">
        <f>(Tabela2246[[#This Row],[FRETE]]+Tabela2246[[#This Row],[DESPESAS]]+Tabela2246[[#This Row],[IPI]]+Tabela2246[[#This Row],[Vl. Produto]])*Tabela2246[[#This Row],[Aliq.%]]</f>
        <v>0</v>
      </c>
    </row>
    <row r="331" spans="13:19" x14ac:dyDescent="0.25">
      <c r="M331" s="46"/>
      <c r="N331" s="46"/>
      <c r="O331" s="46"/>
      <c r="P331" s="46"/>
      <c r="R331" s="15">
        <v>7.0000000000000007E-2</v>
      </c>
      <c r="S331" s="18">
        <f>(Tabela2246[[#This Row],[FRETE]]+Tabela2246[[#This Row],[DESPESAS]]+Tabela2246[[#This Row],[IPI]]+Tabela2246[[#This Row],[Vl. Produto]])*Tabela2246[[#This Row],[Aliq.%]]</f>
        <v>0</v>
      </c>
    </row>
    <row r="332" spans="13:19" x14ac:dyDescent="0.25">
      <c r="M332" s="46"/>
      <c r="N332" s="46"/>
      <c r="O332" s="46"/>
      <c r="P332" s="46"/>
      <c r="R332" s="15">
        <v>7.0000000000000007E-2</v>
      </c>
      <c r="S332" s="18">
        <f>(Tabela2246[[#This Row],[FRETE]]+Tabela2246[[#This Row],[DESPESAS]]+Tabela2246[[#This Row],[IPI]]+Tabela2246[[#This Row],[Vl. Produto]])*Tabela2246[[#This Row],[Aliq.%]]</f>
        <v>0</v>
      </c>
    </row>
    <row r="333" spans="13:19" x14ac:dyDescent="0.25">
      <c r="M333" s="46"/>
      <c r="N333" s="46"/>
      <c r="O333" s="46"/>
      <c r="P333" s="46"/>
      <c r="R333" s="15">
        <v>7.0000000000000007E-2</v>
      </c>
      <c r="S333" s="18">
        <f>(Tabela2246[[#This Row],[FRETE]]+Tabela2246[[#This Row],[DESPESAS]]+Tabela2246[[#This Row],[IPI]]+Tabela2246[[#This Row],[Vl. Produto]])*Tabela2246[[#This Row],[Aliq.%]]</f>
        <v>0</v>
      </c>
    </row>
    <row r="334" spans="13:19" x14ac:dyDescent="0.25">
      <c r="M334" s="46"/>
      <c r="N334" s="46"/>
      <c r="O334" s="46"/>
      <c r="P334" s="46"/>
      <c r="R334" s="15">
        <v>7.0000000000000007E-2</v>
      </c>
      <c r="S334" s="18">
        <f>(Tabela2246[[#This Row],[FRETE]]+Tabela2246[[#This Row],[DESPESAS]]+Tabela2246[[#This Row],[IPI]]+Tabela2246[[#This Row],[Vl. Produto]])*Tabela2246[[#This Row],[Aliq.%]]</f>
        <v>0</v>
      </c>
    </row>
    <row r="335" spans="13:19" x14ac:dyDescent="0.25">
      <c r="M335" s="46"/>
      <c r="N335" s="46"/>
      <c r="O335" s="46"/>
      <c r="P335" s="46"/>
      <c r="R335" s="15">
        <v>7.0000000000000007E-2</v>
      </c>
      <c r="S335" s="18">
        <f>(Tabela2246[[#This Row],[FRETE]]+Tabela2246[[#This Row],[DESPESAS]]+Tabela2246[[#This Row],[IPI]]+Tabela2246[[#This Row],[Vl. Produto]])*Tabela2246[[#This Row],[Aliq.%]]</f>
        <v>0</v>
      </c>
    </row>
    <row r="336" spans="13:19" x14ac:dyDescent="0.25">
      <c r="M336" s="46"/>
      <c r="N336" s="46"/>
      <c r="O336" s="46"/>
      <c r="P336" s="46"/>
      <c r="R336" s="15">
        <v>7.0000000000000007E-2</v>
      </c>
      <c r="S336" s="18">
        <f>(Tabela2246[[#This Row],[FRETE]]+Tabela2246[[#This Row],[DESPESAS]]+Tabela2246[[#This Row],[IPI]]+Tabela2246[[#This Row],[Vl. Produto]])*Tabela2246[[#This Row],[Aliq.%]]</f>
        <v>0</v>
      </c>
    </row>
    <row r="337" spans="13:19" x14ac:dyDescent="0.25">
      <c r="M337" s="46"/>
      <c r="N337" s="46"/>
      <c r="O337" s="46"/>
      <c r="P337" s="46"/>
      <c r="R337" s="15">
        <v>7.0000000000000007E-2</v>
      </c>
      <c r="S337" s="18">
        <f>(Tabela2246[[#This Row],[FRETE]]+Tabela2246[[#This Row],[DESPESAS]]+Tabela2246[[#This Row],[IPI]]+Tabela2246[[#This Row],[Vl. Produto]])*Tabela2246[[#This Row],[Aliq.%]]</f>
        <v>0</v>
      </c>
    </row>
    <row r="338" spans="13:19" x14ac:dyDescent="0.25">
      <c r="M338" s="46"/>
      <c r="N338" s="46"/>
      <c r="O338" s="46"/>
      <c r="P338" s="46"/>
      <c r="R338" s="15">
        <v>7.0000000000000007E-2</v>
      </c>
      <c r="S338" s="18">
        <f>(Tabela2246[[#This Row],[FRETE]]+Tabela2246[[#This Row],[DESPESAS]]+Tabela2246[[#This Row],[IPI]]+Tabela2246[[#This Row],[Vl. Produto]])*Tabela2246[[#This Row],[Aliq.%]]</f>
        <v>0</v>
      </c>
    </row>
    <row r="339" spans="13:19" x14ac:dyDescent="0.25">
      <c r="M339" s="46"/>
      <c r="N339" s="46"/>
      <c r="O339" s="46"/>
      <c r="P339" s="46"/>
      <c r="R339" s="15">
        <v>7.0000000000000007E-2</v>
      </c>
      <c r="S339" s="18">
        <f>(Tabela2246[[#This Row],[FRETE]]+Tabela2246[[#This Row],[DESPESAS]]+Tabela2246[[#This Row],[IPI]]+Tabela2246[[#This Row],[Vl. Produto]])*Tabela2246[[#This Row],[Aliq.%]]</f>
        <v>0</v>
      </c>
    </row>
    <row r="340" spans="13:19" x14ac:dyDescent="0.25">
      <c r="M340" s="46"/>
      <c r="N340" s="46"/>
      <c r="O340" s="46"/>
      <c r="P340" s="46"/>
      <c r="R340" s="15">
        <v>7.0000000000000007E-2</v>
      </c>
      <c r="S340" s="18">
        <f>(Tabela2246[[#This Row],[FRETE]]+Tabela2246[[#This Row],[DESPESAS]]+Tabela2246[[#This Row],[IPI]]+Tabela2246[[#This Row],[Vl. Produto]])*Tabela2246[[#This Row],[Aliq.%]]</f>
        <v>0</v>
      </c>
    </row>
    <row r="341" spans="13:19" x14ac:dyDescent="0.25">
      <c r="M341" s="46"/>
      <c r="N341" s="46"/>
      <c r="O341" s="46"/>
      <c r="P341" s="46"/>
      <c r="R341" s="15">
        <v>7.0000000000000007E-2</v>
      </c>
      <c r="S341" s="18">
        <f>(Tabela2246[[#This Row],[FRETE]]+Tabela2246[[#This Row],[DESPESAS]]+Tabela2246[[#This Row],[IPI]]+Tabela2246[[#This Row],[Vl. Produto]])*Tabela2246[[#This Row],[Aliq.%]]</f>
        <v>0</v>
      </c>
    </row>
    <row r="342" spans="13:19" x14ac:dyDescent="0.25">
      <c r="M342" s="46"/>
      <c r="N342" s="46"/>
      <c r="O342" s="46"/>
      <c r="P342" s="46"/>
      <c r="R342" s="15">
        <v>7.0000000000000007E-2</v>
      </c>
      <c r="S342" s="18">
        <f>(Tabela2246[[#This Row],[FRETE]]+Tabela2246[[#This Row],[DESPESAS]]+Tabela2246[[#This Row],[IPI]]+Tabela2246[[#This Row],[Vl. Produto]])*Tabela2246[[#This Row],[Aliq.%]]</f>
        <v>0</v>
      </c>
    </row>
    <row r="343" spans="13:19" x14ac:dyDescent="0.25">
      <c r="M343" s="46"/>
      <c r="N343" s="46"/>
      <c r="O343" s="46"/>
      <c r="P343" s="46"/>
      <c r="R343" s="15">
        <v>7.0000000000000007E-2</v>
      </c>
      <c r="S343" s="18">
        <f>(Tabela2246[[#This Row],[FRETE]]+Tabela2246[[#This Row],[DESPESAS]]+Tabela2246[[#This Row],[IPI]]+Tabela2246[[#This Row],[Vl. Produto]])*Tabela2246[[#This Row],[Aliq.%]]</f>
        <v>0</v>
      </c>
    </row>
    <row r="344" spans="13:19" x14ac:dyDescent="0.25">
      <c r="M344" s="46"/>
      <c r="N344" s="46"/>
      <c r="O344" s="46"/>
      <c r="P344" s="46"/>
      <c r="R344" s="15">
        <v>7.0000000000000007E-2</v>
      </c>
      <c r="S344" s="18">
        <f>(Tabela2246[[#This Row],[FRETE]]+Tabela2246[[#This Row],[DESPESAS]]+Tabela2246[[#This Row],[IPI]]+Tabela2246[[#This Row],[Vl. Produto]])*Tabela2246[[#This Row],[Aliq.%]]</f>
        <v>0</v>
      </c>
    </row>
    <row r="345" spans="13:19" x14ac:dyDescent="0.25">
      <c r="M345" s="46"/>
      <c r="N345" s="46"/>
      <c r="O345" s="46"/>
      <c r="P345" s="46"/>
      <c r="R345" s="15">
        <v>7.0000000000000007E-2</v>
      </c>
      <c r="S345" s="18">
        <f>(Tabela2246[[#This Row],[FRETE]]+Tabela2246[[#This Row],[DESPESAS]]+Tabela2246[[#This Row],[IPI]]+Tabela2246[[#This Row],[Vl. Produto]])*Tabela2246[[#This Row],[Aliq.%]]</f>
        <v>0</v>
      </c>
    </row>
    <row r="346" spans="13:19" x14ac:dyDescent="0.25">
      <c r="M346" s="46"/>
      <c r="N346" s="46"/>
      <c r="O346" s="46"/>
      <c r="P346" s="46"/>
      <c r="R346" s="15">
        <v>7.0000000000000007E-2</v>
      </c>
      <c r="S346" s="18">
        <f>(Tabela2246[[#This Row],[FRETE]]+Tabela2246[[#This Row],[DESPESAS]]+Tabela2246[[#This Row],[IPI]]+Tabela2246[[#This Row],[Vl. Produto]])*Tabela2246[[#This Row],[Aliq.%]]</f>
        <v>0</v>
      </c>
    </row>
    <row r="347" spans="13:19" x14ac:dyDescent="0.25">
      <c r="M347" s="46"/>
      <c r="N347" s="46"/>
      <c r="O347" s="46"/>
      <c r="P347" s="46"/>
      <c r="R347" s="15">
        <v>7.0000000000000007E-2</v>
      </c>
      <c r="S347" s="18">
        <f>(Tabela2246[[#This Row],[FRETE]]+Tabela2246[[#This Row],[DESPESAS]]+Tabela2246[[#This Row],[IPI]]+Tabela2246[[#This Row],[Vl. Produto]])*Tabela2246[[#This Row],[Aliq.%]]</f>
        <v>0</v>
      </c>
    </row>
    <row r="348" spans="13:19" x14ac:dyDescent="0.25">
      <c r="M348" s="46"/>
      <c r="N348" s="46"/>
      <c r="O348" s="46"/>
      <c r="P348" s="46"/>
      <c r="R348" s="15">
        <v>7.0000000000000007E-2</v>
      </c>
      <c r="S348" s="18">
        <f>(Tabela2246[[#This Row],[FRETE]]+Tabela2246[[#This Row],[DESPESAS]]+Tabela2246[[#This Row],[IPI]]+Tabela2246[[#This Row],[Vl. Produto]])*Tabela2246[[#This Row],[Aliq.%]]</f>
        <v>0</v>
      </c>
    </row>
    <row r="349" spans="13:19" x14ac:dyDescent="0.25">
      <c r="M349" s="46"/>
      <c r="N349" s="46"/>
      <c r="O349" s="46"/>
      <c r="P349" s="46"/>
      <c r="R349" s="15">
        <v>7.0000000000000007E-2</v>
      </c>
      <c r="S349" s="18">
        <f>(Tabela2246[[#This Row],[FRETE]]+Tabela2246[[#This Row],[DESPESAS]]+Tabela2246[[#This Row],[IPI]]+Tabela2246[[#This Row],[Vl. Produto]])*Tabela2246[[#This Row],[Aliq.%]]</f>
        <v>0</v>
      </c>
    </row>
    <row r="350" spans="13:19" x14ac:dyDescent="0.25">
      <c r="M350" s="46"/>
      <c r="N350" s="46"/>
      <c r="O350" s="46"/>
      <c r="P350" s="46"/>
      <c r="R350" s="15">
        <v>7.0000000000000007E-2</v>
      </c>
      <c r="S350" s="18">
        <f>(Tabela2246[[#This Row],[FRETE]]+Tabela2246[[#This Row],[DESPESAS]]+Tabela2246[[#This Row],[IPI]]+Tabela2246[[#This Row],[Vl. Produto]])*Tabela2246[[#This Row],[Aliq.%]]</f>
        <v>0</v>
      </c>
    </row>
    <row r="351" spans="13:19" x14ac:dyDescent="0.25">
      <c r="M351" s="46"/>
      <c r="N351" s="46"/>
      <c r="O351" s="46"/>
      <c r="P351" s="46"/>
      <c r="R351" s="15">
        <v>7.0000000000000007E-2</v>
      </c>
      <c r="S351" s="18">
        <f>(Tabela2246[[#This Row],[FRETE]]+Tabela2246[[#This Row],[DESPESAS]]+Tabela2246[[#This Row],[IPI]]+Tabela2246[[#This Row],[Vl. Produto]])*Tabela2246[[#This Row],[Aliq.%]]</f>
        <v>0</v>
      </c>
    </row>
    <row r="352" spans="13:19" x14ac:dyDescent="0.25">
      <c r="M352" s="46"/>
      <c r="N352" s="46"/>
      <c r="O352" s="46"/>
      <c r="P352" s="46"/>
      <c r="R352" s="15">
        <v>7.0000000000000007E-2</v>
      </c>
      <c r="S352" s="18">
        <f>(Tabela2246[[#This Row],[FRETE]]+Tabela2246[[#This Row],[DESPESAS]]+Tabela2246[[#This Row],[IPI]]+Tabela2246[[#This Row],[Vl. Produto]])*Tabela2246[[#This Row],[Aliq.%]]</f>
        <v>0</v>
      </c>
    </row>
    <row r="353" spans="13:19" x14ac:dyDescent="0.25">
      <c r="M353" s="46"/>
      <c r="N353" s="46"/>
      <c r="O353" s="46"/>
      <c r="P353" s="46"/>
      <c r="R353" s="15">
        <v>7.0000000000000007E-2</v>
      </c>
      <c r="S353" s="18">
        <f>(Tabela2246[[#This Row],[FRETE]]+Tabela2246[[#This Row],[DESPESAS]]+Tabela2246[[#This Row],[IPI]]+Tabela2246[[#This Row],[Vl. Produto]])*Tabela2246[[#This Row],[Aliq.%]]</f>
        <v>0</v>
      </c>
    </row>
    <row r="354" spans="13:19" x14ac:dyDescent="0.25">
      <c r="M354" s="46"/>
      <c r="N354" s="46"/>
      <c r="O354" s="46"/>
      <c r="P354" s="46"/>
      <c r="R354" s="15">
        <v>7.0000000000000007E-2</v>
      </c>
      <c r="S354" s="18">
        <f>(Tabela2246[[#This Row],[FRETE]]+Tabela2246[[#This Row],[DESPESAS]]+Tabela2246[[#This Row],[IPI]]+Tabela2246[[#This Row],[Vl. Produto]])*Tabela2246[[#This Row],[Aliq.%]]</f>
        <v>0</v>
      </c>
    </row>
    <row r="355" spans="13:19" x14ac:dyDescent="0.25">
      <c r="M355" s="46"/>
      <c r="N355" s="46"/>
      <c r="O355" s="46"/>
      <c r="P355" s="46"/>
      <c r="R355" s="15">
        <v>7.0000000000000007E-2</v>
      </c>
      <c r="S355" s="18">
        <f>(Tabela2246[[#This Row],[FRETE]]+Tabela2246[[#This Row],[DESPESAS]]+Tabela2246[[#This Row],[IPI]]+Tabela2246[[#This Row],[Vl. Produto]])*Tabela2246[[#This Row],[Aliq.%]]</f>
        <v>0</v>
      </c>
    </row>
    <row r="356" spans="13:19" x14ac:dyDescent="0.25">
      <c r="M356" s="46"/>
      <c r="N356" s="46"/>
      <c r="O356" s="46"/>
      <c r="P356" s="46"/>
      <c r="R356" s="15">
        <v>7.0000000000000007E-2</v>
      </c>
      <c r="S356" s="18">
        <f>(Tabela2246[[#This Row],[FRETE]]+Tabela2246[[#This Row],[DESPESAS]]+Tabela2246[[#This Row],[IPI]]+Tabela2246[[#This Row],[Vl. Produto]])*Tabela2246[[#This Row],[Aliq.%]]</f>
        <v>0</v>
      </c>
    </row>
    <row r="357" spans="13:19" x14ac:dyDescent="0.25">
      <c r="M357" s="46"/>
      <c r="N357" s="46"/>
      <c r="O357" s="46"/>
      <c r="P357" s="46"/>
      <c r="R357" s="15">
        <v>7.0000000000000007E-2</v>
      </c>
      <c r="S357" s="18">
        <f>(Tabela2246[[#This Row],[FRETE]]+Tabela2246[[#This Row],[DESPESAS]]+Tabela2246[[#This Row],[IPI]]+Tabela2246[[#This Row],[Vl. Produto]])*Tabela2246[[#This Row],[Aliq.%]]</f>
        <v>0</v>
      </c>
    </row>
    <row r="358" spans="13:19" x14ac:dyDescent="0.25">
      <c r="M358" s="46"/>
      <c r="N358" s="46"/>
      <c r="O358" s="46"/>
      <c r="P358" s="46"/>
      <c r="R358" s="15">
        <v>7.0000000000000007E-2</v>
      </c>
      <c r="S358" s="18">
        <f>(Tabela2246[[#This Row],[FRETE]]+Tabela2246[[#This Row],[DESPESAS]]+Tabela2246[[#This Row],[IPI]]+Tabela2246[[#This Row],[Vl. Produto]])*Tabela2246[[#This Row],[Aliq.%]]</f>
        <v>0</v>
      </c>
    </row>
    <row r="359" spans="13:19" x14ac:dyDescent="0.25">
      <c r="M359" s="46"/>
      <c r="N359" s="46"/>
      <c r="O359" s="46"/>
      <c r="P359" s="46"/>
      <c r="R359" s="15">
        <v>7.0000000000000007E-2</v>
      </c>
      <c r="S359" s="18">
        <f>(Tabela2246[[#This Row],[FRETE]]+Tabela2246[[#This Row],[DESPESAS]]+Tabela2246[[#This Row],[IPI]]+Tabela2246[[#This Row],[Vl. Produto]])*Tabela2246[[#This Row],[Aliq.%]]</f>
        <v>0</v>
      </c>
    </row>
    <row r="360" spans="13:19" x14ac:dyDescent="0.25">
      <c r="M360" s="46"/>
      <c r="N360" s="46"/>
      <c r="O360" s="46"/>
      <c r="P360" s="46"/>
      <c r="R360" s="15">
        <v>7.0000000000000007E-2</v>
      </c>
      <c r="S360" s="18">
        <f>(Tabela2246[[#This Row],[FRETE]]+Tabela2246[[#This Row],[DESPESAS]]+Tabela2246[[#This Row],[IPI]]+Tabela2246[[#This Row],[Vl. Produto]])*Tabela2246[[#This Row],[Aliq.%]]</f>
        <v>0</v>
      </c>
    </row>
    <row r="361" spans="13:19" x14ac:dyDescent="0.25">
      <c r="M361" s="46"/>
      <c r="N361" s="46"/>
      <c r="O361" s="46"/>
      <c r="P361" s="46"/>
      <c r="R361" s="15">
        <v>7.0000000000000007E-2</v>
      </c>
      <c r="S361" s="18">
        <f>(Tabela2246[[#This Row],[FRETE]]+Tabela2246[[#This Row],[DESPESAS]]+Tabela2246[[#This Row],[IPI]]+Tabela2246[[#This Row],[Vl. Produto]])*Tabela2246[[#This Row],[Aliq.%]]</f>
        <v>0</v>
      </c>
    </row>
    <row r="362" spans="13:19" x14ac:dyDescent="0.25">
      <c r="M362" s="46"/>
      <c r="N362" s="46"/>
      <c r="O362" s="46"/>
      <c r="P362" s="46"/>
      <c r="R362" s="15">
        <v>7.0000000000000007E-2</v>
      </c>
      <c r="S362" s="18">
        <f>(Tabela2246[[#This Row],[FRETE]]+Tabela2246[[#This Row],[DESPESAS]]+Tabela2246[[#This Row],[IPI]]+Tabela2246[[#This Row],[Vl. Produto]])*Tabela2246[[#This Row],[Aliq.%]]</f>
        <v>0</v>
      </c>
    </row>
    <row r="363" spans="13:19" x14ac:dyDescent="0.25">
      <c r="M363" s="46"/>
      <c r="N363" s="46"/>
      <c r="O363" s="46"/>
      <c r="P363" s="46"/>
      <c r="R363" s="15">
        <v>7.0000000000000007E-2</v>
      </c>
      <c r="S363" s="18">
        <f>(Tabela2246[[#This Row],[FRETE]]+Tabela2246[[#This Row],[DESPESAS]]+Tabela2246[[#This Row],[IPI]]+Tabela2246[[#This Row],[Vl. Produto]])*Tabela2246[[#This Row],[Aliq.%]]</f>
        <v>0</v>
      </c>
    </row>
    <row r="364" spans="13:19" x14ac:dyDescent="0.25">
      <c r="M364" s="46"/>
      <c r="N364" s="46"/>
      <c r="O364" s="46"/>
      <c r="P364" s="46"/>
      <c r="R364" s="15">
        <v>7.0000000000000007E-2</v>
      </c>
      <c r="S364" s="18">
        <f>(Tabela2246[[#This Row],[FRETE]]+Tabela2246[[#This Row],[DESPESAS]]+Tabela2246[[#This Row],[IPI]]+Tabela2246[[#This Row],[Vl. Produto]])*Tabela2246[[#This Row],[Aliq.%]]</f>
        <v>0</v>
      </c>
    </row>
    <row r="365" spans="13:19" x14ac:dyDescent="0.25">
      <c r="M365" s="46"/>
      <c r="N365" s="46"/>
      <c r="O365" s="46"/>
      <c r="P365" s="46"/>
      <c r="R365" s="15">
        <v>7.0000000000000007E-2</v>
      </c>
      <c r="S365" s="18">
        <f>(Tabela2246[[#This Row],[FRETE]]+Tabela2246[[#This Row],[DESPESAS]]+Tabela2246[[#This Row],[IPI]]+Tabela2246[[#This Row],[Vl. Produto]])*Tabela2246[[#This Row],[Aliq.%]]</f>
        <v>0</v>
      </c>
    </row>
    <row r="366" spans="13:19" x14ac:dyDescent="0.25">
      <c r="M366" s="46"/>
      <c r="N366" s="46"/>
      <c r="O366" s="46"/>
      <c r="P366" s="46"/>
      <c r="R366" s="15">
        <v>7.0000000000000007E-2</v>
      </c>
      <c r="S366" s="18">
        <f>(Tabela2246[[#This Row],[FRETE]]+Tabela2246[[#This Row],[DESPESAS]]+Tabela2246[[#This Row],[IPI]]+Tabela2246[[#This Row],[Vl. Produto]])*Tabela2246[[#This Row],[Aliq.%]]</f>
        <v>0</v>
      </c>
    </row>
    <row r="367" spans="13:19" x14ac:dyDescent="0.25">
      <c r="M367" s="46"/>
      <c r="N367" s="46"/>
      <c r="O367" s="46"/>
      <c r="P367" s="46"/>
      <c r="R367" s="15">
        <v>7.0000000000000007E-2</v>
      </c>
      <c r="S367" s="18">
        <f>(Tabela2246[[#This Row],[FRETE]]+Tabela2246[[#This Row],[DESPESAS]]+Tabela2246[[#This Row],[IPI]]+Tabela2246[[#This Row],[Vl. Produto]])*Tabela2246[[#This Row],[Aliq.%]]</f>
        <v>0</v>
      </c>
    </row>
    <row r="368" spans="13:19" x14ac:dyDescent="0.25">
      <c r="M368" s="46"/>
      <c r="N368" s="46"/>
      <c r="O368" s="46"/>
      <c r="P368" s="46"/>
      <c r="R368" s="15">
        <v>7.0000000000000007E-2</v>
      </c>
      <c r="S368" s="18">
        <f>(Tabela2246[[#This Row],[FRETE]]+Tabela2246[[#This Row],[DESPESAS]]+Tabela2246[[#This Row],[IPI]]+Tabela2246[[#This Row],[Vl. Produto]])*Tabela2246[[#This Row],[Aliq.%]]</f>
        <v>0</v>
      </c>
    </row>
    <row r="369" spans="13:19" x14ac:dyDescent="0.25">
      <c r="M369" s="46"/>
      <c r="N369" s="46"/>
      <c r="O369" s="46"/>
      <c r="P369" s="46"/>
      <c r="R369" s="15">
        <v>7.0000000000000007E-2</v>
      </c>
      <c r="S369" s="18">
        <f>(Tabela2246[[#This Row],[FRETE]]+Tabela2246[[#This Row],[DESPESAS]]+Tabela2246[[#This Row],[IPI]]+Tabela2246[[#This Row],[Vl. Produto]])*Tabela2246[[#This Row],[Aliq.%]]</f>
        <v>0</v>
      </c>
    </row>
    <row r="370" spans="13:19" x14ac:dyDescent="0.25">
      <c r="M370" s="46"/>
      <c r="N370" s="46"/>
      <c r="O370" s="46"/>
      <c r="P370" s="46"/>
      <c r="R370" s="15">
        <v>7.0000000000000007E-2</v>
      </c>
      <c r="S370" s="18">
        <f>(Tabela2246[[#This Row],[FRETE]]+Tabela2246[[#This Row],[DESPESAS]]+Tabela2246[[#This Row],[IPI]]+Tabela2246[[#This Row],[Vl. Produto]])*Tabela2246[[#This Row],[Aliq.%]]</f>
        <v>0</v>
      </c>
    </row>
    <row r="371" spans="13:19" x14ac:dyDescent="0.25">
      <c r="M371" s="46"/>
      <c r="N371" s="46"/>
      <c r="O371" s="46"/>
      <c r="P371" s="46"/>
      <c r="R371" s="15">
        <v>7.0000000000000007E-2</v>
      </c>
      <c r="S371" s="18">
        <f>(Tabela2246[[#This Row],[FRETE]]+Tabela2246[[#This Row],[DESPESAS]]+Tabela2246[[#This Row],[IPI]]+Tabela2246[[#This Row],[Vl. Produto]])*Tabela2246[[#This Row],[Aliq.%]]</f>
        <v>0</v>
      </c>
    </row>
    <row r="372" spans="13:19" x14ac:dyDescent="0.25">
      <c r="M372" s="46"/>
      <c r="N372" s="46"/>
      <c r="O372" s="46"/>
      <c r="P372" s="46"/>
      <c r="R372" s="15">
        <v>7.0000000000000007E-2</v>
      </c>
      <c r="S372" s="18">
        <f>(Tabela2246[[#This Row],[FRETE]]+Tabela2246[[#This Row],[DESPESAS]]+Tabela2246[[#This Row],[IPI]]+Tabela2246[[#This Row],[Vl. Produto]])*Tabela2246[[#This Row],[Aliq.%]]</f>
        <v>0</v>
      </c>
    </row>
    <row r="373" spans="13:19" x14ac:dyDescent="0.25">
      <c r="M373" s="46"/>
      <c r="N373" s="46"/>
      <c r="O373" s="46"/>
      <c r="P373" s="46"/>
      <c r="R373" s="15">
        <v>7.0000000000000007E-2</v>
      </c>
      <c r="S373" s="18">
        <f>(Tabela2246[[#This Row],[FRETE]]+Tabela2246[[#This Row],[DESPESAS]]+Tabela2246[[#This Row],[IPI]]+Tabela2246[[#This Row],[Vl. Produto]])*Tabela2246[[#This Row],[Aliq.%]]</f>
        <v>0</v>
      </c>
    </row>
    <row r="374" spans="13:19" x14ac:dyDescent="0.25">
      <c r="M374" s="46"/>
      <c r="N374" s="46"/>
      <c r="O374" s="46"/>
      <c r="P374" s="46"/>
      <c r="R374" s="15">
        <v>7.0000000000000007E-2</v>
      </c>
      <c r="S374" s="18">
        <f>(Tabela2246[[#This Row],[FRETE]]+Tabela2246[[#This Row],[DESPESAS]]+Tabela2246[[#This Row],[IPI]]+Tabela2246[[#This Row],[Vl. Produto]])*Tabela2246[[#This Row],[Aliq.%]]</f>
        <v>0</v>
      </c>
    </row>
    <row r="375" spans="13:19" x14ac:dyDescent="0.25">
      <c r="M375" s="46"/>
      <c r="N375" s="46"/>
      <c r="O375" s="46"/>
      <c r="P375" s="46"/>
      <c r="R375" s="15">
        <v>7.0000000000000007E-2</v>
      </c>
      <c r="S375" s="18">
        <f>(Tabela2246[[#This Row],[FRETE]]+Tabela2246[[#This Row],[DESPESAS]]+Tabela2246[[#This Row],[IPI]]+Tabela2246[[#This Row],[Vl. Produto]])*Tabela2246[[#This Row],[Aliq.%]]</f>
        <v>0</v>
      </c>
    </row>
    <row r="376" spans="13:19" x14ac:dyDescent="0.25">
      <c r="M376" s="46"/>
      <c r="N376" s="46"/>
      <c r="O376" s="46"/>
      <c r="P376" s="46"/>
      <c r="R376" s="15">
        <v>7.0000000000000007E-2</v>
      </c>
      <c r="S376" s="18">
        <f>(Tabela2246[[#This Row],[FRETE]]+Tabela2246[[#This Row],[DESPESAS]]+Tabela2246[[#This Row],[IPI]]+Tabela2246[[#This Row],[Vl. Produto]])*Tabela2246[[#This Row],[Aliq.%]]</f>
        <v>0</v>
      </c>
    </row>
    <row r="377" spans="13:19" x14ac:dyDescent="0.25">
      <c r="M377" s="46"/>
      <c r="N377" s="46"/>
      <c r="O377" s="46"/>
      <c r="P377" s="46"/>
      <c r="R377" s="15">
        <v>7.0000000000000007E-2</v>
      </c>
      <c r="S377" s="18">
        <f>(Tabela2246[[#This Row],[FRETE]]+Tabela2246[[#This Row],[DESPESAS]]+Tabela2246[[#This Row],[IPI]]+Tabela2246[[#This Row],[Vl. Produto]])*Tabela2246[[#This Row],[Aliq.%]]</f>
        <v>0</v>
      </c>
    </row>
    <row r="378" spans="13:19" x14ac:dyDescent="0.25">
      <c r="M378" s="46"/>
      <c r="N378" s="46"/>
      <c r="O378" s="46"/>
      <c r="P378" s="46"/>
      <c r="R378" s="15">
        <v>7.0000000000000007E-2</v>
      </c>
      <c r="S378" s="18">
        <f>(Tabela2246[[#This Row],[FRETE]]+Tabela2246[[#This Row],[DESPESAS]]+Tabela2246[[#This Row],[IPI]]+Tabela2246[[#This Row],[Vl. Produto]])*Tabela2246[[#This Row],[Aliq.%]]</f>
        <v>0</v>
      </c>
    </row>
    <row r="379" spans="13:19" x14ac:dyDescent="0.25">
      <c r="M379" s="46"/>
      <c r="N379" s="46"/>
      <c r="O379" s="46"/>
      <c r="P379" s="46"/>
      <c r="R379" s="15">
        <v>7.0000000000000007E-2</v>
      </c>
      <c r="S379" s="18">
        <f>(Tabela2246[[#This Row],[FRETE]]+Tabela2246[[#This Row],[DESPESAS]]+Tabela2246[[#This Row],[IPI]]+Tabela2246[[#This Row],[Vl. Produto]])*Tabela2246[[#This Row],[Aliq.%]]</f>
        <v>0</v>
      </c>
    </row>
    <row r="380" spans="13:19" x14ac:dyDescent="0.25">
      <c r="M380" s="46"/>
      <c r="N380" s="46"/>
      <c r="O380" s="46"/>
      <c r="P380" s="46"/>
      <c r="R380" s="15">
        <v>7.0000000000000007E-2</v>
      </c>
      <c r="S380" s="18">
        <f>(Tabela2246[[#This Row],[FRETE]]+Tabela2246[[#This Row],[DESPESAS]]+Tabela2246[[#This Row],[IPI]]+Tabela2246[[#This Row],[Vl. Produto]])*Tabela2246[[#This Row],[Aliq.%]]</f>
        <v>0</v>
      </c>
    </row>
    <row r="381" spans="13:19" x14ac:dyDescent="0.25">
      <c r="M381" s="46"/>
      <c r="N381" s="46"/>
      <c r="O381" s="46"/>
      <c r="P381" s="46"/>
      <c r="R381" s="15">
        <v>7.0000000000000007E-2</v>
      </c>
      <c r="S381" s="18">
        <f>(Tabela2246[[#This Row],[FRETE]]+Tabela2246[[#This Row],[DESPESAS]]+Tabela2246[[#This Row],[IPI]]+Tabela2246[[#This Row],[Vl. Produto]])*Tabela2246[[#This Row],[Aliq.%]]</f>
        <v>0</v>
      </c>
    </row>
    <row r="382" spans="13:19" x14ac:dyDescent="0.25">
      <c r="M382" s="46"/>
      <c r="N382" s="46"/>
      <c r="O382" s="46"/>
      <c r="P382" s="46"/>
      <c r="R382" s="15">
        <v>7.0000000000000007E-2</v>
      </c>
      <c r="S382" s="18">
        <f>(Tabela2246[[#This Row],[FRETE]]+Tabela2246[[#This Row],[DESPESAS]]+Tabela2246[[#This Row],[IPI]]+Tabela2246[[#This Row],[Vl. Produto]])*Tabela2246[[#This Row],[Aliq.%]]</f>
        <v>0</v>
      </c>
    </row>
    <row r="383" spans="13:19" x14ac:dyDescent="0.25">
      <c r="M383" s="46"/>
      <c r="N383" s="46"/>
      <c r="O383" s="46"/>
      <c r="P383" s="46"/>
      <c r="R383" s="15">
        <v>7.0000000000000007E-2</v>
      </c>
      <c r="S383" s="18">
        <f>(Tabela2246[[#This Row],[FRETE]]+Tabela2246[[#This Row],[DESPESAS]]+Tabela2246[[#This Row],[IPI]]+Tabela2246[[#This Row],[Vl. Produto]])*Tabela2246[[#This Row],[Aliq.%]]</f>
        <v>0</v>
      </c>
    </row>
    <row r="384" spans="13:19" x14ac:dyDescent="0.25">
      <c r="M384" s="46"/>
      <c r="N384" s="46"/>
      <c r="O384" s="46"/>
      <c r="P384" s="46"/>
      <c r="R384" s="15">
        <v>7.0000000000000007E-2</v>
      </c>
      <c r="S384" s="18">
        <f>(Tabela2246[[#This Row],[FRETE]]+Tabela2246[[#This Row],[DESPESAS]]+Tabela2246[[#This Row],[IPI]]+Tabela2246[[#This Row],[Vl. Produto]])*Tabela2246[[#This Row],[Aliq.%]]</f>
        <v>0</v>
      </c>
    </row>
    <row r="385" spans="13:19" x14ac:dyDescent="0.25">
      <c r="M385" s="46"/>
      <c r="N385" s="46"/>
      <c r="O385" s="46"/>
      <c r="P385" s="46"/>
      <c r="R385" s="15">
        <v>7.0000000000000007E-2</v>
      </c>
      <c r="S385" s="18">
        <f>(Tabela2246[[#This Row],[FRETE]]+Tabela2246[[#This Row],[DESPESAS]]+Tabela2246[[#This Row],[IPI]]+Tabela2246[[#This Row],[Vl. Produto]])*Tabela2246[[#This Row],[Aliq.%]]</f>
        <v>0</v>
      </c>
    </row>
    <row r="386" spans="13:19" x14ac:dyDescent="0.25">
      <c r="M386" s="46"/>
      <c r="N386" s="46"/>
      <c r="O386" s="46"/>
      <c r="P386" s="46"/>
      <c r="R386" s="15">
        <v>7.0000000000000007E-2</v>
      </c>
      <c r="S386" s="18">
        <f>(Tabela2246[[#This Row],[FRETE]]+Tabela2246[[#This Row],[DESPESAS]]+Tabela2246[[#This Row],[IPI]]+Tabela2246[[#This Row],[Vl. Produto]])*Tabela2246[[#This Row],[Aliq.%]]</f>
        <v>0</v>
      </c>
    </row>
    <row r="387" spans="13:19" x14ac:dyDescent="0.25">
      <c r="M387" s="46"/>
      <c r="N387" s="46"/>
      <c r="O387" s="46"/>
      <c r="P387" s="46"/>
      <c r="R387" s="15">
        <v>7.0000000000000007E-2</v>
      </c>
      <c r="S387" s="18">
        <f>(Tabela2246[[#This Row],[FRETE]]+Tabela2246[[#This Row],[DESPESAS]]+Tabela2246[[#This Row],[IPI]]+Tabela2246[[#This Row],[Vl. Produto]])*Tabela2246[[#This Row],[Aliq.%]]</f>
        <v>0</v>
      </c>
    </row>
    <row r="388" spans="13:19" x14ac:dyDescent="0.25">
      <c r="M388" s="46"/>
      <c r="N388" s="46"/>
      <c r="O388" s="46"/>
      <c r="P388" s="46"/>
      <c r="R388" s="15">
        <v>7.0000000000000007E-2</v>
      </c>
      <c r="S388" s="18">
        <f>(Tabela2246[[#This Row],[FRETE]]+Tabela2246[[#This Row],[DESPESAS]]+Tabela2246[[#This Row],[IPI]]+Tabela2246[[#This Row],[Vl. Produto]])*Tabela2246[[#This Row],[Aliq.%]]</f>
        <v>0</v>
      </c>
    </row>
    <row r="389" spans="13:19" x14ac:dyDescent="0.25">
      <c r="M389" s="46"/>
      <c r="N389" s="46"/>
      <c r="O389" s="46"/>
      <c r="P389" s="46"/>
      <c r="R389" s="15">
        <v>7.0000000000000007E-2</v>
      </c>
      <c r="S389" s="18">
        <f>(Tabela2246[[#This Row],[FRETE]]+Tabela2246[[#This Row],[DESPESAS]]+Tabela2246[[#This Row],[IPI]]+Tabela2246[[#This Row],[Vl. Produto]])*Tabela2246[[#This Row],[Aliq.%]]</f>
        <v>0</v>
      </c>
    </row>
    <row r="390" spans="13:19" x14ac:dyDescent="0.25">
      <c r="M390" s="46"/>
      <c r="N390" s="46"/>
      <c r="O390" s="46"/>
      <c r="P390" s="46"/>
      <c r="R390" s="15">
        <v>7.0000000000000007E-2</v>
      </c>
      <c r="S390" s="18">
        <f>(Tabela2246[[#This Row],[FRETE]]+Tabela2246[[#This Row],[DESPESAS]]+Tabela2246[[#This Row],[IPI]]+Tabela2246[[#This Row],[Vl. Produto]])*Tabela2246[[#This Row],[Aliq.%]]</f>
        <v>0</v>
      </c>
    </row>
    <row r="391" spans="13:19" x14ac:dyDescent="0.25">
      <c r="M391" s="46"/>
      <c r="N391" s="46"/>
      <c r="O391" s="46"/>
      <c r="P391" s="46"/>
      <c r="R391" s="15">
        <v>7.0000000000000007E-2</v>
      </c>
      <c r="S391" s="18">
        <f>(Tabela2246[[#This Row],[FRETE]]+Tabela2246[[#This Row],[DESPESAS]]+Tabela2246[[#This Row],[IPI]]+Tabela2246[[#This Row],[Vl. Produto]])*Tabela2246[[#This Row],[Aliq.%]]</f>
        <v>0</v>
      </c>
    </row>
    <row r="392" spans="13:19" x14ac:dyDescent="0.25">
      <c r="M392" s="46"/>
      <c r="N392" s="46"/>
      <c r="O392" s="46"/>
      <c r="P392" s="46"/>
      <c r="R392" s="15">
        <v>7.0000000000000007E-2</v>
      </c>
      <c r="S392" s="18">
        <f>(Tabela2246[[#This Row],[FRETE]]+Tabela2246[[#This Row],[DESPESAS]]+Tabela2246[[#This Row],[IPI]]+Tabela2246[[#This Row],[Vl. Produto]])*Tabela2246[[#This Row],[Aliq.%]]</f>
        <v>0</v>
      </c>
    </row>
    <row r="393" spans="13:19" x14ac:dyDescent="0.25">
      <c r="M393" s="46"/>
      <c r="N393" s="46"/>
      <c r="O393" s="46"/>
      <c r="P393" s="46"/>
      <c r="R393" s="15">
        <v>7.0000000000000007E-2</v>
      </c>
      <c r="S393" s="18">
        <f>(Tabela2246[[#This Row],[FRETE]]+Tabela2246[[#This Row],[DESPESAS]]+Tabela2246[[#This Row],[IPI]]+Tabela2246[[#This Row],[Vl. Produto]])*Tabela2246[[#This Row],[Aliq.%]]</f>
        <v>0</v>
      </c>
    </row>
    <row r="394" spans="13:19" x14ac:dyDescent="0.25">
      <c r="M394" s="46"/>
      <c r="N394" s="46"/>
      <c r="O394" s="46"/>
      <c r="P394" s="46"/>
      <c r="R394" s="15">
        <v>7.0000000000000007E-2</v>
      </c>
      <c r="S394" s="18">
        <f>(Tabela2246[[#This Row],[FRETE]]+Tabela2246[[#This Row],[DESPESAS]]+Tabela2246[[#This Row],[IPI]]+Tabela2246[[#This Row],[Vl. Produto]])*Tabela2246[[#This Row],[Aliq.%]]</f>
        <v>0</v>
      </c>
    </row>
    <row r="395" spans="13:19" x14ac:dyDescent="0.25">
      <c r="M395" s="46"/>
      <c r="N395" s="46"/>
      <c r="O395" s="46"/>
      <c r="P395" s="46"/>
      <c r="R395" s="15">
        <v>7.0000000000000007E-2</v>
      </c>
      <c r="S395" s="18">
        <f>(Tabela2246[[#This Row],[FRETE]]+Tabela2246[[#This Row],[DESPESAS]]+Tabela2246[[#This Row],[IPI]]+Tabela2246[[#This Row],[Vl. Produto]])*Tabela2246[[#This Row],[Aliq.%]]</f>
        <v>0</v>
      </c>
    </row>
    <row r="396" spans="13:19" x14ac:dyDescent="0.25">
      <c r="M396" s="46"/>
      <c r="N396" s="46"/>
      <c r="O396" s="46"/>
      <c r="P396" s="46"/>
      <c r="R396" s="15">
        <v>7.0000000000000007E-2</v>
      </c>
      <c r="S396" s="18">
        <f>(Tabela2246[[#This Row],[FRETE]]+Tabela2246[[#This Row],[DESPESAS]]+Tabela2246[[#This Row],[IPI]]+Tabela2246[[#This Row],[Vl. Produto]])*Tabela2246[[#This Row],[Aliq.%]]</f>
        <v>0</v>
      </c>
    </row>
    <row r="397" spans="13:19" x14ac:dyDescent="0.25">
      <c r="M397" s="46"/>
      <c r="N397" s="46"/>
      <c r="O397" s="46"/>
      <c r="P397" s="46"/>
      <c r="R397" s="15">
        <v>7.0000000000000007E-2</v>
      </c>
      <c r="S397" s="18">
        <f>(Tabela2246[[#This Row],[FRETE]]+Tabela2246[[#This Row],[DESPESAS]]+Tabela2246[[#This Row],[IPI]]+Tabela2246[[#This Row],[Vl. Produto]])*Tabela2246[[#This Row],[Aliq.%]]</f>
        <v>0</v>
      </c>
    </row>
    <row r="398" spans="13:19" x14ac:dyDescent="0.25">
      <c r="M398" s="46"/>
      <c r="N398" s="46"/>
      <c r="O398" s="46"/>
      <c r="P398" s="46"/>
      <c r="R398" s="15">
        <v>7.0000000000000007E-2</v>
      </c>
      <c r="S398" s="18">
        <f>(Tabela2246[[#This Row],[FRETE]]+Tabela2246[[#This Row],[DESPESAS]]+Tabela2246[[#This Row],[IPI]]+Tabela2246[[#This Row],[Vl. Produto]])*Tabela2246[[#This Row],[Aliq.%]]</f>
        <v>0</v>
      </c>
    </row>
    <row r="399" spans="13:19" x14ac:dyDescent="0.25">
      <c r="M399" s="46"/>
      <c r="N399" s="46"/>
      <c r="O399" s="46"/>
      <c r="P399" s="46"/>
      <c r="R399" s="15">
        <v>7.0000000000000007E-2</v>
      </c>
      <c r="S399" s="18">
        <f>(Tabela2246[[#This Row],[FRETE]]+Tabela2246[[#This Row],[DESPESAS]]+Tabela2246[[#This Row],[IPI]]+Tabela2246[[#This Row],[Vl. Produto]])*Tabela2246[[#This Row],[Aliq.%]]</f>
        <v>0</v>
      </c>
    </row>
    <row r="400" spans="13:19" x14ac:dyDescent="0.25">
      <c r="M400" s="46"/>
      <c r="N400" s="46"/>
      <c r="O400" s="46"/>
      <c r="P400" s="46"/>
      <c r="R400" s="15">
        <v>7.0000000000000007E-2</v>
      </c>
      <c r="S400" s="18">
        <f>(Tabela2246[[#This Row],[FRETE]]+Tabela2246[[#This Row],[DESPESAS]]+Tabela2246[[#This Row],[IPI]]+Tabela2246[[#This Row],[Vl. Produto]])*Tabela2246[[#This Row],[Aliq.%]]</f>
        <v>0</v>
      </c>
    </row>
    <row r="401" spans="13:19" x14ac:dyDescent="0.25">
      <c r="M401" s="46"/>
      <c r="N401" s="46"/>
      <c r="O401" s="46"/>
      <c r="P401" s="46"/>
      <c r="R401" s="15">
        <v>7.0000000000000007E-2</v>
      </c>
      <c r="S401" s="18">
        <f>(Tabela2246[[#This Row],[FRETE]]+Tabela2246[[#This Row],[DESPESAS]]+Tabela2246[[#This Row],[IPI]]+Tabela2246[[#This Row],[Vl. Produto]])*Tabela2246[[#This Row],[Aliq.%]]</f>
        <v>0</v>
      </c>
    </row>
    <row r="402" spans="13:19" x14ac:dyDescent="0.25">
      <c r="M402" s="46"/>
      <c r="N402" s="46"/>
      <c r="O402" s="46"/>
      <c r="P402" s="46"/>
      <c r="R402" s="15">
        <v>7.0000000000000007E-2</v>
      </c>
      <c r="S402" s="18">
        <f>(Tabela2246[[#This Row],[FRETE]]+Tabela2246[[#This Row],[DESPESAS]]+Tabela2246[[#This Row],[IPI]]+Tabela2246[[#This Row],[Vl. Produto]])*Tabela2246[[#This Row],[Aliq.%]]</f>
        <v>0</v>
      </c>
    </row>
    <row r="403" spans="13:19" x14ac:dyDescent="0.25">
      <c r="M403" s="46"/>
      <c r="N403" s="46"/>
      <c r="O403" s="46"/>
      <c r="P403" s="46"/>
      <c r="R403" s="15">
        <v>7.0000000000000007E-2</v>
      </c>
      <c r="S403" s="18">
        <f>(Tabela2246[[#This Row],[FRETE]]+Tabela2246[[#This Row],[DESPESAS]]+Tabela2246[[#This Row],[IPI]]+Tabela2246[[#This Row],[Vl. Produto]])*Tabela2246[[#This Row],[Aliq.%]]</f>
        <v>0</v>
      </c>
    </row>
    <row r="404" spans="13:19" x14ac:dyDescent="0.25">
      <c r="M404" s="46"/>
      <c r="N404" s="46"/>
      <c r="O404" s="46"/>
      <c r="P404" s="46"/>
      <c r="R404" s="15">
        <v>7.0000000000000007E-2</v>
      </c>
      <c r="S404" s="18">
        <f>(Tabela2246[[#This Row],[FRETE]]+Tabela2246[[#This Row],[DESPESAS]]+Tabela2246[[#This Row],[IPI]]+Tabela2246[[#This Row],[Vl. Produto]])*Tabela2246[[#This Row],[Aliq.%]]</f>
        <v>0</v>
      </c>
    </row>
    <row r="405" spans="13:19" x14ac:dyDescent="0.25">
      <c r="M405" s="46"/>
      <c r="N405" s="46"/>
      <c r="O405" s="46"/>
      <c r="P405" s="46"/>
      <c r="R405" s="15">
        <v>7.0000000000000007E-2</v>
      </c>
      <c r="S405" s="18">
        <f>(Tabela2246[[#This Row],[FRETE]]+Tabela2246[[#This Row],[DESPESAS]]+Tabela2246[[#This Row],[IPI]]+Tabela2246[[#This Row],[Vl. Produto]])*Tabela2246[[#This Row],[Aliq.%]]</f>
        <v>0</v>
      </c>
    </row>
    <row r="406" spans="13:19" x14ac:dyDescent="0.25">
      <c r="M406" s="46"/>
      <c r="N406" s="46"/>
      <c r="O406" s="46"/>
      <c r="P406" s="46"/>
      <c r="R406" s="15">
        <v>7.0000000000000007E-2</v>
      </c>
      <c r="S406" s="18">
        <f>(Tabela2246[[#This Row],[FRETE]]+Tabela2246[[#This Row],[DESPESAS]]+Tabela2246[[#This Row],[IPI]]+Tabela2246[[#This Row],[Vl. Produto]])*Tabela2246[[#This Row],[Aliq.%]]</f>
        <v>0</v>
      </c>
    </row>
    <row r="407" spans="13:19" x14ac:dyDescent="0.25">
      <c r="M407" s="46"/>
      <c r="N407" s="46"/>
      <c r="O407" s="46"/>
      <c r="P407" s="46"/>
      <c r="R407" s="15">
        <v>7.0000000000000007E-2</v>
      </c>
      <c r="S407" s="18">
        <f>(Tabela2246[[#This Row],[FRETE]]+Tabela2246[[#This Row],[DESPESAS]]+Tabela2246[[#This Row],[IPI]]+Tabela2246[[#This Row],[Vl. Produto]])*Tabela2246[[#This Row],[Aliq.%]]</f>
        <v>0</v>
      </c>
    </row>
    <row r="408" spans="13:19" x14ac:dyDescent="0.25">
      <c r="M408" s="46"/>
      <c r="N408" s="46"/>
      <c r="O408" s="46"/>
      <c r="P408" s="46"/>
      <c r="R408" s="15">
        <v>7.0000000000000007E-2</v>
      </c>
      <c r="S408" s="18">
        <f>(Tabela2246[[#This Row],[FRETE]]+Tabela2246[[#This Row],[DESPESAS]]+Tabela2246[[#This Row],[IPI]]+Tabela2246[[#This Row],[Vl. Produto]])*Tabela2246[[#This Row],[Aliq.%]]</f>
        <v>0</v>
      </c>
    </row>
    <row r="409" spans="13:19" x14ac:dyDescent="0.25">
      <c r="M409" s="46"/>
      <c r="N409" s="46"/>
      <c r="O409" s="46"/>
      <c r="P409" s="46"/>
      <c r="R409" s="15">
        <v>7.0000000000000007E-2</v>
      </c>
      <c r="S409" s="18">
        <f>(Tabela2246[[#This Row],[FRETE]]+Tabela2246[[#This Row],[DESPESAS]]+Tabela2246[[#This Row],[IPI]]+Tabela2246[[#This Row],[Vl. Produto]])*Tabela2246[[#This Row],[Aliq.%]]</f>
        <v>0</v>
      </c>
    </row>
    <row r="410" spans="13:19" x14ac:dyDescent="0.25">
      <c r="M410" s="46"/>
      <c r="N410" s="46"/>
      <c r="O410" s="46"/>
      <c r="P410" s="46"/>
      <c r="R410" s="15">
        <v>7.0000000000000007E-2</v>
      </c>
      <c r="S410" s="18">
        <f>(Tabela2246[[#This Row],[FRETE]]+Tabela2246[[#This Row],[DESPESAS]]+Tabela2246[[#This Row],[IPI]]+Tabela2246[[#This Row],[Vl. Produto]])*Tabela2246[[#This Row],[Aliq.%]]</f>
        <v>0</v>
      </c>
    </row>
    <row r="411" spans="13:19" x14ac:dyDescent="0.25">
      <c r="M411" s="46"/>
      <c r="N411" s="46"/>
      <c r="O411" s="46"/>
      <c r="P411" s="46"/>
      <c r="R411" s="15">
        <v>7.0000000000000007E-2</v>
      </c>
      <c r="S411" s="18">
        <f>(Tabela2246[[#This Row],[FRETE]]+Tabela2246[[#This Row],[DESPESAS]]+Tabela2246[[#This Row],[IPI]]+Tabela2246[[#This Row],[Vl. Produto]])*Tabela2246[[#This Row],[Aliq.%]]</f>
        <v>0</v>
      </c>
    </row>
    <row r="412" spans="13:19" x14ac:dyDescent="0.25">
      <c r="M412" s="46"/>
      <c r="N412" s="46"/>
      <c r="O412" s="46"/>
      <c r="P412" s="46"/>
      <c r="R412" s="15">
        <v>7.0000000000000007E-2</v>
      </c>
      <c r="S412" s="18">
        <f>(Tabela2246[[#This Row],[FRETE]]+Tabela2246[[#This Row],[DESPESAS]]+Tabela2246[[#This Row],[IPI]]+Tabela2246[[#This Row],[Vl. Produto]])*Tabela2246[[#This Row],[Aliq.%]]</f>
        <v>0</v>
      </c>
    </row>
    <row r="413" spans="13:19" x14ac:dyDescent="0.25">
      <c r="M413" s="46"/>
      <c r="N413" s="46"/>
      <c r="O413" s="46"/>
      <c r="P413" s="46"/>
      <c r="R413" s="15">
        <v>7.0000000000000007E-2</v>
      </c>
      <c r="S413" s="18">
        <f>(Tabela2246[[#This Row],[FRETE]]+Tabela2246[[#This Row],[DESPESAS]]+Tabela2246[[#This Row],[IPI]]+Tabela2246[[#This Row],[Vl. Produto]])*Tabela2246[[#This Row],[Aliq.%]]</f>
        <v>0</v>
      </c>
    </row>
    <row r="414" spans="13:19" x14ac:dyDescent="0.25">
      <c r="M414" s="46"/>
      <c r="N414" s="46"/>
      <c r="O414" s="46"/>
      <c r="P414" s="46"/>
      <c r="R414" s="15">
        <v>7.0000000000000007E-2</v>
      </c>
      <c r="S414" s="18">
        <f>(Tabela2246[[#This Row],[FRETE]]+Tabela2246[[#This Row],[DESPESAS]]+Tabela2246[[#This Row],[IPI]]+Tabela2246[[#This Row],[Vl. Produto]])*Tabela2246[[#This Row],[Aliq.%]]</f>
        <v>0</v>
      </c>
    </row>
    <row r="415" spans="13:19" x14ac:dyDescent="0.25">
      <c r="M415" s="46"/>
      <c r="N415" s="46"/>
      <c r="O415" s="46"/>
      <c r="P415" s="46"/>
      <c r="R415" s="15">
        <v>7.0000000000000007E-2</v>
      </c>
      <c r="S415" s="18">
        <f>(Tabela2246[[#This Row],[FRETE]]+Tabela2246[[#This Row],[DESPESAS]]+Tabela2246[[#This Row],[IPI]]+Tabela2246[[#This Row],[Vl. Produto]])*Tabela2246[[#This Row],[Aliq.%]]</f>
        <v>0</v>
      </c>
    </row>
    <row r="416" spans="13:19" x14ac:dyDescent="0.25">
      <c r="M416" s="46"/>
      <c r="N416" s="46"/>
      <c r="O416" s="46"/>
      <c r="P416" s="46"/>
      <c r="R416" s="15">
        <v>7.0000000000000007E-2</v>
      </c>
      <c r="S416" s="18">
        <f>(Tabela2246[[#This Row],[FRETE]]+Tabela2246[[#This Row],[DESPESAS]]+Tabela2246[[#This Row],[IPI]]+Tabela2246[[#This Row],[Vl. Produto]])*Tabela2246[[#This Row],[Aliq.%]]</f>
        <v>0</v>
      </c>
    </row>
    <row r="417" spans="13:19" x14ac:dyDescent="0.25">
      <c r="M417" s="46"/>
      <c r="N417" s="46"/>
      <c r="O417" s="46"/>
      <c r="P417" s="46"/>
      <c r="R417" s="15">
        <v>7.0000000000000007E-2</v>
      </c>
      <c r="S417" s="18">
        <f>(Tabela2246[[#This Row],[FRETE]]+Tabela2246[[#This Row],[DESPESAS]]+Tabela2246[[#This Row],[IPI]]+Tabela2246[[#This Row],[Vl. Produto]])*Tabela2246[[#This Row],[Aliq.%]]</f>
        <v>0</v>
      </c>
    </row>
    <row r="418" spans="13:19" x14ac:dyDescent="0.25">
      <c r="M418" s="46"/>
      <c r="N418" s="46"/>
      <c r="O418" s="46"/>
      <c r="P418" s="46"/>
      <c r="R418" s="15">
        <v>7.0000000000000007E-2</v>
      </c>
      <c r="S418" s="18">
        <f>(Tabela2246[[#This Row],[FRETE]]+Tabela2246[[#This Row],[DESPESAS]]+Tabela2246[[#This Row],[IPI]]+Tabela2246[[#This Row],[Vl. Produto]])*Tabela2246[[#This Row],[Aliq.%]]</f>
        <v>0</v>
      </c>
    </row>
    <row r="419" spans="13:19" x14ac:dyDescent="0.25">
      <c r="M419" s="46"/>
      <c r="N419" s="46"/>
      <c r="O419" s="46"/>
      <c r="P419" s="46"/>
      <c r="R419" s="15">
        <v>7.0000000000000007E-2</v>
      </c>
      <c r="S419" s="18">
        <f>(Tabela2246[[#This Row],[FRETE]]+Tabela2246[[#This Row],[DESPESAS]]+Tabela2246[[#This Row],[IPI]]+Tabela2246[[#This Row],[Vl. Produto]])*Tabela2246[[#This Row],[Aliq.%]]</f>
        <v>0</v>
      </c>
    </row>
    <row r="420" spans="13:19" x14ac:dyDescent="0.25">
      <c r="M420" s="46"/>
      <c r="N420" s="46"/>
      <c r="O420" s="46"/>
      <c r="P420" s="46"/>
      <c r="R420" s="15">
        <v>7.0000000000000007E-2</v>
      </c>
      <c r="S420" s="18">
        <f>(Tabela2246[[#This Row],[FRETE]]+Tabela2246[[#This Row],[DESPESAS]]+Tabela2246[[#This Row],[IPI]]+Tabela2246[[#This Row],[Vl. Produto]])*Tabela2246[[#This Row],[Aliq.%]]</f>
        <v>0</v>
      </c>
    </row>
    <row r="421" spans="13:19" x14ac:dyDescent="0.25">
      <c r="M421" s="46"/>
      <c r="N421" s="46"/>
      <c r="O421" s="46"/>
      <c r="P421" s="46"/>
      <c r="R421" s="15">
        <v>7.0000000000000007E-2</v>
      </c>
      <c r="S421" s="18">
        <f>(Tabela2246[[#This Row],[FRETE]]+Tabela2246[[#This Row],[DESPESAS]]+Tabela2246[[#This Row],[IPI]]+Tabela2246[[#This Row],[Vl. Produto]])*Tabela2246[[#This Row],[Aliq.%]]</f>
        <v>0</v>
      </c>
    </row>
    <row r="422" spans="13:19" x14ac:dyDescent="0.25">
      <c r="M422" s="46"/>
      <c r="N422" s="46"/>
      <c r="O422" s="46"/>
      <c r="P422" s="46"/>
      <c r="R422" s="15">
        <v>7.0000000000000007E-2</v>
      </c>
      <c r="S422" s="18">
        <f>(Tabela2246[[#This Row],[FRETE]]+Tabela2246[[#This Row],[DESPESAS]]+Tabela2246[[#This Row],[IPI]]+Tabela2246[[#This Row],[Vl. Produto]])*Tabela2246[[#This Row],[Aliq.%]]</f>
        <v>0</v>
      </c>
    </row>
    <row r="423" spans="13:19" x14ac:dyDescent="0.25">
      <c r="M423" s="46"/>
      <c r="N423" s="46"/>
      <c r="O423" s="46"/>
      <c r="P423" s="46"/>
      <c r="R423" s="15">
        <v>7.0000000000000007E-2</v>
      </c>
      <c r="S423" s="18">
        <f>(Tabela2246[[#This Row],[FRETE]]+Tabela2246[[#This Row],[DESPESAS]]+Tabela2246[[#This Row],[IPI]]+Tabela2246[[#This Row],[Vl. Produto]])*Tabela2246[[#This Row],[Aliq.%]]</f>
        <v>0</v>
      </c>
    </row>
    <row r="424" spans="13:19" x14ac:dyDescent="0.25">
      <c r="M424" s="46"/>
      <c r="N424" s="46"/>
      <c r="O424" s="46"/>
      <c r="P424" s="46"/>
      <c r="R424" s="15">
        <v>7.0000000000000007E-2</v>
      </c>
      <c r="S424" s="18">
        <f>(Tabela2246[[#This Row],[FRETE]]+Tabela2246[[#This Row],[DESPESAS]]+Tabela2246[[#This Row],[IPI]]+Tabela2246[[#This Row],[Vl. Produto]])*Tabela2246[[#This Row],[Aliq.%]]</f>
        <v>0</v>
      </c>
    </row>
    <row r="425" spans="13:19" x14ac:dyDescent="0.25">
      <c r="M425" s="46"/>
      <c r="N425" s="46"/>
      <c r="O425" s="46"/>
      <c r="P425" s="46"/>
      <c r="R425" s="15">
        <v>7.0000000000000007E-2</v>
      </c>
      <c r="S425" s="18">
        <f>(Tabela2246[[#This Row],[FRETE]]+Tabela2246[[#This Row],[DESPESAS]]+Tabela2246[[#This Row],[IPI]]+Tabela2246[[#This Row],[Vl. Produto]])*Tabela2246[[#This Row],[Aliq.%]]</f>
        <v>0</v>
      </c>
    </row>
    <row r="426" spans="13:19" x14ac:dyDescent="0.25">
      <c r="M426" s="46"/>
      <c r="N426" s="46"/>
      <c r="O426" s="46"/>
      <c r="P426" s="46"/>
      <c r="R426" s="15">
        <v>7.0000000000000007E-2</v>
      </c>
      <c r="S426" s="18">
        <f>(Tabela2246[[#This Row],[FRETE]]+Tabela2246[[#This Row],[DESPESAS]]+Tabela2246[[#This Row],[IPI]]+Tabela2246[[#This Row],[Vl. Produto]])*Tabela2246[[#This Row],[Aliq.%]]</f>
        <v>0</v>
      </c>
    </row>
    <row r="427" spans="13:19" x14ac:dyDescent="0.25">
      <c r="M427" s="46"/>
      <c r="N427" s="46"/>
      <c r="O427" s="46"/>
      <c r="P427" s="46"/>
      <c r="R427" s="15">
        <v>7.0000000000000007E-2</v>
      </c>
      <c r="S427" s="18">
        <f>(Tabela2246[[#This Row],[FRETE]]+Tabela2246[[#This Row],[DESPESAS]]+Tabela2246[[#This Row],[IPI]]+Tabela2246[[#This Row],[Vl. Produto]])*Tabela2246[[#This Row],[Aliq.%]]</f>
        <v>0</v>
      </c>
    </row>
    <row r="428" spans="13:19" x14ac:dyDescent="0.25">
      <c r="M428" s="46"/>
      <c r="N428" s="46"/>
      <c r="O428" s="46"/>
      <c r="P428" s="46"/>
      <c r="R428" s="15">
        <v>7.0000000000000007E-2</v>
      </c>
      <c r="S428" s="18">
        <f>(Tabela2246[[#This Row],[FRETE]]+Tabela2246[[#This Row],[DESPESAS]]+Tabela2246[[#This Row],[IPI]]+Tabela2246[[#This Row],[Vl. Produto]])*Tabela2246[[#This Row],[Aliq.%]]</f>
        <v>0</v>
      </c>
    </row>
    <row r="429" spans="13:19" x14ac:dyDescent="0.25">
      <c r="M429" s="46"/>
      <c r="N429" s="46"/>
      <c r="O429" s="46"/>
      <c r="P429" s="46"/>
      <c r="R429" s="15">
        <v>7.0000000000000007E-2</v>
      </c>
      <c r="S429" s="18">
        <f>(Tabela2246[[#This Row],[FRETE]]+Tabela2246[[#This Row],[DESPESAS]]+Tabela2246[[#This Row],[IPI]]+Tabela2246[[#This Row],[Vl. Produto]])*Tabela2246[[#This Row],[Aliq.%]]</f>
        <v>0</v>
      </c>
    </row>
    <row r="430" spans="13:19" x14ac:dyDescent="0.25">
      <c r="M430" s="46"/>
      <c r="N430" s="46"/>
      <c r="O430" s="46"/>
      <c r="P430" s="46"/>
      <c r="R430" s="15">
        <v>7.0000000000000007E-2</v>
      </c>
      <c r="S430" s="18">
        <f>(Tabela2246[[#This Row],[FRETE]]+Tabela2246[[#This Row],[DESPESAS]]+Tabela2246[[#This Row],[IPI]]+Tabela2246[[#This Row],[Vl. Produto]])*Tabela2246[[#This Row],[Aliq.%]]</f>
        <v>0</v>
      </c>
    </row>
    <row r="431" spans="13:19" x14ac:dyDescent="0.25">
      <c r="M431" s="46"/>
      <c r="N431" s="46"/>
      <c r="O431" s="46"/>
      <c r="P431" s="46"/>
      <c r="R431" s="15">
        <v>7.0000000000000007E-2</v>
      </c>
      <c r="S431" s="18">
        <f>(Tabela2246[[#This Row],[FRETE]]+Tabela2246[[#This Row],[DESPESAS]]+Tabela2246[[#This Row],[IPI]]+Tabela2246[[#This Row],[Vl. Produto]])*Tabela2246[[#This Row],[Aliq.%]]</f>
        <v>0</v>
      </c>
    </row>
    <row r="432" spans="13:19" x14ac:dyDescent="0.25">
      <c r="M432" s="46"/>
      <c r="N432" s="46"/>
      <c r="O432" s="46"/>
      <c r="P432" s="46"/>
      <c r="R432" s="15">
        <v>7.0000000000000007E-2</v>
      </c>
      <c r="S432" s="18">
        <f>(Tabela2246[[#This Row],[FRETE]]+Tabela2246[[#This Row],[DESPESAS]]+Tabela2246[[#This Row],[IPI]]+Tabela2246[[#This Row],[Vl. Produto]])*Tabela2246[[#This Row],[Aliq.%]]</f>
        <v>0</v>
      </c>
    </row>
    <row r="433" spans="13:19" x14ac:dyDescent="0.25">
      <c r="M433" s="46"/>
      <c r="N433" s="46"/>
      <c r="O433" s="46"/>
      <c r="P433" s="46"/>
      <c r="R433" s="15">
        <v>7.0000000000000007E-2</v>
      </c>
      <c r="S433" s="18">
        <f>(Tabela2246[[#This Row],[FRETE]]+Tabela2246[[#This Row],[DESPESAS]]+Tabela2246[[#This Row],[IPI]]+Tabela2246[[#This Row],[Vl. Produto]])*Tabela2246[[#This Row],[Aliq.%]]</f>
        <v>0</v>
      </c>
    </row>
    <row r="434" spans="13:19" x14ac:dyDescent="0.25">
      <c r="M434" s="46"/>
      <c r="N434" s="46"/>
      <c r="O434" s="46"/>
      <c r="P434" s="46"/>
      <c r="R434" s="15">
        <v>7.0000000000000007E-2</v>
      </c>
      <c r="S434" s="18">
        <f>(Tabela2246[[#This Row],[FRETE]]+Tabela2246[[#This Row],[DESPESAS]]+Tabela2246[[#This Row],[IPI]]+Tabela2246[[#This Row],[Vl. Produto]])*Tabela2246[[#This Row],[Aliq.%]]</f>
        <v>0</v>
      </c>
    </row>
    <row r="435" spans="13:19" x14ac:dyDescent="0.25">
      <c r="M435" s="46"/>
      <c r="N435" s="46"/>
      <c r="O435" s="46"/>
      <c r="P435" s="46"/>
      <c r="R435" s="15">
        <v>7.0000000000000007E-2</v>
      </c>
      <c r="S435" s="18">
        <f>(Tabela2246[[#This Row],[FRETE]]+Tabela2246[[#This Row],[DESPESAS]]+Tabela2246[[#This Row],[IPI]]+Tabela2246[[#This Row],[Vl. Produto]])*Tabela2246[[#This Row],[Aliq.%]]</f>
        <v>0</v>
      </c>
    </row>
    <row r="436" spans="13:19" x14ac:dyDescent="0.25">
      <c r="M436" s="46"/>
      <c r="N436" s="46"/>
      <c r="O436" s="46"/>
      <c r="P436" s="46"/>
      <c r="R436" s="15">
        <v>7.0000000000000007E-2</v>
      </c>
      <c r="S436" s="18">
        <f>(Tabela2246[[#This Row],[FRETE]]+Tabela2246[[#This Row],[DESPESAS]]+Tabela2246[[#This Row],[IPI]]+Tabela2246[[#This Row],[Vl. Produto]])*Tabela2246[[#This Row],[Aliq.%]]</f>
        <v>0</v>
      </c>
    </row>
    <row r="437" spans="13:19" x14ac:dyDescent="0.25">
      <c r="M437" s="46"/>
      <c r="N437" s="46"/>
      <c r="O437" s="46"/>
      <c r="P437" s="46"/>
      <c r="R437" s="15">
        <v>7.0000000000000007E-2</v>
      </c>
      <c r="S437" s="18">
        <f>(Tabela2246[[#This Row],[FRETE]]+Tabela2246[[#This Row],[DESPESAS]]+Tabela2246[[#This Row],[IPI]]+Tabela2246[[#This Row],[Vl. Produto]])*Tabela2246[[#This Row],[Aliq.%]]</f>
        <v>0</v>
      </c>
    </row>
    <row r="438" spans="13:19" x14ac:dyDescent="0.25">
      <c r="M438" s="46"/>
      <c r="N438" s="46"/>
      <c r="O438" s="46"/>
      <c r="P438" s="46"/>
      <c r="R438" s="15">
        <v>7.0000000000000007E-2</v>
      </c>
      <c r="S438" s="18">
        <f>(Tabela2246[[#This Row],[FRETE]]+Tabela2246[[#This Row],[DESPESAS]]+Tabela2246[[#This Row],[IPI]]+Tabela2246[[#This Row],[Vl. Produto]])*Tabela2246[[#This Row],[Aliq.%]]</f>
        <v>0</v>
      </c>
    </row>
    <row r="439" spans="13:19" x14ac:dyDescent="0.25">
      <c r="M439" s="46"/>
      <c r="N439" s="46"/>
      <c r="O439" s="46"/>
      <c r="P439" s="46"/>
      <c r="R439" s="15">
        <v>7.0000000000000007E-2</v>
      </c>
      <c r="S439" s="18">
        <f>(Tabela2246[[#This Row],[FRETE]]+Tabela2246[[#This Row],[DESPESAS]]+Tabela2246[[#This Row],[IPI]]+Tabela2246[[#This Row],[Vl. Produto]])*Tabela2246[[#This Row],[Aliq.%]]</f>
        <v>0</v>
      </c>
    </row>
    <row r="440" spans="13:19" x14ac:dyDescent="0.25">
      <c r="M440" s="46"/>
      <c r="N440" s="46"/>
      <c r="O440" s="46"/>
      <c r="P440" s="46"/>
      <c r="R440" s="15">
        <v>7.0000000000000007E-2</v>
      </c>
      <c r="S440" s="18">
        <f>(Tabela2246[[#This Row],[FRETE]]+Tabela2246[[#This Row],[DESPESAS]]+Tabela2246[[#This Row],[IPI]]+Tabela2246[[#This Row],[Vl. Produto]])*Tabela2246[[#This Row],[Aliq.%]]</f>
        <v>0</v>
      </c>
    </row>
    <row r="441" spans="13:19" x14ac:dyDescent="0.25">
      <c r="M441" s="46"/>
      <c r="N441" s="46"/>
      <c r="O441" s="46"/>
      <c r="P441" s="46"/>
      <c r="R441" s="15">
        <v>7.0000000000000007E-2</v>
      </c>
      <c r="S441" s="18">
        <f>(Tabela2246[[#This Row],[FRETE]]+Tabela2246[[#This Row],[DESPESAS]]+Tabela2246[[#This Row],[IPI]]+Tabela2246[[#This Row],[Vl. Produto]])*Tabela2246[[#This Row],[Aliq.%]]</f>
        <v>0</v>
      </c>
    </row>
    <row r="442" spans="13:19" x14ac:dyDescent="0.25">
      <c r="M442" s="46"/>
      <c r="N442" s="46"/>
      <c r="O442" s="46"/>
      <c r="P442" s="46"/>
      <c r="R442" s="15">
        <v>7.0000000000000007E-2</v>
      </c>
      <c r="S442" s="18">
        <f>(Tabela2246[[#This Row],[FRETE]]+Tabela2246[[#This Row],[DESPESAS]]+Tabela2246[[#This Row],[IPI]]+Tabela2246[[#This Row],[Vl. Produto]])*Tabela2246[[#This Row],[Aliq.%]]</f>
        <v>0</v>
      </c>
    </row>
    <row r="443" spans="13:19" x14ac:dyDescent="0.25">
      <c r="M443" s="46"/>
      <c r="N443" s="46"/>
      <c r="O443" s="46"/>
      <c r="P443" s="46"/>
      <c r="R443" s="15">
        <v>7.0000000000000007E-2</v>
      </c>
      <c r="S443" s="18">
        <f>(Tabela2246[[#This Row],[FRETE]]+Tabela2246[[#This Row],[DESPESAS]]+Tabela2246[[#This Row],[IPI]]+Tabela2246[[#This Row],[Vl. Produto]])*Tabela2246[[#This Row],[Aliq.%]]</f>
        <v>0</v>
      </c>
    </row>
    <row r="444" spans="13:19" x14ac:dyDescent="0.25">
      <c r="M444" s="46"/>
      <c r="N444" s="46"/>
      <c r="O444" s="46"/>
      <c r="P444" s="46"/>
      <c r="R444" s="15">
        <v>7.0000000000000007E-2</v>
      </c>
      <c r="S444" s="18">
        <f>(Tabela2246[[#This Row],[FRETE]]+Tabela2246[[#This Row],[DESPESAS]]+Tabela2246[[#This Row],[IPI]]+Tabela2246[[#This Row],[Vl. Produto]])*Tabela2246[[#This Row],[Aliq.%]]</f>
        <v>0</v>
      </c>
    </row>
    <row r="445" spans="13:19" x14ac:dyDescent="0.25">
      <c r="M445" s="46"/>
      <c r="N445" s="46"/>
      <c r="O445" s="46"/>
      <c r="P445" s="46"/>
      <c r="R445" s="15">
        <v>7.0000000000000007E-2</v>
      </c>
      <c r="S445" s="18">
        <f>(Tabela2246[[#This Row],[FRETE]]+Tabela2246[[#This Row],[DESPESAS]]+Tabela2246[[#This Row],[IPI]]+Tabela2246[[#This Row],[Vl. Produto]])*Tabela2246[[#This Row],[Aliq.%]]</f>
        <v>0</v>
      </c>
    </row>
    <row r="446" spans="13:19" x14ac:dyDescent="0.25">
      <c r="M446" s="46"/>
      <c r="N446" s="46"/>
      <c r="O446" s="46"/>
      <c r="P446" s="46"/>
      <c r="R446" s="15">
        <v>7.0000000000000007E-2</v>
      </c>
      <c r="S446" s="18">
        <f>(Tabela2246[[#This Row],[FRETE]]+Tabela2246[[#This Row],[DESPESAS]]+Tabela2246[[#This Row],[IPI]]+Tabela2246[[#This Row],[Vl. Produto]])*Tabela2246[[#This Row],[Aliq.%]]</f>
        <v>0</v>
      </c>
    </row>
    <row r="447" spans="13:19" x14ac:dyDescent="0.25">
      <c r="M447" s="46"/>
      <c r="N447" s="46"/>
      <c r="O447" s="46"/>
      <c r="P447" s="46"/>
      <c r="R447" s="15">
        <v>7.0000000000000007E-2</v>
      </c>
      <c r="S447" s="18">
        <f>(Tabela2246[[#This Row],[FRETE]]+Tabela2246[[#This Row],[DESPESAS]]+Tabela2246[[#This Row],[IPI]]+Tabela2246[[#This Row],[Vl. Produto]])*Tabela2246[[#This Row],[Aliq.%]]</f>
        <v>0</v>
      </c>
    </row>
    <row r="448" spans="13:19" x14ac:dyDescent="0.25">
      <c r="M448" s="46"/>
      <c r="N448" s="46"/>
      <c r="O448" s="46"/>
      <c r="P448" s="46"/>
      <c r="R448" s="15">
        <v>7.0000000000000007E-2</v>
      </c>
      <c r="S448" s="18">
        <f>(Tabela2246[[#This Row],[FRETE]]+Tabela2246[[#This Row],[DESPESAS]]+Tabela2246[[#This Row],[IPI]]+Tabela2246[[#This Row],[Vl. Produto]])*Tabela2246[[#This Row],[Aliq.%]]</f>
        <v>0</v>
      </c>
    </row>
    <row r="449" spans="13:19" x14ac:dyDescent="0.25">
      <c r="M449" s="46"/>
      <c r="N449" s="46"/>
      <c r="O449" s="46"/>
      <c r="P449" s="46"/>
      <c r="R449" s="15">
        <v>7.0000000000000007E-2</v>
      </c>
      <c r="S449" s="18">
        <f>(Tabela2246[[#This Row],[FRETE]]+Tabela2246[[#This Row],[DESPESAS]]+Tabela2246[[#This Row],[IPI]]+Tabela2246[[#This Row],[Vl. Produto]])*Tabela2246[[#This Row],[Aliq.%]]</f>
        <v>0</v>
      </c>
    </row>
    <row r="450" spans="13:19" x14ac:dyDescent="0.25">
      <c r="M450" s="46"/>
      <c r="N450" s="46"/>
      <c r="O450" s="46"/>
      <c r="P450" s="46"/>
      <c r="R450" s="15">
        <v>7.0000000000000007E-2</v>
      </c>
      <c r="S450" s="18">
        <f>(Tabela2246[[#This Row],[FRETE]]+Tabela2246[[#This Row],[DESPESAS]]+Tabela2246[[#This Row],[IPI]]+Tabela2246[[#This Row],[Vl. Produto]])*Tabela2246[[#This Row],[Aliq.%]]</f>
        <v>0</v>
      </c>
    </row>
    <row r="451" spans="13:19" x14ac:dyDescent="0.25">
      <c r="M451" s="46"/>
      <c r="N451" s="46"/>
      <c r="O451" s="46"/>
      <c r="P451" s="46"/>
      <c r="R451" s="15">
        <v>7.0000000000000007E-2</v>
      </c>
      <c r="S451" s="18">
        <f>(Tabela2246[[#This Row],[FRETE]]+Tabela2246[[#This Row],[DESPESAS]]+Tabela2246[[#This Row],[IPI]]+Tabela2246[[#This Row],[Vl. Produto]])*Tabela2246[[#This Row],[Aliq.%]]</f>
        <v>0</v>
      </c>
    </row>
    <row r="452" spans="13:19" x14ac:dyDescent="0.25">
      <c r="M452" s="46"/>
      <c r="N452" s="46"/>
      <c r="O452" s="46"/>
      <c r="P452" s="46"/>
      <c r="R452" s="15">
        <v>7.0000000000000007E-2</v>
      </c>
      <c r="S452" s="18">
        <f>(Tabela2246[[#This Row],[FRETE]]+Tabela2246[[#This Row],[DESPESAS]]+Tabela2246[[#This Row],[IPI]]+Tabela2246[[#This Row],[Vl. Produto]])*Tabela2246[[#This Row],[Aliq.%]]</f>
        <v>0</v>
      </c>
    </row>
    <row r="453" spans="13:19" x14ac:dyDescent="0.25">
      <c r="M453" s="46"/>
      <c r="N453" s="46"/>
      <c r="O453" s="46"/>
      <c r="P453" s="46"/>
      <c r="R453" s="15">
        <v>7.0000000000000007E-2</v>
      </c>
      <c r="S453" s="18">
        <f>(Tabela2246[[#This Row],[FRETE]]+Tabela2246[[#This Row],[DESPESAS]]+Tabela2246[[#This Row],[IPI]]+Tabela2246[[#This Row],[Vl. Produto]])*Tabela2246[[#This Row],[Aliq.%]]</f>
        <v>0</v>
      </c>
    </row>
    <row r="454" spans="13:19" x14ac:dyDescent="0.25">
      <c r="M454" s="46"/>
      <c r="N454" s="46"/>
      <c r="O454" s="46"/>
      <c r="P454" s="46"/>
      <c r="R454" s="15">
        <v>7.0000000000000007E-2</v>
      </c>
      <c r="S454" s="18">
        <f>(Tabela2246[[#This Row],[FRETE]]+Tabela2246[[#This Row],[DESPESAS]]+Tabela2246[[#This Row],[IPI]]+Tabela2246[[#This Row],[Vl. Produto]])*Tabela2246[[#This Row],[Aliq.%]]</f>
        <v>0</v>
      </c>
    </row>
    <row r="455" spans="13:19" x14ac:dyDescent="0.25">
      <c r="M455" s="46"/>
      <c r="N455" s="46"/>
      <c r="O455" s="46"/>
      <c r="P455" s="46"/>
      <c r="R455" s="15">
        <v>7.0000000000000007E-2</v>
      </c>
      <c r="S455" s="18">
        <f>(Tabela2246[[#This Row],[FRETE]]+Tabela2246[[#This Row],[DESPESAS]]+Tabela2246[[#This Row],[IPI]]+Tabela2246[[#This Row],[Vl. Produto]])*Tabela2246[[#This Row],[Aliq.%]]</f>
        <v>0</v>
      </c>
    </row>
    <row r="456" spans="13:19" x14ac:dyDescent="0.25">
      <c r="M456" s="46"/>
      <c r="N456" s="46"/>
      <c r="O456" s="46"/>
      <c r="P456" s="46"/>
      <c r="R456" s="15">
        <v>7.0000000000000007E-2</v>
      </c>
      <c r="S456" s="18">
        <f>(Tabela2246[[#This Row],[FRETE]]+Tabela2246[[#This Row],[DESPESAS]]+Tabela2246[[#This Row],[IPI]]+Tabela2246[[#This Row],[Vl. Produto]])*Tabela2246[[#This Row],[Aliq.%]]</f>
        <v>0</v>
      </c>
    </row>
    <row r="457" spans="13:19" x14ac:dyDescent="0.25">
      <c r="M457" s="46"/>
      <c r="N457" s="46"/>
      <c r="O457" s="46"/>
      <c r="P457" s="46"/>
      <c r="R457" s="15">
        <v>7.0000000000000007E-2</v>
      </c>
      <c r="S457" s="18">
        <f>(Tabela2246[[#This Row],[FRETE]]+Tabela2246[[#This Row],[DESPESAS]]+Tabela2246[[#This Row],[IPI]]+Tabela2246[[#This Row],[Vl. Produto]])*Tabela2246[[#This Row],[Aliq.%]]</f>
        <v>0</v>
      </c>
    </row>
    <row r="458" spans="13:19" x14ac:dyDescent="0.25">
      <c r="M458" s="46"/>
      <c r="N458" s="46"/>
      <c r="O458" s="46"/>
      <c r="P458" s="46"/>
      <c r="R458" s="15">
        <v>7.0000000000000007E-2</v>
      </c>
      <c r="S458" s="18">
        <f>(Tabela2246[[#This Row],[FRETE]]+Tabela2246[[#This Row],[DESPESAS]]+Tabela2246[[#This Row],[IPI]]+Tabela2246[[#This Row],[Vl. Produto]])*Tabela2246[[#This Row],[Aliq.%]]</f>
        <v>0</v>
      </c>
    </row>
    <row r="459" spans="13:19" x14ac:dyDescent="0.25">
      <c r="M459" s="46"/>
      <c r="N459" s="46"/>
      <c r="O459" s="46"/>
      <c r="P459" s="46"/>
      <c r="R459" s="15">
        <v>7.0000000000000007E-2</v>
      </c>
      <c r="S459" s="18">
        <f>(Tabela2246[[#This Row],[FRETE]]+Tabela2246[[#This Row],[DESPESAS]]+Tabela2246[[#This Row],[IPI]]+Tabela2246[[#This Row],[Vl. Produto]])*Tabela2246[[#This Row],[Aliq.%]]</f>
        <v>0</v>
      </c>
    </row>
    <row r="460" spans="13:19" x14ac:dyDescent="0.25">
      <c r="M460" s="46"/>
      <c r="N460" s="46"/>
      <c r="O460" s="46"/>
      <c r="P460" s="46"/>
      <c r="R460" s="15">
        <v>7.0000000000000007E-2</v>
      </c>
      <c r="S460" s="18">
        <f>(Tabela2246[[#This Row],[FRETE]]+Tabela2246[[#This Row],[DESPESAS]]+Tabela2246[[#This Row],[IPI]]+Tabela2246[[#This Row],[Vl. Produto]])*Tabela2246[[#This Row],[Aliq.%]]</f>
        <v>0</v>
      </c>
    </row>
    <row r="461" spans="13:19" x14ac:dyDescent="0.25">
      <c r="M461" s="46"/>
      <c r="N461" s="46"/>
      <c r="O461" s="46"/>
      <c r="P461" s="46"/>
      <c r="R461" s="15">
        <v>7.0000000000000007E-2</v>
      </c>
      <c r="S461" s="18">
        <f>(Tabela2246[[#This Row],[FRETE]]+Tabela2246[[#This Row],[DESPESAS]]+Tabela2246[[#This Row],[IPI]]+Tabela2246[[#This Row],[Vl. Produto]])*Tabela2246[[#This Row],[Aliq.%]]</f>
        <v>0</v>
      </c>
    </row>
    <row r="462" spans="13:19" x14ac:dyDescent="0.25">
      <c r="M462" s="46"/>
      <c r="N462" s="46"/>
      <c r="O462" s="46"/>
      <c r="P462" s="46"/>
      <c r="R462" s="15">
        <v>7.0000000000000007E-2</v>
      </c>
      <c r="S462" s="18">
        <f>(Tabela2246[[#This Row],[FRETE]]+Tabela2246[[#This Row],[DESPESAS]]+Tabela2246[[#This Row],[IPI]]+Tabela2246[[#This Row],[Vl. Produto]])*Tabela2246[[#This Row],[Aliq.%]]</f>
        <v>0</v>
      </c>
    </row>
    <row r="463" spans="13:19" x14ac:dyDescent="0.25">
      <c r="M463" s="46"/>
      <c r="N463" s="46"/>
      <c r="O463" s="46"/>
      <c r="P463" s="46"/>
      <c r="R463" s="15">
        <v>7.0000000000000007E-2</v>
      </c>
      <c r="S463" s="18">
        <f>(Tabela2246[[#This Row],[FRETE]]+Tabela2246[[#This Row],[DESPESAS]]+Tabela2246[[#This Row],[IPI]]+Tabela2246[[#This Row],[Vl. Produto]])*Tabela2246[[#This Row],[Aliq.%]]</f>
        <v>0</v>
      </c>
    </row>
    <row r="464" spans="13:19" x14ac:dyDescent="0.25">
      <c r="M464" s="46"/>
      <c r="N464" s="46"/>
      <c r="O464" s="46"/>
      <c r="P464" s="46"/>
      <c r="R464" s="15">
        <v>7.0000000000000007E-2</v>
      </c>
      <c r="S464" s="18">
        <f>(Tabela2246[[#This Row],[FRETE]]+Tabela2246[[#This Row],[DESPESAS]]+Tabela2246[[#This Row],[IPI]]+Tabela2246[[#This Row],[Vl. Produto]])*Tabela2246[[#This Row],[Aliq.%]]</f>
        <v>0</v>
      </c>
    </row>
    <row r="465" spans="13:19" x14ac:dyDescent="0.25">
      <c r="M465" s="46"/>
      <c r="N465" s="46"/>
      <c r="O465" s="46"/>
      <c r="P465" s="46"/>
      <c r="R465" s="15">
        <v>7.0000000000000007E-2</v>
      </c>
      <c r="S465" s="18">
        <f>(Tabela2246[[#This Row],[FRETE]]+Tabela2246[[#This Row],[DESPESAS]]+Tabela2246[[#This Row],[IPI]]+Tabela2246[[#This Row],[Vl. Produto]])*Tabela2246[[#This Row],[Aliq.%]]</f>
        <v>0</v>
      </c>
    </row>
    <row r="466" spans="13:19" x14ac:dyDescent="0.25">
      <c r="M466" s="46"/>
      <c r="N466" s="46"/>
      <c r="O466" s="46"/>
      <c r="P466" s="46"/>
      <c r="R466" s="15">
        <v>7.0000000000000007E-2</v>
      </c>
      <c r="S466" s="18">
        <f>(Tabela2246[[#This Row],[FRETE]]+Tabela2246[[#This Row],[DESPESAS]]+Tabela2246[[#This Row],[IPI]]+Tabela2246[[#This Row],[Vl. Produto]])*Tabela2246[[#This Row],[Aliq.%]]</f>
        <v>0</v>
      </c>
    </row>
    <row r="467" spans="13:19" x14ac:dyDescent="0.25">
      <c r="M467" s="46"/>
      <c r="N467" s="46"/>
      <c r="O467" s="46"/>
      <c r="P467" s="46"/>
      <c r="R467" s="15">
        <v>7.0000000000000007E-2</v>
      </c>
      <c r="S467" s="18">
        <f>(Tabela2246[[#This Row],[FRETE]]+Tabela2246[[#This Row],[DESPESAS]]+Tabela2246[[#This Row],[IPI]]+Tabela2246[[#This Row],[Vl. Produto]])*Tabela2246[[#This Row],[Aliq.%]]</f>
        <v>0</v>
      </c>
    </row>
    <row r="468" spans="13:19" x14ac:dyDescent="0.25">
      <c r="M468" s="46"/>
      <c r="N468" s="46"/>
      <c r="O468" s="46"/>
      <c r="P468" s="46"/>
      <c r="R468" s="15">
        <v>7.0000000000000007E-2</v>
      </c>
      <c r="S468" s="18">
        <f>(Tabela2246[[#This Row],[FRETE]]+Tabela2246[[#This Row],[DESPESAS]]+Tabela2246[[#This Row],[IPI]]+Tabela2246[[#This Row],[Vl. Produto]])*Tabela2246[[#This Row],[Aliq.%]]</f>
        <v>0</v>
      </c>
    </row>
    <row r="469" spans="13:19" x14ac:dyDescent="0.25">
      <c r="M469" s="46"/>
      <c r="N469" s="46"/>
      <c r="O469" s="46"/>
      <c r="P469" s="46"/>
      <c r="R469" s="15">
        <v>7.0000000000000007E-2</v>
      </c>
      <c r="S469" s="18">
        <f>(Tabela2246[[#This Row],[FRETE]]+Tabela2246[[#This Row],[DESPESAS]]+Tabela2246[[#This Row],[IPI]]+Tabela2246[[#This Row],[Vl. Produto]])*Tabela2246[[#This Row],[Aliq.%]]</f>
        <v>0</v>
      </c>
    </row>
    <row r="470" spans="13:19" x14ac:dyDescent="0.25">
      <c r="M470" s="46"/>
      <c r="N470" s="46"/>
      <c r="O470" s="46"/>
      <c r="P470" s="46"/>
      <c r="R470" s="15">
        <v>7.0000000000000007E-2</v>
      </c>
      <c r="S470" s="18">
        <f>(Tabela2246[[#This Row],[FRETE]]+Tabela2246[[#This Row],[DESPESAS]]+Tabela2246[[#This Row],[IPI]]+Tabela2246[[#This Row],[Vl. Produto]])*Tabela2246[[#This Row],[Aliq.%]]</f>
        <v>0</v>
      </c>
    </row>
    <row r="471" spans="13:19" x14ac:dyDescent="0.25">
      <c r="M471" s="46"/>
      <c r="N471" s="46"/>
      <c r="O471" s="46"/>
      <c r="P471" s="46"/>
      <c r="R471" s="15">
        <v>7.0000000000000007E-2</v>
      </c>
      <c r="S471" s="18">
        <f>(Tabela2246[[#This Row],[FRETE]]+Tabela2246[[#This Row],[DESPESAS]]+Tabela2246[[#This Row],[IPI]]+Tabela2246[[#This Row],[Vl. Produto]])*Tabela2246[[#This Row],[Aliq.%]]</f>
        <v>0</v>
      </c>
    </row>
    <row r="472" spans="13:19" x14ac:dyDescent="0.25">
      <c r="M472" s="46"/>
      <c r="N472" s="46"/>
      <c r="O472" s="46"/>
      <c r="P472" s="46"/>
      <c r="R472" s="15">
        <v>7.0000000000000007E-2</v>
      </c>
      <c r="S472" s="18">
        <f>(Tabela2246[[#This Row],[FRETE]]+Tabela2246[[#This Row],[DESPESAS]]+Tabela2246[[#This Row],[IPI]]+Tabela2246[[#This Row],[Vl. Produto]])*Tabela2246[[#This Row],[Aliq.%]]</f>
        <v>0</v>
      </c>
    </row>
    <row r="473" spans="13:19" x14ac:dyDescent="0.25">
      <c r="M473" s="46"/>
      <c r="N473" s="46"/>
      <c r="O473" s="46"/>
      <c r="P473" s="46"/>
      <c r="R473" s="15">
        <v>7.0000000000000007E-2</v>
      </c>
      <c r="S473" s="18">
        <f>(Tabela2246[[#This Row],[FRETE]]+Tabela2246[[#This Row],[DESPESAS]]+Tabela2246[[#This Row],[IPI]]+Tabela2246[[#This Row],[Vl. Produto]])*Tabela2246[[#This Row],[Aliq.%]]</f>
        <v>0</v>
      </c>
    </row>
    <row r="474" spans="13:19" x14ac:dyDescent="0.25">
      <c r="M474" s="46"/>
      <c r="N474" s="46"/>
      <c r="O474" s="46"/>
      <c r="P474" s="46"/>
      <c r="R474" s="15">
        <v>7.0000000000000007E-2</v>
      </c>
      <c r="S474" s="18">
        <f>(Tabela2246[[#This Row],[FRETE]]+Tabela2246[[#This Row],[DESPESAS]]+Tabela2246[[#This Row],[IPI]]+Tabela2246[[#This Row],[Vl. Produto]])*Tabela2246[[#This Row],[Aliq.%]]</f>
        <v>0</v>
      </c>
    </row>
    <row r="475" spans="13:19" x14ac:dyDescent="0.25">
      <c r="M475" s="46"/>
      <c r="N475" s="46"/>
      <c r="O475" s="46"/>
      <c r="P475" s="46"/>
      <c r="R475" s="15">
        <v>7.0000000000000007E-2</v>
      </c>
      <c r="S475" s="18">
        <f>(Tabela2246[[#This Row],[FRETE]]+Tabela2246[[#This Row],[DESPESAS]]+Tabela2246[[#This Row],[IPI]]+Tabela2246[[#This Row],[Vl. Produto]])*Tabela2246[[#This Row],[Aliq.%]]</f>
        <v>0</v>
      </c>
    </row>
    <row r="476" spans="13:19" x14ac:dyDescent="0.25">
      <c r="M476" s="46"/>
      <c r="N476" s="46"/>
      <c r="O476" s="46"/>
      <c r="P476" s="46"/>
      <c r="R476" s="15">
        <v>7.0000000000000007E-2</v>
      </c>
      <c r="S476" s="18">
        <f>(Tabela2246[[#This Row],[FRETE]]+Tabela2246[[#This Row],[DESPESAS]]+Tabela2246[[#This Row],[IPI]]+Tabela2246[[#This Row],[Vl. Produto]])*Tabela2246[[#This Row],[Aliq.%]]</f>
        <v>0</v>
      </c>
    </row>
    <row r="477" spans="13:19" x14ac:dyDescent="0.25">
      <c r="M477" s="46"/>
      <c r="N477" s="46"/>
      <c r="O477" s="46"/>
      <c r="P477" s="46"/>
      <c r="R477" s="15">
        <v>7.0000000000000007E-2</v>
      </c>
      <c r="S477" s="18">
        <f>(Tabela2246[[#This Row],[FRETE]]+Tabela2246[[#This Row],[DESPESAS]]+Tabela2246[[#This Row],[IPI]]+Tabela2246[[#This Row],[Vl. Produto]])*Tabela2246[[#This Row],[Aliq.%]]</f>
        <v>0</v>
      </c>
    </row>
    <row r="478" spans="13:19" x14ac:dyDescent="0.25">
      <c r="M478" s="46"/>
      <c r="N478" s="46"/>
      <c r="O478" s="46"/>
      <c r="P478" s="46"/>
      <c r="R478" s="15">
        <v>7.0000000000000007E-2</v>
      </c>
      <c r="S478" s="18">
        <f>(Tabela2246[[#This Row],[FRETE]]+Tabela2246[[#This Row],[DESPESAS]]+Tabela2246[[#This Row],[IPI]]+Tabela2246[[#This Row],[Vl. Produto]])*Tabela2246[[#This Row],[Aliq.%]]</f>
        <v>0</v>
      </c>
    </row>
    <row r="479" spans="13:19" x14ac:dyDescent="0.25">
      <c r="M479" s="46"/>
      <c r="N479" s="46"/>
      <c r="O479" s="46"/>
      <c r="P479" s="46"/>
      <c r="R479" s="15">
        <v>7.0000000000000007E-2</v>
      </c>
      <c r="S479" s="18">
        <f>(Tabela2246[[#This Row],[FRETE]]+Tabela2246[[#This Row],[DESPESAS]]+Tabela2246[[#This Row],[IPI]]+Tabela2246[[#This Row],[Vl. Produto]])*Tabela2246[[#This Row],[Aliq.%]]</f>
        <v>0</v>
      </c>
    </row>
    <row r="480" spans="13:19" x14ac:dyDescent="0.25">
      <c r="M480" s="46"/>
      <c r="N480" s="46"/>
      <c r="O480" s="46"/>
      <c r="P480" s="46"/>
      <c r="R480" s="15">
        <v>7.0000000000000007E-2</v>
      </c>
      <c r="S480" s="18">
        <f>(Tabela2246[[#This Row],[FRETE]]+Tabela2246[[#This Row],[DESPESAS]]+Tabela2246[[#This Row],[IPI]]+Tabela2246[[#This Row],[Vl. Produto]])*Tabela2246[[#This Row],[Aliq.%]]</f>
        <v>0</v>
      </c>
    </row>
    <row r="481" spans="13:19" x14ac:dyDescent="0.25">
      <c r="M481" s="46"/>
      <c r="N481" s="46"/>
      <c r="O481" s="46"/>
      <c r="P481" s="46"/>
      <c r="R481" s="15">
        <v>7.0000000000000007E-2</v>
      </c>
      <c r="S481" s="18">
        <f>(Tabela2246[[#This Row],[FRETE]]+Tabela2246[[#This Row],[DESPESAS]]+Tabela2246[[#This Row],[IPI]]+Tabela2246[[#This Row],[Vl. Produto]])*Tabela2246[[#This Row],[Aliq.%]]</f>
        <v>0</v>
      </c>
    </row>
    <row r="482" spans="13:19" x14ac:dyDescent="0.25">
      <c r="M482" s="46"/>
      <c r="N482" s="46"/>
      <c r="O482" s="46"/>
      <c r="P482" s="46"/>
      <c r="R482" s="15">
        <v>7.0000000000000007E-2</v>
      </c>
      <c r="S482" s="18">
        <f>(Tabela2246[[#This Row],[FRETE]]+Tabela2246[[#This Row],[DESPESAS]]+Tabela2246[[#This Row],[IPI]]+Tabela2246[[#This Row],[Vl. Produto]])*Tabela2246[[#This Row],[Aliq.%]]</f>
        <v>0</v>
      </c>
    </row>
    <row r="483" spans="13:19" x14ac:dyDescent="0.25">
      <c r="M483" s="46"/>
      <c r="N483" s="46"/>
      <c r="O483" s="46"/>
      <c r="P483" s="46"/>
      <c r="R483" s="15">
        <v>7.0000000000000007E-2</v>
      </c>
      <c r="S483" s="18">
        <f>(Tabela2246[[#This Row],[FRETE]]+Tabela2246[[#This Row],[DESPESAS]]+Tabela2246[[#This Row],[IPI]]+Tabela2246[[#This Row],[Vl. Produto]])*Tabela2246[[#This Row],[Aliq.%]]</f>
        <v>0</v>
      </c>
    </row>
    <row r="484" spans="13:19" x14ac:dyDescent="0.25">
      <c r="M484" s="46"/>
      <c r="N484" s="46"/>
      <c r="O484" s="46"/>
      <c r="P484" s="46"/>
      <c r="R484" s="15">
        <v>7.0000000000000007E-2</v>
      </c>
      <c r="S484" s="18">
        <f>(Tabela2246[[#This Row],[FRETE]]+Tabela2246[[#This Row],[DESPESAS]]+Tabela2246[[#This Row],[IPI]]+Tabela2246[[#This Row],[Vl. Produto]])*Tabela2246[[#This Row],[Aliq.%]]</f>
        <v>0</v>
      </c>
    </row>
    <row r="485" spans="13:19" x14ac:dyDescent="0.25">
      <c r="M485" s="46"/>
      <c r="N485" s="46"/>
      <c r="O485" s="46"/>
      <c r="P485" s="46"/>
      <c r="R485" s="15">
        <v>7.0000000000000007E-2</v>
      </c>
      <c r="S485" s="18">
        <f>(Tabela2246[[#This Row],[FRETE]]+Tabela2246[[#This Row],[DESPESAS]]+Tabela2246[[#This Row],[IPI]]+Tabela2246[[#This Row],[Vl. Produto]])*Tabela2246[[#This Row],[Aliq.%]]</f>
        <v>0</v>
      </c>
    </row>
    <row r="486" spans="13:19" x14ac:dyDescent="0.25">
      <c r="M486" s="46"/>
      <c r="N486" s="46"/>
      <c r="O486" s="46"/>
      <c r="P486" s="46"/>
      <c r="R486" s="15">
        <v>7.0000000000000007E-2</v>
      </c>
      <c r="S486" s="18">
        <f>(Tabela2246[[#This Row],[FRETE]]+Tabela2246[[#This Row],[DESPESAS]]+Tabela2246[[#This Row],[IPI]]+Tabela2246[[#This Row],[Vl. Produto]])*Tabela2246[[#This Row],[Aliq.%]]</f>
        <v>0</v>
      </c>
    </row>
    <row r="487" spans="13:19" x14ac:dyDescent="0.25">
      <c r="M487" s="46"/>
      <c r="N487" s="46"/>
      <c r="O487" s="46"/>
      <c r="P487" s="46"/>
      <c r="R487" s="15">
        <v>7.0000000000000007E-2</v>
      </c>
      <c r="S487" s="18">
        <f>(Tabela2246[[#This Row],[FRETE]]+Tabela2246[[#This Row],[DESPESAS]]+Tabela2246[[#This Row],[IPI]]+Tabela2246[[#This Row],[Vl. Produto]])*Tabela2246[[#This Row],[Aliq.%]]</f>
        <v>0</v>
      </c>
    </row>
    <row r="488" spans="13:19" x14ac:dyDescent="0.25">
      <c r="M488" s="46"/>
      <c r="N488" s="46"/>
      <c r="O488" s="46"/>
      <c r="P488" s="46"/>
      <c r="R488" s="15">
        <v>7.0000000000000007E-2</v>
      </c>
      <c r="S488" s="18">
        <f>(Tabela2246[[#This Row],[FRETE]]+Tabela2246[[#This Row],[DESPESAS]]+Tabela2246[[#This Row],[IPI]]+Tabela2246[[#This Row],[Vl. Produto]])*Tabela2246[[#This Row],[Aliq.%]]</f>
        <v>0</v>
      </c>
    </row>
    <row r="489" spans="13:19" x14ac:dyDescent="0.25">
      <c r="M489" s="46"/>
      <c r="N489" s="46"/>
      <c r="O489" s="46"/>
      <c r="P489" s="46"/>
      <c r="R489" s="15">
        <v>7.0000000000000007E-2</v>
      </c>
      <c r="S489" s="18">
        <f>(Tabela2246[[#This Row],[FRETE]]+Tabela2246[[#This Row],[DESPESAS]]+Tabela2246[[#This Row],[IPI]]+Tabela2246[[#This Row],[Vl. Produto]])*Tabela2246[[#This Row],[Aliq.%]]</f>
        <v>0</v>
      </c>
    </row>
    <row r="490" spans="13:19" x14ac:dyDescent="0.25">
      <c r="M490" s="46"/>
      <c r="N490" s="46"/>
      <c r="O490" s="46"/>
      <c r="P490" s="46"/>
      <c r="R490" s="15">
        <v>7.0000000000000007E-2</v>
      </c>
      <c r="S490" s="18">
        <f>(Tabela2246[[#This Row],[FRETE]]+Tabela2246[[#This Row],[DESPESAS]]+Tabela2246[[#This Row],[IPI]]+Tabela2246[[#This Row],[Vl. Produto]])*Tabela2246[[#This Row],[Aliq.%]]</f>
        <v>0</v>
      </c>
    </row>
    <row r="491" spans="13:19" x14ac:dyDescent="0.25">
      <c r="M491" s="46"/>
      <c r="N491" s="46"/>
      <c r="O491" s="46"/>
      <c r="P491" s="46"/>
      <c r="R491" s="15">
        <v>7.0000000000000007E-2</v>
      </c>
      <c r="S491" s="18">
        <f>(Tabela2246[[#This Row],[FRETE]]+Tabela2246[[#This Row],[DESPESAS]]+Tabela2246[[#This Row],[IPI]]+Tabela2246[[#This Row],[Vl. Produto]])*Tabela2246[[#This Row],[Aliq.%]]</f>
        <v>0</v>
      </c>
    </row>
    <row r="492" spans="13:19" x14ac:dyDescent="0.25">
      <c r="M492" s="46"/>
      <c r="N492" s="46"/>
      <c r="O492" s="46"/>
      <c r="P492" s="46"/>
      <c r="R492" s="15">
        <v>7.0000000000000007E-2</v>
      </c>
      <c r="S492" s="18">
        <f>(Tabela2246[[#This Row],[FRETE]]+Tabela2246[[#This Row],[DESPESAS]]+Tabela2246[[#This Row],[IPI]]+Tabela2246[[#This Row],[Vl. Produto]])*Tabela2246[[#This Row],[Aliq.%]]</f>
        <v>0</v>
      </c>
    </row>
    <row r="493" spans="13:19" x14ac:dyDescent="0.25">
      <c r="M493" s="46"/>
      <c r="N493" s="46"/>
      <c r="O493" s="46"/>
      <c r="P493" s="46"/>
      <c r="R493" s="15">
        <v>7.0000000000000007E-2</v>
      </c>
      <c r="S493" s="18">
        <f>(Tabela2246[[#This Row],[FRETE]]+Tabela2246[[#This Row],[DESPESAS]]+Tabela2246[[#This Row],[IPI]]+Tabela2246[[#This Row],[Vl. Produto]])*Tabela2246[[#This Row],[Aliq.%]]</f>
        <v>0</v>
      </c>
    </row>
    <row r="494" spans="13:19" x14ac:dyDescent="0.25">
      <c r="M494" s="46"/>
      <c r="N494" s="46"/>
      <c r="O494" s="46"/>
      <c r="P494" s="46"/>
      <c r="R494" s="15">
        <v>7.0000000000000007E-2</v>
      </c>
      <c r="S494" s="18">
        <f>(Tabela2246[[#This Row],[FRETE]]+Tabela2246[[#This Row],[DESPESAS]]+Tabela2246[[#This Row],[IPI]]+Tabela2246[[#This Row],[Vl. Produto]])*Tabela2246[[#This Row],[Aliq.%]]</f>
        <v>0</v>
      </c>
    </row>
    <row r="495" spans="13:19" x14ac:dyDescent="0.25">
      <c r="M495" s="46"/>
      <c r="N495" s="46"/>
      <c r="O495" s="46"/>
      <c r="P495" s="46"/>
      <c r="R495" s="15">
        <v>7.0000000000000007E-2</v>
      </c>
      <c r="S495" s="18">
        <f>(Tabela2246[[#This Row],[FRETE]]+Tabela2246[[#This Row],[DESPESAS]]+Tabela2246[[#This Row],[IPI]]+Tabela2246[[#This Row],[Vl. Produto]])*Tabela2246[[#This Row],[Aliq.%]]</f>
        <v>0</v>
      </c>
    </row>
    <row r="496" spans="13:19" x14ac:dyDescent="0.25">
      <c r="M496" s="46"/>
      <c r="N496" s="46"/>
      <c r="O496" s="46"/>
      <c r="P496" s="46"/>
      <c r="R496" s="15">
        <v>7.0000000000000007E-2</v>
      </c>
      <c r="S496" s="18">
        <f>(Tabela2246[[#This Row],[FRETE]]+Tabela2246[[#This Row],[DESPESAS]]+Tabela2246[[#This Row],[IPI]]+Tabela2246[[#This Row],[Vl. Produto]])*Tabela2246[[#This Row],[Aliq.%]]</f>
        <v>0</v>
      </c>
    </row>
    <row r="497" spans="13:19" x14ac:dyDescent="0.25">
      <c r="M497" s="46"/>
      <c r="N497" s="46"/>
      <c r="O497" s="46"/>
      <c r="P497" s="46"/>
      <c r="R497" s="15">
        <v>7.0000000000000007E-2</v>
      </c>
      <c r="S497" s="18">
        <f>(Tabela2246[[#This Row],[FRETE]]+Tabela2246[[#This Row],[DESPESAS]]+Tabela2246[[#This Row],[IPI]]+Tabela2246[[#This Row],[Vl. Produto]])*Tabela2246[[#This Row],[Aliq.%]]</f>
        <v>0</v>
      </c>
    </row>
    <row r="498" spans="13:19" x14ac:dyDescent="0.25">
      <c r="M498" s="46"/>
      <c r="N498" s="46"/>
      <c r="O498" s="46"/>
      <c r="P498" s="46"/>
      <c r="R498" s="15">
        <v>7.0000000000000007E-2</v>
      </c>
      <c r="S498" s="18">
        <f>(Tabela2246[[#This Row],[FRETE]]+Tabela2246[[#This Row],[DESPESAS]]+Tabela2246[[#This Row],[IPI]]+Tabela2246[[#This Row],[Vl. Produto]])*Tabela2246[[#This Row],[Aliq.%]]</f>
        <v>0</v>
      </c>
    </row>
    <row r="499" spans="13:19" x14ac:dyDescent="0.25">
      <c r="M499" s="46"/>
      <c r="N499" s="46"/>
      <c r="O499" s="46"/>
      <c r="P499" s="46"/>
      <c r="R499" s="15">
        <v>7.0000000000000007E-2</v>
      </c>
      <c r="S499" s="18">
        <f>(Tabela2246[[#This Row],[FRETE]]+Tabela2246[[#This Row],[DESPESAS]]+Tabela2246[[#This Row],[IPI]]+Tabela2246[[#This Row],[Vl. Produto]])*Tabela2246[[#This Row],[Aliq.%]]</f>
        <v>0</v>
      </c>
    </row>
    <row r="500" spans="13:19" x14ac:dyDescent="0.25">
      <c r="M500" s="46"/>
      <c r="N500" s="46"/>
      <c r="O500" s="46"/>
      <c r="P500" s="46"/>
      <c r="R500" s="15">
        <v>7.0000000000000007E-2</v>
      </c>
      <c r="S500" s="18">
        <f>(Tabela2246[[#This Row],[FRETE]]+Tabela2246[[#This Row],[DESPESAS]]+Tabela2246[[#This Row],[IPI]]+Tabela2246[[#This Row],[Vl. Produto]])*Tabela2246[[#This Row],[Aliq.%]]</f>
        <v>0</v>
      </c>
    </row>
    <row r="501" spans="13:19" x14ac:dyDescent="0.25">
      <c r="M501" s="46"/>
      <c r="N501" s="46"/>
      <c r="O501" s="46"/>
      <c r="P501" s="46"/>
      <c r="R501" s="15">
        <v>7.0000000000000007E-2</v>
      </c>
      <c r="S501" s="18">
        <f>(Tabela2246[[#This Row],[FRETE]]+Tabela2246[[#This Row],[DESPESAS]]+Tabela2246[[#This Row],[IPI]]+Tabela2246[[#This Row],[Vl. Produto]])*Tabela2246[[#This Row],[Aliq.%]]</f>
        <v>0</v>
      </c>
    </row>
    <row r="502" spans="13:19" x14ac:dyDescent="0.25">
      <c r="M502" s="46"/>
      <c r="N502" s="46"/>
      <c r="O502" s="46"/>
      <c r="P502" s="46"/>
      <c r="R502" s="15">
        <v>7.0000000000000007E-2</v>
      </c>
      <c r="S502" s="18">
        <f>(Tabela2246[[#This Row],[FRETE]]+Tabela2246[[#This Row],[DESPESAS]]+Tabela2246[[#This Row],[IPI]]+Tabela2246[[#This Row],[Vl. Produto]])*Tabela2246[[#This Row],[Aliq.%]]</f>
        <v>0</v>
      </c>
    </row>
    <row r="503" spans="13:19" x14ac:dyDescent="0.25">
      <c r="M503" s="46"/>
      <c r="N503" s="46"/>
      <c r="O503" s="46"/>
      <c r="P503" s="46"/>
      <c r="R503" s="15">
        <v>7.0000000000000007E-2</v>
      </c>
      <c r="S503" s="18">
        <f>(Tabela2246[[#This Row],[FRETE]]+Tabela2246[[#This Row],[DESPESAS]]+Tabela2246[[#This Row],[IPI]]+Tabela2246[[#This Row],[Vl. Produto]])*Tabela2246[[#This Row],[Aliq.%]]</f>
        <v>0</v>
      </c>
    </row>
    <row r="504" spans="13:19" x14ac:dyDescent="0.25">
      <c r="M504" s="46"/>
      <c r="N504" s="46"/>
      <c r="O504" s="46"/>
      <c r="P504" s="46"/>
      <c r="R504" s="15">
        <v>7.0000000000000007E-2</v>
      </c>
      <c r="S504" s="18">
        <f>(Tabela2246[[#This Row],[FRETE]]+Tabela2246[[#This Row],[DESPESAS]]+Tabela2246[[#This Row],[IPI]]+Tabela2246[[#This Row],[Vl. Produto]])*Tabela2246[[#This Row],[Aliq.%]]</f>
        <v>0</v>
      </c>
    </row>
    <row r="505" spans="13:19" x14ac:dyDescent="0.25">
      <c r="M505" s="46"/>
      <c r="N505" s="46"/>
      <c r="O505" s="46"/>
      <c r="P505" s="46"/>
      <c r="R505" s="15">
        <v>7.0000000000000007E-2</v>
      </c>
      <c r="S505" s="18">
        <f>(Tabela2246[[#This Row],[FRETE]]+Tabela2246[[#This Row],[DESPESAS]]+Tabela2246[[#This Row],[IPI]]+Tabela2246[[#This Row],[Vl. Produto]])*Tabela2246[[#This Row],[Aliq.%]]</f>
        <v>0</v>
      </c>
    </row>
    <row r="506" spans="13:19" x14ac:dyDescent="0.25">
      <c r="M506" s="46"/>
      <c r="N506" s="46"/>
      <c r="O506" s="46"/>
      <c r="P506" s="46"/>
      <c r="R506" s="15">
        <v>7.0000000000000007E-2</v>
      </c>
      <c r="S506" s="18">
        <f>(Tabela2246[[#This Row],[FRETE]]+Tabela2246[[#This Row],[DESPESAS]]+Tabela2246[[#This Row],[IPI]]+Tabela2246[[#This Row],[Vl. Produto]])*Tabela2246[[#This Row],[Aliq.%]]</f>
        <v>0</v>
      </c>
    </row>
    <row r="507" spans="13:19" x14ac:dyDescent="0.25">
      <c r="M507" s="46"/>
      <c r="N507" s="46"/>
      <c r="O507" s="46"/>
      <c r="P507" s="46"/>
      <c r="R507" s="15">
        <v>7.0000000000000007E-2</v>
      </c>
      <c r="S507" s="18">
        <f>(Tabela2246[[#This Row],[FRETE]]+Tabela2246[[#This Row],[DESPESAS]]+Tabela2246[[#This Row],[IPI]]+Tabela2246[[#This Row],[Vl. Produto]])*Tabela2246[[#This Row],[Aliq.%]]</f>
        <v>0</v>
      </c>
    </row>
    <row r="508" spans="13:19" x14ac:dyDescent="0.25">
      <c r="M508" s="46"/>
      <c r="N508" s="46"/>
      <c r="O508" s="46"/>
      <c r="P508" s="46"/>
      <c r="R508" s="15">
        <v>7.0000000000000007E-2</v>
      </c>
      <c r="S508" s="18">
        <f>(Tabela2246[[#This Row],[FRETE]]+Tabela2246[[#This Row],[DESPESAS]]+Tabela2246[[#This Row],[IPI]]+Tabela2246[[#This Row],[Vl. Produto]])*Tabela2246[[#This Row],[Aliq.%]]</f>
        <v>0</v>
      </c>
    </row>
    <row r="509" spans="13:19" x14ac:dyDescent="0.25">
      <c r="M509" s="46"/>
      <c r="N509" s="46"/>
      <c r="O509" s="46"/>
      <c r="P509" s="46"/>
      <c r="R509" s="15">
        <v>7.0000000000000007E-2</v>
      </c>
      <c r="S509" s="18">
        <f>(Tabela2246[[#This Row],[FRETE]]+Tabela2246[[#This Row],[DESPESAS]]+Tabela2246[[#This Row],[IPI]]+Tabela2246[[#This Row],[Vl. Produto]])*Tabela2246[[#This Row],[Aliq.%]]</f>
        <v>0</v>
      </c>
    </row>
    <row r="510" spans="13:19" x14ac:dyDescent="0.25">
      <c r="M510" s="46"/>
      <c r="N510" s="46"/>
      <c r="O510" s="46"/>
      <c r="P510" s="46"/>
      <c r="R510" s="15">
        <v>7.0000000000000007E-2</v>
      </c>
      <c r="S510" s="18">
        <f>(Tabela2246[[#This Row],[FRETE]]+Tabela2246[[#This Row],[DESPESAS]]+Tabela2246[[#This Row],[IPI]]+Tabela2246[[#This Row],[Vl. Produto]])*Tabela2246[[#This Row],[Aliq.%]]</f>
        <v>0</v>
      </c>
    </row>
    <row r="511" spans="13:19" x14ac:dyDescent="0.25">
      <c r="M511" s="46"/>
      <c r="N511" s="46"/>
      <c r="O511" s="46"/>
      <c r="P511" s="46"/>
      <c r="R511" s="15">
        <v>7.0000000000000007E-2</v>
      </c>
      <c r="S511" s="18">
        <f>(Tabela2246[[#This Row],[FRETE]]+Tabela2246[[#This Row],[DESPESAS]]+Tabela2246[[#This Row],[IPI]]+Tabela2246[[#This Row],[Vl. Produto]])*Tabela2246[[#This Row],[Aliq.%]]</f>
        <v>0</v>
      </c>
    </row>
    <row r="512" spans="13:19" x14ac:dyDescent="0.25">
      <c r="M512" s="46"/>
      <c r="N512" s="46"/>
      <c r="O512" s="46"/>
      <c r="P512" s="46"/>
      <c r="R512" s="15">
        <v>7.0000000000000007E-2</v>
      </c>
      <c r="S512" s="18">
        <f>(Tabela2246[[#This Row],[FRETE]]+Tabela2246[[#This Row],[DESPESAS]]+Tabela2246[[#This Row],[IPI]]+Tabela2246[[#This Row],[Vl. Produto]])*Tabela2246[[#This Row],[Aliq.%]]</f>
        <v>0</v>
      </c>
    </row>
    <row r="513" spans="13:19" x14ac:dyDescent="0.25">
      <c r="M513" s="46"/>
      <c r="N513" s="46"/>
      <c r="O513" s="46"/>
      <c r="P513" s="46"/>
      <c r="R513" s="15">
        <v>7.0000000000000007E-2</v>
      </c>
      <c r="S513" s="18">
        <f>(Tabela2246[[#This Row],[FRETE]]+Tabela2246[[#This Row],[DESPESAS]]+Tabela2246[[#This Row],[IPI]]+Tabela2246[[#This Row],[Vl. Produto]])*Tabela2246[[#This Row],[Aliq.%]]</f>
        <v>0</v>
      </c>
    </row>
    <row r="514" spans="13:19" x14ac:dyDescent="0.25">
      <c r="M514" s="46"/>
      <c r="N514" s="46"/>
      <c r="O514" s="46"/>
      <c r="P514" s="46"/>
      <c r="R514" s="15">
        <v>7.0000000000000007E-2</v>
      </c>
      <c r="S514" s="18">
        <f>(Tabela2246[[#This Row],[FRETE]]+Tabela2246[[#This Row],[DESPESAS]]+Tabela2246[[#This Row],[IPI]]+Tabela2246[[#This Row],[Vl. Produto]])*Tabela2246[[#This Row],[Aliq.%]]</f>
        <v>0</v>
      </c>
    </row>
    <row r="515" spans="13:19" x14ac:dyDescent="0.25">
      <c r="M515" s="46"/>
      <c r="N515" s="46"/>
      <c r="O515" s="46"/>
      <c r="P515" s="46"/>
      <c r="R515" s="15">
        <v>7.0000000000000007E-2</v>
      </c>
      <c r="S515" s="18">
        <f>(Tabela2246[[#This Row],[FRETE]]+Tabela2246[[#This Row],[DESPESAS]]+Tabela2246[[#This Row],[IPI]]+Tabela2246[[#This Row],[Vl. Produto]])*Tabela2246[[#This Row],[Aliq.%]]</f>
        <v>0</v>
      </c>
    </row>
    <row r="516" spans="13:19" x14ac:dyDescent="0.25">
      <c r="M516" s="46"/>
      <c r="N516" s="46"/>
      <c r="O516" s="46"/>
      <c r="P516" s="46"/>
      <c r="R516" s="15">
        <v>7.0000000000000007E-2</v>
      </c>
      <c r="S516" s="18">
        <f>(Tabela2246[[#This Row],[FRETE]]+Tabela2246[[#This Row],[DESPESAS]]+Tabela2246[[#This Row],[IPI]]+Tabela2246[[#This Row],[Vl. Produto]])*Tabela2246[[#This Row],[Aliq.%]]</f>
        <v>0</v>
      </c>
    </row>
    <row r="517" spans="13:19" x14ac:dyDescent="0.25">
      <c r="M517" s="46"/>
      <c r="N517" s="46"/>
      <c r="O517" s="46"/>
      <c r="P517" s="46"/>
      <c r="R517" s="15">
        <v>7.0000000000000007E-2</v>
      </c>
      <c r="S517" s="18">
        <f>(Tabela2246[[#This Row],[FRETE]]+Tabela2246[[#This Row],[DESPESAS]]+Tabela2246[[#This Row],[IPI]]+Tabela2246[[#This Row],[Vl. Produto]])*Tabela2246[[#This Row],[Aliq.%]]</f>
        <v>0</v>
      </c>
    </row>
    <row r="518" spans="13:19" x14ac:dyDescent="0.25">
      <c r="M518" s="46"/>
      <c r="N518" s="46"/>
      <c r="O518" s="46"/>
      <c r="P518" s="46"/>
      <c r="R518" s="15">
        <v>7.0000000000000007E-2</v>
      </c>
      <c r="S518" s="18">
        <f>(Tabela2246[[#This Row],[FRETE]]+Tabela2246[[#This Row],[DESPESAS]]+Tabela2246[[#This Row],[IPI]]+Tabela2246[[#This Row],[Vl. Produto]])*Tabela2246[[#This Row],[Aliq.%]]</f>
        <v>0</v>
      </c>
    </row>
    <row r="519" spans="13:19" x14ac:dyDescent="0.25">
      <c r="M519" s="46"/>
      <c r="N519" s="46"/>
      <c r="O519" s="46"/>
      <c r="P519" s="46"/>
      <c r="R519" s="15">
        <v>7.0000000000000007E-2</v>
      </c>
      <c r="S519" s="18">
        <f>(Tabela2246[[#This Row],[FRETE]]+Tabela2246[[#This Row],[DESPESAS]]+Tabela2246[[#This Row],[IPI]]+Tabela2246[[#This Row],[Vl. Produto]])*Tabela2246[[#This Row],[Aliq.%]]</f>
        <v>0</v>
      </c>
    </row>
    <row r="520" spans="13:19" x14ac:dyDescent="0.25">
      <c r="M520" s="46"/>
      <c r="N520" s="46"/>
      <c r="O520" s="46"/>
      <c r="P520" s="46"/>
      <c r="R520" s="15">
        <v>7.0000000000000007E-2</v>
      </c>
      <c r="S520" s="18">
        <f>(Tabela2246[[#This Row],[FRETE]]+Tabela2246[[#This Row],[DESPESAS]]+Tabela2246[[#This Row],[IPI]]+Tabela2246[[#This Row],[Vl. Produto]])*Tabela2246[[#This Row],[Aliq.%]]</f>
        <v>0</v>
      </c>
    </row>
    <row r="521" spans="13:19" x14ac:dyDescent="0.25">
      <c r="M521" s="46"/>
      <c r="N521" s="46"/>
      <c r="O521" s="46"/>
      <c r="P521" s="46"/>
      <c r="R521" s="15">
        <v>7.0000000000000007E-2</v>
      </c>
      <c r="S521" s="18">
        <f>(Tabela2246[[#This Row],[FRETE]]+Tabela2246[[#This Row],[DESPESAS]]+Tabela2246[[#This Row],[IPI]]+Tabela2246[[#This Row],[Vl. Produto]])*Tabela2246[[#This Row],[Aliq.%]]</f>
        <v>0</v>
      </c>
    </row>
    <row r="522" spans="13:19" x14ac:dyDescent="0.25">
      <c r="M522" s="46"/>
      <c r="N522" s="46"/>
      <c r="O522" s="46"/>
      <c r="P522" s="46"/>
      <c r="R522" s="15">
        <v>7.0000000000000007E-2</v>
      </c>
      <c r="S522" s="18">
        <f>(Tabela2246[[#This Row],[FRETE]]+Tabela2246[[#This Row],[DESPESAS]]+Tabela2246[[#This Row],[IPI]]+Tabela2246[[#This Row],[Vl. Produto]])*Tabela2246[[#This Row],[Aliq.%]]</f>
        <v>0</v>
      </c>
    </row>
    <row r="523" spans="13:19" x14ac:dyDescent="0.25">
      <c r="M523" s="46"/>
      <c r="N523" s="46"/>
      <c r="O523" s="46"/>
      <c r="P523" s="46"/>
      <c r="R523" s="15">
        <v>7.0000000000000007E-2</v>
      </c>
      <c r="S523" s="18">
        <f>(Tabela2246[[#This Row],[FRETE]]+Tabela2246[[#This Row],[DESPESAS]]+Tabela2246[[#This Row],[IPI]]+Tabela2246[[#This Row],[Vl. Produto]])*Tabela2246[[#This Row],[Aliq.%]]</f>
        <v>0</v>
      </c>
    </row>
    <row r="524" spans="13:19" x14ac:dyDescent="0.25">
      <c r="M524" s="46"/>
      <c r="N524" s="46"/>
      <c r="O524" s="46"/>
      <c r="P524" s="46"/>
      <c r="R524" s="15">
        <v>7.0000000000000007E-2</v>
      </c>
      <c r="S524" s="18">
        <f>(Tabela2246[[#This Row],[FRETE]]+Tabela2246[[#This Row],[DESPESAS]]+Tabela2246[[#This Row],[IPI]]+Tabela2246[[#This Row],[Vl. Produto]])*Tabela2246[[#This Row],[Aliq.%]]</f>
        <v>0</v>
      </c>
    </row>
    <row r="525" spans="13:19" x14ac:dyDescent="0.25">
      <c r="M525" s="46"/>
      <c r="N525" s="46"/>
      <c r="O525" s="46"/>
      <c r="P525" s="46"/>
      <c r="R525" s="15">
        <v>7.0000000000000007E-2</v>
      </c>
      <c r="S525" s="18">
        <f>(Tabela2246[[#This Row],[FRETE]]+Tabela2246[[#This Row],[DESPESAS]]+Tabela2246[[#This Row],[IPI]]+Tabela2246[[#This Row],[Vl. Produto]])*Tabela2246[[#This Row],[Aliq.%]]</f>
        <v>0</v>
      </c>
    </row>
    <row r="526" spans="13:19" x14ac:dyDescent="0.25">
      <c r="M526" s="46"/>
      <c r="N526" s="46"/>
      <c r="O526" s="46"/>
      <c r="P526" s="46"/>
      <c r="R526" s="15">
        <v>7.0000000000000007E-2</v>
      </c>
      <c r="S526" s="18">
        <f>(Tabela2246[[#This Row],[FRETE]]+Tabela2246[[#This Row],[DESPESAS]]+Tabela2246[[#This Row],[IPI]]+Tabela2246[[#This Row],[Vl. Produto]])*Tabela2246[[#This Row],[Aliq.%]]</f>
        <v>0</v>
      </c>
    </row>
    <row r="527" spans="13:19" x14ac:dyDescent="0.25">
      <c r="M527" s="46"/>
      <c r="N527" s="46"/>
      <c r="O527" s="46"/>
      <c r="P527" s="46"/>
      <c r="R527" s="15">
        <v>7.0000000000000007E-2</v>
      </c>
      <c r="S527" s="18">
        <f>(Tabela2246[[#This Row],[FRETE]]+Tabela2246[[#This Row],[DESPESAS]]+Tabela2246[[#This Row],[IPI]]+Tabela2246[[#This Row],[Vl. Produto]])*Tabela2246[[#This Row],[Aliq.%]]</f>
        <v>0</v>
      </c>
    </row>
    <row r="528" spans="13:19" x14ac:dyDescent="0.25">
      <c r="M528" s="46"/>
      <c r="N528" s="46"/>
      <c r="O528" s="46"/>
      <c r="P528" s="46"/>
      <c r="R528" s="15">
        <v>7.0000000000000007E-2</v>
      </c>
      <c r="S528" s="18">
        <f>(Tabela2246[[#This Row],[FRETE]]+Tabela2246[[#This Row],[DESPESAS]]+Tabela2246[[#This Row],[IPI]]+Tabela2246[[#This Row],[Vl. Produto]])*Tabela2246[[#This Row],[Aliq.%]]</f>
        <v>0</v>
      </c>
    </row>
    <row r="529" spans="13:19" x14ac:dyDescent="0.25">
      <c r="M529" s="46"/>
      <c r="N529" s="46"/>
      <c r="O529" s="46"/>
      <c r="P529" s="46"/>
      <c r="R529" s="15">
        <v>7.0000000000000007E-2</v>
      </c>
      <c r="S529" s="18">
        <f>(Tabela2246[[#This Row],[FRETE]]+Tabela2246[[#This Row],[DESPESAS]]+Tabela2246[[#This Row],[IPI]]+Tabela2246[[#This Row],[Vl. Produto]])*Tabela2246[[#This Row],[Aliq.%]]</f>
        <v>0</v>
      </c>
    </row>
    <row r="530" spans="13:19" x14ac:dyDescent="0.25">
      <c r="M530" s="46"/>
      <c r="N530" s="46"/>
      <c r="O530" s="46"/>
      <c r="P530" s="46"/>
      <c r="R530" s="15">
        <v>7.0000000000000007E-2</v>
      </c>
      <c r="S530" s="18">
        <f>(Tabela2246[[#This Row],[FRETE]]+Tabela2246[[#This Row],[DESPESAS]]+Tabela2246[[#This Row],[IPI]]+Tabela2246[[#This Row],[Vl. Produto]])*Tabela2246[[#This Row],[Aliq.%]]</f>
        <v>0</v>
      </c>
    </row>
    <row r="531" spans="13:19" x14ac:dyDescent="0.25">
      <c r="M531" s="46"/>
      <c r="N531" s="46"/>
      <c r="O531" s="46"/>
      <c r="P531" s="46"/>
      <c r="R531" s="15">
        <v>7.0000000000000007E-2</v>
      </c>
      <c r="S531" s="18">
        <f>(Tabela2246[[#This Row],[FRETE]]+Tabela2246[[#This Row],[DESPESAS]]+Tabela2246[[#This Row],[IPI]]+Tabela2246[[#This Row],[Vl. Produto]])*Tabela2246[[#This Row],[Aliq.%]]</f>
        <v>0</v>
      </c>
    </row>
    <row r="532" spans="13:19" x14ac:dyDescent="0.25">
      <c r="M532" s="46"/>
      <c r="N532" s="46"/>
      <c r="O532" s="46"/>
      <c r="P532" s="46"/>
      <c r="R532" s="15">
        <v>7.0000000000000007E-2</v>
      </c>
      <c r="S532" s="18">
        <f>(Tabela2246[[#This Row],[FRETE]]+Tabela2246[[#This Row],[DESPESAS]]+Tabela2246[[#This Row],[IPI]]+Tabela2246[[#This Row],[Vl. Produto]])*Tabela2246[[#This Row],[Aliq.%]]</f>
        <v>0</v>
      </c>
    </row>
    <row r="533" spans="13:19" x14ac:dyDescent="0.25">
      <c r="M533" s="46"/>
      <c r="N533" s="46"/>
      <c r="O533" s="46"/>
      <c r="P533" s="46"/>
      <c r="R533" s="15">
        <v>7.0000000000000007E-2</v>
      </c>
      <c r="S533" s="18">
        <f>(Tabela2246[[#This Row],[FRETE]]+Tabela2246[[#This Row],[DESPESAS]]+Tabela2246[[#This Row],[IPI]]+Tabela2246[[#This Row],[Vl. Produto]])*Tabela2246[[#This Row],[Aliq.%]]</f>
        <v>0</v>
      </c>
    </row>
    <row r="534" spans="13:19" x14ac:dyDescent="0.25">
      <c r="M534" s="46"/>
      <c r="N534" s="46"/>
      <c r="O534" s="46"/>
      <c r="P534" s="46"/>
      <c r="R534" s="15">
        <v>7.0000000000000007E-2</v>
      </c>
      <c r="S534" s="18">
        <f>(Tabela2246[[#This Row],[FRETE]]+Tabela2246[[#This Row],[DESPESAS]]+Tabela2246[[#This Row],[IPI]]+Tabela2246[[#This Row],[Vl. Produto]])*Tabela2246[[#This Row],[Aliq.%]]</f>
        <v>0</v>
      </c>
    </row>
    <row r="535" spans="13:19" x14ac:dyDescent="0.25">
      <c r="M535" s="46"/>
      <c r="N535" s="46"/>
      <c r="O535" s="46"/>
      <c r="P535" s="46"/>
      <c r="R535" s="15">
        <v>7.0000000000000007E-2</v>
      </c>
      <c r="S535" s="18">
        <f>(Tabela2246[[#This Row],[FRETE]]+Tabela2246[[#This Row],[DESPESAS]]+Tabela2246[[#This Row],[IPI]]+Tabela2246[[#This Row],[Vl. Produto]])*Tabela2246[[#This Row],[Aliq.%]]</f>
        <v>0</v>
      </c>
    </row>
    <row r="536" spans="13:19" x14ac:dyDescent="0.25">
      <c r="M536" s="46"/>
      <c r="N536" s="46"/>
      <c r="O536" s="46"/>
      <c r="P536" s="46"/>
      <c r="R536" s="15">
        <v>7.0000000000000007E-2</v>
      </c>
      <c r="S536" s="18">
        <f>(Tabela2246[[#This Row],[FRETE]]+Tabela2246[[#This Row],[DESPESAS]]+Tabela2246[[#This Row],[IPI]]+Tabela2246[[#This Row],[Vl. Produto]])*Tabela2246[[#This Row],[Aliq.%]]</f>
        <v>0</v>
      </c>
    </row>
    <row r="537" spans="13:19" x14ac:dyDescent="0.25">
      <c r="M537" s="46"/>
      <c r="N537" s="46"/>
      <c r="O537" s="46"/>
      <c r="P537" s="46"/>
      <c r="R537" s="15">
        <v>7.0000000000000007E-2</v>
      </c>
      <c r="S537" s="18">
        <f>(Tabela2246[[#This Row],[FRETE]]+Tabela2246[[#This Row],[DESPESAS]]+Tabela2246[[#This Row],[IPI]]+Tabela2246[[#This Row],[Vl. Produto]])*Tabela2246[[#This Row],[Aliq.%]]</f>
        <v>0</v>
      </c>
    </row>
    <row r="538" spans="13:19" x14ac:dyDescent="0.25">
      <c r="M538" s="46"/>
      <c r="N538" s="46"/>
      <c r="O538" s="46"/>
      <c r="P538" s="46"/>
      <c r="R538" s="15">
        <v>7.0000000000000007E-2</v>
      </c>
      <c r="S538" s="18">
        <f>(Tabela2246[[#This Row],[FRETE]]+Tabela2246[[#This Row],[DESPESAS]]+Tabela2246[[#This Row],[IPI]]+Tabela2246[[#This Row],[Vl. Produto]])*Tabela2246[[#This Row],[Aliq.%]]</f>
        <v>0</v>
      </c>
    </row>
    <row r="539" spans="13:19" x14ac:dyDescent="0.25">
      <c r="M539" s="46"/>
      <c r="N539" s="46"/>
      <c r="O539" s="46"/>
      <c r="P539" s="46"/>
      <c r="R539" s="15">
        <v>7.0000000000000007E-2</v>
      </c>
      <c r="S539" s="18">
        <f>(Tabela2246[[#This Row],[FRETE]]+Tabela2246[[#This Row],[DESPESAS]]+Tabela2246[[#This Row],[IPI]]+Tabela2246[[#This Row],[Vl. Produto]])*Tabela2246[[#This Row],[Aliq.%]]</f>
        <v>0</v>
      </c>
    </row>
    <row r="540" spans="13:19" x14ac:dyDescent="0.25">
      <c r="M540" s="46"/>
      <c r="N540" s="46"/>
      <c r="O540" s="46"/>
      <c r="P540" s="46"/>
      <c r="R540" s="15">
        <v>7.0000000000000007E-2</v>
      </c>
      <c r="S540" s="18">
        <f>(Tabela2246[[#This Row],[FRETE]]+Tabela2246[[#This Row],[DESPESAS]]+Tabela2246[[#This Row],[IPI]]+Tabela2246[[#This Row],[Vl. Produto]])*Tabela2246[[#This Row],[Aliq.%]]</f>
        <v>0</v>
      </c>
    </row>
    <row r="541" spans="13:19" x14ac:dyDescent="0.25">
      <c r="M541" s="46"/>
      <c r="N541" s="46"/>
      <c r="O541" s="46"/>
      <c r="P541" s="46"/>
      <c r="R541" s="15">
        <v>7.0000000000000007E-2</v>
      </c>
      <c r="S541" s="18">
        <f>(Tabela2246[[#This Row],[FRETE]]+Tabela2246[[#This Row],[DESPESAS]]+Tabela2246[[#This Row],[IPI]]+Tabela2246[[#This Row],[Vl. Produto]])*Tabela2246[[#This Row],[Aliq.%]]</f>
        <v>0</v>
      </c>
    </row>
    <row r="542" spans="13:19" x14ac:dyDescent="0.25">
      <c r="M542" s="46"/>
      <c r="N542" s="46"/>
      <c r="O542" s="46"/>
      <c r="P542" s="46"/>
      <c r="R542" s="15">
        <v>7.0000000000000007E-2</v>
      </c>
      <c r="S542" s="18">
        <f>(Tabela2246[[#This Row],[FRETE]]+Tabela2246[[#This Row],[DESPESAS]]+Tabela2246[[#This Row],[IPI]]+Tabela2246[[#This Row],[Vl. Produto]])*Tabela2246[[#This Row],[Aliq.%]]</f>
        <v>0</v>
      </c>
    </row>
    <row r="543" spans="13:19" x14ac:dyDescent="0.25">
      <c r="M543" s="46"/>
      <c r="N543" s="46"/>
      <c r="O543" s="46"/>
      <c r="P543" s="46"/>
      <c r="R543" s="15">
        <v>7.0000000000000007E-2</v>
      </c>
      <c r="S543" s="18">
        <f>(Tabela2246[[#This Row],[FRETE]]+Tabela2246[[#This Row],[DESPESAS]]+Tabela2246[[#This Row],[IPI]]+Tabela2246[[#This Row],[Vl. Produto]])*Tabela2246[[#This Row],[Aliq.%]]</f>
        <v>0</v>
      </c>
    </row>
    <row r="544" spans="13:19" x14ac:dyDescent="0.25">
      <c r="M544" s="46"/>
      <c r="N544" s="46"/>
      <c r="O544" s="46"/>
      <c r="P544" s="46"/>
      <c r="R544" s="15">
        <v>7.0000000000000007E-2</v>
      </c>
      <c r="S544" s="18">
        <f>(Tabela2246[[#This Row],[FRETE]]+Tabela2246[[#This Row],[DESPESAS]]+Tabela2246[[#This Row],[IPI]]+Tabela2246[[#This Row],[Vl. Produto]])*Tabela2246[[#This Row],[Aliq.%]]</f>
        <v>0</v>
      </c>
    </row>
    <row r="545" spans="13:19" x14ac:dyDescent="0.25">
      <c r="M545" s="46"/>
      <c r="N545" s="46"/>
      <c r="O545" s="46"/>
      <c r="P545" s="46"/>
      <c r="R545" s="15">
        <v>7.0000000000000007E-2</v>
      </c>
      <c r="S545" s="18">
        <f>(Tabela2246[[#This Row],[FRETE]]+Tabela2246[[#This Row],[DESPESAS]]+Tabela2246[[#This Row],[IPI]]+Tabela2246[[#This Row],[Vl. Produto]])*Tabela2246[[#This Row],[Aliq.%]]</f>
        <v>0</v>
      </c>
    </row>
    <row r="546" spans="13:19" x14ac:dyDescent="0.25">
      <c r="M546" s="46"/>
      <c r="N546" s="46"/>
      <c r="O546" s="46"/>
      <c r="P546" s="46"/>
      <c r="R546" s="15">
        <v>7.0000000000000007E-2</v>
      </c>
      <c r="S546" s="18">
        <f>(Tabela2246[[#This Row],[FRETE]]+Tabela2246[[#This Row],[DESPESAS]]+Tabela2246[[#This Row],[IPI]]+Tabela2246[[#This Row],[Vl. Produto]])*Tabela2246[[#This Row],[Aliq.%]]</f>
        <v>0</v>
      </c>
    </row>
    <row r="547" spans="13:19" x14ac:dyDescent="0.25">
      <c r="M547" s="46"/>
      <c r="N547" s="46"/>
      <c r="O547" s="46"/>
      <c r="P547" s="46"/>
      <c r="R547" s="15">
        <v>7.0000000000000007E-2</v>
      </c>
      <c r="S547" s="18">
        <f>(Tabela2246[[#This Row],[FRETE]]+Tabela2246[[#This Row],[DESPESAS]]+Tabela2246[[#This Row],[IPI]]+Tabela2246[[#This Row],[Vl. Produto]])*Tabela2246[[#This Row],[Aliq.%]]</f>
        <v>0</v>
      </c>
    </row>
    <row r="548" spans="13:19" x14ac:dyDescent="0.25">
      <c r="M548" s="46"/>
      <c r="N548" s="46"/>
      <c r="O548" s="46"/>
      <c r="P548" s="46"/>
      <c r="R548" s="15">
        <v>7.0000000000000007E-2</v>
      </c>
      <c r="S548" s="18">
        <f>(Tabela2246[[#This Row],[FRETE]]+Tabela2246[[#This Row],[DESPESAS]]+Tabela2246[[#This Row],[IPI]]+Tabela2246[[#This Row],[Vl. Produto]])*Tabela2246[[#This Row],[Aliq.%]]</f>
        <v>0</v>
      </c>
    </row>
    <row r="549" spans="13:19" x14ac:dyDescent="0.25">
      <c r="M549" s="46"/>
      <c r="N549" s="46"/>
      <c r="O549" s="46"/>
      <c r="P549" s="46"/>
      <c r="R549" s="15">
        <v>7.0000000000000007E-2</v>
      </c>
      <c r="S549" s="18">
        <f>(Tabela2246[[#This Row],[FRETE]]+Tabela2246[[#This Row],[DESPESAS]]+Tabela2246[[#This Row],[IPI]]+Tabela2246[[#This Row],[Vl. Produto]])*Tabela2246[[#This Row],[Aliq.%]]</f>
        <v>0</v>
      </c>
    </row>
    <row r="550" spans="13:19" x14ac:dyDescent="0.25">
      <c r="M550" s="46"/>
      <c r="N550" s="46"/>
      <c r="O550" s="46"/>
      <c r="P550" s="46"/>
      <c r="R550" s="15">
        <v>7.0000000000000007E-2</v>
      </c>
      <c r="S550" s="18">
        <f>(Tabela2246[[#This Row],[FRETE]]+Tabela2246[[#This Row],[DESPESAS]]+Tabela2246[[#This Row],[IPI]]+Tabela2246[[#This Row],[Vl. Produto]])*Tabela2246[[#This Row],[Aliq.%]]</f>
        <v>0</v>
      </c>
    </row>
    <row r="551" spans="13:19" x14ac:dyDescent="0.25">
      <c r="M551" s="46"/>
      <c r="N551" s="46"/>
      <c r="O551" s="46"/>
      <c r="P551" s="46"/>
      <c r="R551" s="15">
        <v>7.0000000000000007E-2</v>
      </c>
      <c r="S551" s="18">
        <f>(Tabela2246[[#This Row],[FRETE]]+Tabela2246[[#This Row],[DESPESAS]]+Tabela2246[[#This Row],[IPI]]+Tabela2246[[#This Row],[Vl. Produto]])*Tabela2246[[#This Row],[Aliq.%]]</f>
        <v>0</v>
      </c>
    </row>
    <row r="552" spans="13:19" x14ac:dyDescent="0.25">
      <c r="M552" s="46"/>
      <c r="N552" s="46"/>
      <c r="O552" s="46"/>
      <c r="P552" s="46"/>
      <c r="R552" s="15">
        <v>7.0000000000000007E-2</v>
      </c>
      <c r="S552" s="18">
        <f>(Tabela2246[[#This Row],[FRETE]]+Tabela2246[[#This Row],[DESPESAS]]+Tabela2246[[#This Row],[IPI]]+Tabela2246[[#This Row],[Vl. Produto]])*Tabela2246[[#This Row],[Aliq.%]]</f>
        <v>0</v>
      </c>
    </row>
    <row r="553" spans="13:19" x14ac:dyDescent="0.25">
      <c r="M553" s="46"/>
      <c r="N553" s="46"/>
      <c r="O553" s="46"/>
      <c r="P553" s="46"/>
      <c r="R553" s="15">
        <v>7.0000000000000007E-2</v>
      </c>
      <c r="S553" s="18">
        <f>(Tabela2246[[#This Row],[FRETE]]+Tabela2246[[#This Row],[DESPESAS]]+Tabela2246[[#This Row],[IPI]]+Tabela2246[[#This Row],[Vl. Produto]])*Tabela2246[[#This Row],[Aliq.%]]</f>
        <v>0</v>
      </c>
    </row>
    <row r="554" spans="13:19" x14ac:dyDescent="0.25">
      <c r="M554" s="46"/>
      <c r="N554" s="46"/>
      <c r="O554" s="46"/>
      <c r="P554" s="46"/>
      <c r="R554" s="15">
        <v>7.0000000000000007E-2</v>
      </c>
      <c r="S554" s="18">
        <f>(Tabela2246[[#This Row],[FRETE]]+Tabela2246[[#This Row],[DESPESAS]]+Tabela2246[[#This Row],[IPI]]+Tabela2246[[#This Row],[Vl. Produto]])*Tabela2246[[#This Row],[Aliq.%]]</f>
        <v>0</v>
      </c>
    </row>
    <row r="555" spans="13:19" x14ac:dyDescent="0.25">
      <c r="M555" s="46"/>
      <c r="N555" s="46"/>
      <c r="O555" s="46"/>
      <c r="P555" s="46"/>
      <c r="R555" s="15">
        <v>7.0000000000000007E-2</v>
      </c>
      <c r="S555" s="18">
        <f>(Tabela2246[[#This Row],[FRETE]]+Tabela2246[[#This Row],[DESPESAS]]+Tabela2246[[#This Row],[IPI]]+Tabela2246[[#This Row],[Vl. Produto]])*Tabela2246[[#This Row],[Aliq.%]]</f>
        <v>0</v>
      </c>
    </row>
    <row r="556" spans="13:19" x14ac:dyDescent="0.25">
      <c r="M556" s="46"/>
      <c r="N556" s="46"/>
      <c r="O556" s="46"/>
      <c r="P556" s="46"/>
      <c r="R556" s="15">
        <v>7.0000000000000007E-2</v>
      </c>
      <c r="S556" s="18">
        <f>(Tabela2246[[#This Row],[FRETE]]+Tabela2246[[#This Row],[DESPESAS]]+Tabela2246[[#This Row],[IPI]]+Tabela2246[[#This Row],[Vl. Produto]])*Tabela2246[[#This Row],[Aliq.%]]</f>
        <v>0</v>
      </c>
    </row>
    <row r="557" spans="13:19" x14ac:dyDescent="0.25">
      <c r="M557" s="46"/>
      <c r="N557" s="46"/>
      <c r="O557" s="46"/>
      <c r="P557" s="46"/>
      <c r="R557" s="15">
        <v>7.0000000000000007E-2</v>
      </c>
      <c r="S557" s="18">
        <f>(Tabela2246[[#This Row],[FRETE]]+Tabela2246[[#This Row],[DESPESAS]]+Tabela2246[[#This Row],[IPI]]+Tabela2246[[#This Row],[Vl. Produto]])*Tabela2246[[#This Row],[Aliq.%]]</f>
        <v>0</v>
      </c>
    </row>
    <row r="558" spans="13:19" x14ac:dyDescent="0.25">
      <c r="M558" s="46"/>
      <c r="N558" s="46"/>
      <c r="O558" s="46"/>
      <c r="P558" s="46"/>
      <c r="R558" s="15">
        <v>7.0000000000000007E-2</v>
      </c>
      <c r="S558" s="18">
        <f>(Tabela2246[[#This Row],[FRETE]]+Tabela2246[[#This Row],[DESPESAS]]+Tabela2246[[#This Row],[IPI]]+Tabela2246[[#This Row],[Vl. Produto]])*Tabela2246[[#This Row],[Aliq.%]]</f>
        <v>0</v>
      </c>
    </row>
    <row r="559" spans="13:19" x14ac:dyDescent="0.25">
      <c r="M559" s="46"/>
      <c r="N559" s="46"/>
      <c r="O559" s="46"/>
      <c r="P559" s="46"/>
      <c r="R559" s="15">
        <v>7.0000000000000007E-2</v>
      </c>
      <c r="S559" s="18">
        <f>(Tabela2246[[#This Row],[FRETE]]+Tabela2246[[#This Row],[DESPESAS]]+Tabela2246[[#This Row],[IPI]]+Tabela2246[[#This Row],[Vl. Produto]])*Tabela2246[[#This Row],[Aliq.%]]</f>
        <v>0</v>
      </c>
    </row>
    <row r="560" spans="13:19" x14ac:dyDescent="0.25">
      <c r="M560" s="46"/>
      <c r="N560" s="46"/>
      <c r="O560" s="46"/>
      <c r="P560" s="46"/>
      <c r="R560" s="15">
        <v>7.0000000000000007E-2</v>
      </c>
      <c r="S560" s="18">
        <f>(Tabela2246[[#This Row],[FRETE]]+Tabela2246[[#This Row],[DESPESAS]]+Tabela2246[[#This Row],[IPI]]+Tabela2246[[#This Row],[Vl. Produto]])*Tabela2246[[#This Row],[Aliq.%]]</f>
        <v>0</v>
      </c>
    </row>
    <row r="561" spans="13:19" x14ac:dyDescent="0.25">
      <c r="M561" s="46"/>
      <c r="N561" s="46"/>
      <c r="O561" s="46"/>
      <c r="P561" s="46"/>
      <c r="R561" s="15">
        <v>7.0000000000000007E-2</v>
      </c>
      <c r="S561" s="18">
        <f>(Tabela2246[[#This Row],[FRETE]]+Tabela2246[[#This Row],[DESPESAS]]+Tabela2246[[#This Row],[IPI]]+Tabela2246[[#This Row],[Vl. Produto]])*Tabela2246[[#This Row],[Aliq.%]]</f>
        <v>0</v>
      </c>
    </row>
    <row r="562" spans="13:19" x14ac:dyDescent="0.25">
      <c r="M562" s="46"/>
      <c r="N562" s="46"/>
      <c r="O562" s="46"/>
      <c r="P562" s="46"/>
      <c r="R562" s="15">
        <v>7.0000000000000007E-2</v>
      </c>
      <c r="S562" s="18">
        <f>(Tabela2246[[#This Row],[FRETE]]+Tabela2246[[#This Row],[DESPESAS]]+Tabela2246[[#This Row],[IPI]]+Tabela2246[[#This Row],[Vl. Produto]])*Tabela2246[[#This Row],[Aliq.%]]</f>
        <v>0</v>
      </c>
    </row>
    <row r="563" spans="13:19" x14ac:dyDescent="0.25">
      <c r="M563" s="46"/>
      <c r="N563" s="46"/>
      <c r="O563" s="46"/>
      <c r="P563" s="46"/>
      <c r="R563" s="15">
        <v>7.0000000000000007E-2</v>
      </c>
      <c r="S563" s="18">
        <f>(Tabela2246[[#This Row],[FRETE]]+Tabela2246[[#This Row],[DESPESAS]]+Tabela2246[[#This Row],[IPI]]+Tabela2246[[#This Row],[Vl. Produto]])*Tabela2246[[#This Row],[Aliq.%]]</f>
        <v>0</v>
      </c>
    </row>
    <row r="564" spans="13:19" x14ac:dyDescent="0.25">
      <c r="M564" s="46"/>
      <c r="N564" s="46"/>
      <c r="O564" s="46"/>
      <c r="P564" s="46"/>
      <c r="R564" s="15">
        <v>7.0000000000000007E-2</v>
      </c>
      <c r="S564" s="18">
        <f>(Tabela2246[[#This Row],[FRETE]]+Tabela2246[[#This Row],[DESPESAS]]+Tabela2246[[#This Row],[IPI]]+Tabela2246[[#This Row],[Vl. Produto]])*Tabela2246[[#This Row],[Aliq.%]]</f>
        <v>0</v>
      </c>
    </row>
    <row r="565" spans="13:19" x14ac:dyDescent="0.25">
      <c r="M565" s="46"/>
      <c r="N565" s="46"/>
      <c r="O565" s="46"/>
      <c r="P565" s="46"/>
      <c r="R565" s="15">
        <v>7.0000000000000007E-2</v>
      </c>
      <c r="S565" s="18">
        <f>(Tabela2246[[#This Row],[FRETE]]+Tabela2246[[#This Row],[DESPESAS]]+Tabela2246[[#This Row],[IPI]]+Tabela2246[[#This Row],[Vl. Produto]])*Tabela2246[[#This Row],[Aliq.%]]</f>
        <v>0</v>
      </c>
    </row>
    <row r="566" spans="13:19" x14ac:dyDescent="0.25">
      <c r="M566" s="46"/>
      <c r="N566" s="46"/>
      <c r="O566" s="46"/>
      <c r="P566" s="46"/>
      <c r="R566" s="15">
        <v>7.0000000000000007E-2</v>
      </c>
      <c r="S566" s="18">
        <f>(Tabela2246[[#This Row],[FRETE]]+Tabela2246[[#This Row],[DESPESAS]]+Tabela2246[[#This Row],[IPI]]+Tabela2246[[#This Row],[Vl. Produto]])*Tabela2246[[#This Row],[Aliq.%]]</f>
        <v>0</v>
      </c>
    </row>
    <row r="567" spans="13:19" x14ac:dyDescent="0.25">
      <c r="M567" s="46"/>
      <c r="N567" s="46"/>
      <c r="O567" s="46"/>
      <c r="P567" s="46"/>
      <c r="R567" s="15">
        <v>7.0000000000000007E-2</v>
      </c>
      <c r="S567" s="18">
        <f>(Tabela2246[[#This Row],[FRETE]]+Tabela2246[[#This Row],[DESPESAS]]+Tabela2246[[#This Row],[IPI]]+Tabela2246[[#This Row],[Vl. Produto]])*Tabela2246[[#This Row],[Aliq.%]]</f>
        <v>0</v>
      </c>
    </row>
    <row r="568" spans="13:19" x14ac:dyDescent="0.25">
      <c r="M568" s="46"/>
      <c r="N568" s="46"/>
      <c r="O568" s="46"/>
      <c r="P568" s="46"/>
      <c r="R568" s="15">
        <v>7.0000000000000007E-2</v>
      </c>
      <c r="S568" s="18">
        <f>(Tabela2246[[#This Row],[FRETE]]+Tabela2246[[#This Row],[DESPESAS]]+Tabela2246[[#This Row],[IPI]]+Tabela2246[[#This Row],[Vl. Produto]])*Tabela2246[[#This Row],[Aliq.%]]</f>
        <v>0</v>
      </c>
    </row>
    <row r="569" spans="13:19" x14ac:dyDescent="0.25">
      <c r="M569" s="46"/>
      <c r="N569" s="46"/>
      <c r="O569" s="46"/>
      <c r="P569" s="46"/>
      <c r="R569" s="15">
        <v>7.0000000000000007E-2</v>
      </c>
      <c r="S569" s="18">
        <f>(Tabela2246[[#This Row],[FRETE]]+Tabela2246[[#This Row],[DESPESAS]]+Tabela2246[[#This Row],[IPI]]+Tabela2246[[#This Row],[Vl. Produto]])*Tabela2246[[#This Row],[Aliq.%]]</f>
        <v>0</v>
      </c>
    </row>
    <row r="570" spans="13:19" x14ac:dyDescent="0.25">
      <c r="M570" s="46"/>
      <c r="N570" s="46"/>
      <c r="O570" s="46"/>
      <c r="P570" s="46"/>
      <c r="R570" s="15">
        <v>7.0000000000000007E-2</v>
      </c>
      <c r="S570" s="18">
        <f>(Tabela2246[[#This Row],[FRETE]]+Tabela2246[[#This Row],[DESPESAS]]+Tabela2246[[#This Row],[IPI]]+Tabela2246[[#This Row],[Vl. Produto]])*Tabela2246[[#This Row],[Aliq.%]]</f>
        <v>0</v>
      </c>
    </row>
    <row r="571" spans="13:19" x14ac:dyDescent="0.25">
      <c r="M571" s="46"/>
      <c r="N571" s="46"/>
      <c r="O571" s="46"/>
      <c r="P571" s="46"/>
      <c r="R571" s="15">
        <v>7.0000000000000007E-2</v>
      </c>
      <c r="S571" s="18">
        <f>(Tabela2246[[#This Row],[FRETE]]+Tabela2246[[#This Row],[DESPESAS]]+Tabela2246[[#This Row],[IPI]]+Tabela2246[[#This Row],[Vl. Produto]])*Tabela2246[[#This Row],[Aliq.%]]</f>
        <v>0</v>
      </c>
    </row>
    <row r="572" spans="13:19" x14ac:dyDescent="0.25">
      <c r="M572" s="46"/>
      <c r="N572" s="46"/>
      <c r="O572" s="46"/>
      <c r="P572" s="46"/>
      <c r="R572" s="15">
        <v>7.0000000000000007E-2</v>
      </c>
      <c r="S572" s="18">
        <f>(Tabela2246[[#This Row],[FRETE]]+Tabela2246[[#This Row],[DESPESAS]]+Tabela2246[[#This Row],[IPI]]+Tabela2246[[#This Row],[Vl. Produto]])*Tabela2246[[#This Row],[Aliq.%]]</f>
        <v>0</v>
      </c>
    </row>
    <row r="573" spans="13:19" x14ac:dyDescent="0.25">
      <c r="M573" s="46"/>
      <c r="N573" s="46"/>
      <c r="O573" s="46"/>
      <c r="P573" s="46"/>
      <c r="R573" s="15">
        <v>7.0000000000000007E-2</v>
      </c>
      <c r="S573" s="18">
        <f>(Tabela2246[[#This Row],[FRETE]]+Tabela2246[[#This Row],[DESPESAS]]+Tabela2246[[#This Row],[IPI]]+Tabela2246[[#This Row],[Vl. Produto]])*Tabela2246[[#This Row],[Aliq.%]]</f>
        <v>0</v>
      </c>
    </row>
    <row r="574" spans="13:19" x14ac:dyDescent="0.25">
      <c r="M574" s="46"/>
      <c r="N574" s="46"/>
      <c r="O574" s="46"/>
      <c r="P574" s="46"/>
      <c r="R574" s="15">
        <v>7.0000000000000007E-2</v>
      </c>
      <c r="S574" s="18">
        <f>(Tabela2246[[#This Row],[FRETE]]+Tabela2246[[#This Row],[DESPESAS]]+Tabela2246[[#This Row],[IPI]]+Tabela2246[[#This Row],[Vl. Produto]])*Tabela2246[[#This Row],[Aliq.%]]</f>
        <v>0</v>
      </c>
    </row>
    <row r="575" spans="13:19" x14ac:dyDescent="0.25">
      <c r="M575" s="46"/>
      <c r="N575" s="46"/>
      <c r="O575" s="46"/>
      <c r="P575" s="46"/>
      <c r="R575" s="15">
        <v>7.0000000000000007E-2</v>
      </c>
      <c r="S575" s="18">
        <f>(Tabela2246[[#This Row],[FRETE]]+Tabela2246[[#This Row],[DESPESAS]]+Tabela2246[[#This Row],[IPI]]+Tabela2246[[#This Row],[Vl. Produto]])*Tabela2246[[#This Row],[Aliq.%]]</f>
        <v>0</v>
      </c>
    </row>
    <row r="576" spans="13:19" x14ac:dyDescent="0.25">
      <c r="M576" s="46"/>
      <c r="N576" s="46"/>
      <c r="O576" s="46"/>
      <c r="P576" s="46"/>
      <c r="R576" s="15">
        <v>7.0000000000000007E-2</v>
      </c>
      <c r="S576" s="18">
        <f>(Tabela2246[[#This Row],[FRETE]]+Tabela2246[[#This Row],[DESPESAS]]+Tabela2246[[#This Row],[IPI]]+Tabela2246[[#This Row],[Vl. Produto]])*Tabela2246[[#This Row],[Aliq.%]]</f>
        <v>0</v>
      </c>
    </row>
    <row r="577" spans="13:19" x14ac:dyDescent="0.25">
      <c r="M577" s="46"/>
      <c r="N577" s="46"/>
      <c r="O577" s="46"/>
      <c r="P577" s="46"/>
      <c r="R577" s="15">
        <v>7.0000000000000007E-2</v>
      </c>
      <c r="S577" s="18">
        <f>(Tabela2246[[#This Row],[FRETE]]+Tabela2246[[#This Row],[DESPESAS]]+Tabela2246[[#This Row],[IPI]]+Tabela2246[[#This Row],[Vl. Produto]])*Tabela2246[[#This Row],[Aliq.%]]</f>
        <v>0</v>
      </c>
    </row>
    <row r="578" spans="13:19" x14ac:dyDescent="0.25">
      <c r="M578" s="46"/>
      <c r="N578" s="46"/>
      <c r="O578" s="46"/>
      <c r="P578" s="46"/>
      <c r="R578" s="15">
        <v>7.0000000000000007E-2</v>
      </c>
      <c r="S578" s="18">
        <f>(Tabela2246[[#This Row],[FRETE]]+Tabela2246[[#This Row],[DESPESAS]]+Tabela2246[[#This Row],[IPI]]+Tabela2246[[#This Row],[Vl. Produto]])*Tabela2246[[#This Row],[Aliq.%]]</f>
        <v>0</v>
      </c>
    </row>
    <row r="579" spans="13:19" x14ac:dyDescent="0.25">
      <c r="M579" s="46"/>
      <c r="N579" s="46"/>
      <c r="O579" s="46"/>
      <c r="P579" s="46"/>
      <c r="R579" s="15">
        <v>7.0000000000000007E-2</v>
      </c>
      <c r="S579" s="18">
        <f>(Tabela2246[[#This Row],[FRETE]]+Tabela2246[[#This Row],[DESPESAS]]+Tabela2246[[#This Row],[IPI]]+Tabela2246[[#This Row],[Vl. Produto]])*Tabela2246[[#This Row],[Aliq.%]]</f>
        <v>0</v>
      </c>
    </row>
    <row r="580" spans="13:19" x14ac:dyDescent="0.25">
      <c r="M580" s="46"/>
      <c r="N580" s="46"/>
      <c r="O580" s="46"/>
      <c r="P580" s="46"/>
      <c r="R580" s="15">
        <v>7.0000000000000007E-2</v>
      </c>
      <c r="S580" s="18">
        <f>(Tabela2246[[#This Row],[FRETE]]+Tabela2246[[#This Row],[DESPESAS]]+Tabela2246[[#This Row],[IPI]]+Tabela2246[[#This Row],[Vl. Produto]])*Tabela2246[[#This Row],[Aliq.%]]</f>
        <v>0</v>
      </c>
    </row>
    <row r="581" spans="13:19" x14ac:dyDescent="0.25">
      <c r="M581" s="46"/>
      <c r="N581" s="46"/>
      <c r="O581" s="46"/>
      <c r="P581" s="46"/>
      <c r="R581" s="15">
        <v>7.0000000000000007E-2</v>
      </c>
      <c r="S581" s="18">
        <f>(Tabela2246[[#This Row],[FRETE]]+Tabela2246[[#This Row],[DESPESAS]]+Tabela2246[[#This Row],[IPI]]+Tabela2246[[#This Row],[Vl. Produto]])*Tabela2246[[#This Row],[Aliq.%]]</f>
        <v>0</v>
      </c>
    </row>
    <row r="582" spans="13:19" x14ac:dyDescent="0.25">
      <c r="M582" s="46"/>
      <c r="N582" s="46"/>
      <c r="O582" s="46"/>
      <c r="P582" s="46"/>
      <c r="R582" s="15">
        <v>7.0000000000000007E-2</v>
      </c>
      <c r="S582" s="18">
        <f>(Tabela2246[[#This Row],[FRETE]]+Tabela2246[[#This Row],[DESPESAS]]+Tabela2246[[#This Row],[IPI]]+Tabela2246[[#This Row],[Vl. Produto]])*Tabela2246[[#This Row],[Aliq.%]]</f>
        <v>0</v>
      </c>
    </row>
    <row r="583" spans="13:19" x14ac:dyDescent="0.25">
      <c r="M583" s="46"/>
      <c r="N583" s="46"/>
      <c r="O583" s="46"/>
      <c r="P583" s="46"/>
      <c r="R583" s="15">
        <v>7.0000000000000007E-2</v>
      </c>
      <c r="S583" s="18">
        <f>(Tabela2246[[#This Row],[FRETE]]+Tabela2246[[#This Row],[DESPESAS]]+Tabela2246[[#This Row],[IPI]]+Tabela2246[[#This Row],[Vl. Produto]])*Tabela2246[[#This Row],[Aliq.%]]</f>
        <v>0</v>
      </c>
    </row>
    <row r="584" spans="13:19" x14ac:dyDescent="0.25">
      <c r="M584" s="46"/>
      <c r="N584" s="46"/>
      <c r="O584" s="46"/>
      <c r="P584" s="46"/>
      <c r="R584" s="15">
        <v>7.0000000000000007E-2</v>
      </c>
      <c r="S584" s="18">
        <f>(Tabela2246[[#This Row],[FRETE]]+Tabela2246[[#This Row],[DESPESAS]]+Tabela2246[[#This Row],[IPI]]+Tabela2246[[#This Row],[Vl. Produto]])*Tabela2246[[#This Row],[Aliq.%]]</f>
        <v>0</v>
      </c>
    </row>
    <row r="585" spans="13:19" x14ac:dyDescent="0.25">
      <c r="M585" s="46"/>
      <c r="N585" s="46"/>
      <c r="O585" s="46"/>
      <c r="P585" s="46"/>
      <c r="R585" s="15">
        <v>7.0000000000000007E-2</v>
      </c>
      <c r="S585" s="18">
        <f>(Tabela2246[[#This Row],[FRETE]]+Tabela2246[[#This Row],[DESPESAS]]+Tabela2246[[#This Row],[IPI]]+Tabela2246[[#This Row],[Vl. Produto]])*Tabela2246[[#This Row],[Aliq.%]]</f>
        <v>0</v>
      </c>
    </row>
    <row r="586" spans="13:19" x14ac:dyDescent="0.25">
      <c r="M586" s="46"/>
      <c r="N586" s="46"/>
      <c r="O586" s="46"/>
      <c r="P586" s="46"/>
      <c r="R586" s="15">
        <v>7.0000000000000007E-2</v>
      </c>
      <c r="S586" s="18">
        <f>(Tabela2246[[#This Row],[FRETE]]+Tabela2246[[#This Row],[DESPESAS]]+Tabela2246[[#This Row],[IPI]]+Tabela2246[[#This Row],[Vl. Produto]])*Tabela2246[[#This Row],[Aliq.%]]</f>
        <v>0</v>
      </c>
    </row>
    <row r="587" spans="13:19" x14ac:dyDescent="0.25">
      <c r="M587" s="46"/>
      <c r="N587" s="46"/>
      <c r="O587" s="46"/>
      <c r="P587" s="46"/>
      <c r="R587" s="15">
        <v>7.0000000000000007E-2</v>
      </c>
      <c r="S587" s="18">
        <f>(Tabela2246[[#This Row],[FRETE]]+Tabela2246[[#This Row],[DESPESAS]]+Tabela2246[[#This Row],[IPI]]+Tabela2246[[#This Row],[Vl. Produto]])*Tabela2246[[#This Row],[Aliq.%]]</f>
        <v>0</v>
      </c>
    </row>
    <row r="588" spans="13:19" x14ac:dyDescent="0.25">
      <c r="M588" s="46"/>
      <c r="N588" s="46"/>
      <c r="O588" s="46"/>
      <c r="P588" s="46"/>
      <c r="R588" s="15">
        <v>7.0000000000000007E-2</v>
      </c>
      <c r="S588" s="18">
        <f>(Tabela2246[[#This Row],[FRETE]]+Tabela2246[[#This Row],[DESPESAS]]+Tabela2246[[#This Row],[IPI]]+Tabela2246[[#This Row],[Vl. Produto]])*Tabela2246[[#This Row],[Aliq.%]]</f>
        <v>0</v>
      </c>
    </row>
    <row r="589" spans="13:19" x14ac:dyDescent="0.25">
      <c r="M589" s="46"/>
      <c r="N589" s="46"/>
      <c r="O589" s="46"/>
      <c r="P589" s="46"/>
      <c r="R589" s="15">
        <v>7.0000000000000007E-2</v>
      </c>
      <c r="S589" s="18">
        <f>(Tabela2246[[#This Row],[FRETE]]+Tabela2246[[#This Row],[DESPESAS]]+Tabela2246[[#This Row],[IPI]]+Tabela2246[[#This Row],[Vl. Produto]])*Tabela2246[[#This Row],[Aliq.%]]</f>
        <v>0</v>
      </c>
    </row>
    <row r="590" spans="13:19" x14ac:dyDescent="0.25">
      <c r="M590" s="46"/>
      <c r="N590" s="46"/>
      <c r="O590" s="46"/>
      <c r="P590" s="46"/>
      <c r="R590" s="15">
        <v>7.0000000000000007E-2</v>
      </c>
      <c r="S590" s="18">
        <f>(Tabela2246[[#This Row],[FRETE]]+Tabela2246[[#This Row],[DESPESAS]]+Tabela2246[[#This Row],[IPI]]+Tabela2246[[#This Row],[Vl. Produto]])*Tabela2246[[#This Row],[Aliq.%]]</f>
        <v>0</v>
      </c>
    </row>
    <row r="591" spans="13:19" x14ac:dyDescent="0.25">
      <c r="M591" s="46"/>
      <c r="N591" s="46"/>
      <c r="O591" s="46"/>
      <c r="P591" s="46"/>
      <c r="R591" s="15">
        <v>7.0000000000000007E-2</v>
      </c>
      <c r="S591" s="18">
        <f>(Tabela2246[[#This Row],[FRETE]]+Tabela2246[[#This Row],[DESPESAS]]+Tabela2246[[#This Row],[IPI]]+Tabela2246[[#This Row],[Vl. Produto]])*Tabela2246[[#This Row],[Aliq.%]]</f>
        <v>0</v>
      </c>
    </row>
    <row r="592" spans="13:19" x14ac:dyDescent="0.25">
      <c r="M592" s="46"/>
      <c r="N592" s="46"/>
      <c r="O592" s="46"/>
      <c r="P592" s="46"/>
      <c r="R592" s="15">
        <v>7.0000000000000007E-2</v>
      </c>
      <c r="S592" s="18">
        <f>(Tabela2246[[#This Row],[FRETE]]+Tabela2246[[#This Row],[DESPESAS]]+Tabela2246[[#This Row],[IPI]]+Tabela2246[[#This Row],[Vl. Produto]])*Tabela2246[[#This Row],[Aliq.%]]</f>
        <v>0</v>
      </c>
    </row>
    <row r="593" spans="13:19" x14ac:dyDescent="0.25">
      <c r="M593" s="46"/>
      <c r="N593" s="46"/>
      <c r="O593" s="46"/>
      <c r="P593" s="46"/>
      <c r="R593" s="15">
        <v>7.0000000000000007E-2</v>
      </c>
      <c r="S593" s="18">
        <f>(Tabela2246[[#This Row],[FRETE]]+Tabela2246[[#This Row],[DESPESAS]]+Tabela2246[[#This Row],[IPI]]+Tabela2246[[#This Row],[Vl. Produto]])*Tabela2246[[#This Row],[Aliq.%]]</f>
        <v>0</v>
      </c>
    </row>
    <row r="594" spans="13:19" x14ac:dyDescent="0.25">
      <c r="M594" s="46"/>
      <c r="N594" s="46"/>
      <c r="O594" s="46"/>
      <c r="P594" s="46"/>
      <c r="R594" s="15">
        <v>7.0000000000000007E-2</v>
      </c>
      <c r="S594" s="18">
        <f>(Tabela2246[[#This Row],[FRETE]]+Tabela2246[[#This Row],[DESPESAS]]+Tabela2246[[#This Row],[IPI]]+Tabela2246[[#This Row],[Vl. Produto]])*Tabela2246[[#This Row],[Aliq.%]]</f>
        <v>0</v>
      </c>
    </row>
    <row r="595" spans="13:19" x14ac:dyDescent="0.25">
      <c r="M595" s="46"/>
      <c r="N595" s="46"/>
      <c r="O595" s="46"/>
      <c r="P595" s="46"/>
      <c r="R595" s="15">
        <v>7.0000000000000007E-2</v>
      </c>
      <c r="S595" s="18">
        <f>(Tabela2246[[#This Row],[FRETE]]+Tabela2246[[#This Row],[DESPESAS]]+Tabela2246[[#This Row],[IPI]]+Tabela2246[[#This Row],[Vl. Produto]])*Tabela2246[[#This Row],[Aliq.%]]</f>
        <v>0</v>
      </c>
    </row>
    <row r="596" spans="13:19" x14ac:dyDescent="0.25">
      <c r="M596" s="46"/>
      <c r="N596" s="46"/>
      <c r="O596" s="46"/>
      <c r="P596" s="46"/>
      <c r="R596" s="15">
        <v>7.0000000000000007E-2</v>
      </c>
      <c r="S596" s="18">
        <f>(Tabela2246[[#This Row],[FRETE]]+Tabela2246[[#This Row],[DESPESAS]]+Tabela2246[[#This Row],[IPI]]+Tabela2246[[#This Row],[Vl. Produto]])*Tabela2246[[#This Row],[Aliq.%]]</f>
        <v>0</v>
      </c>
    </row>
    <row r="597" spans="13:19" x14ac:dyDescent="0.25">
      <c r="M597" s="46"/>
      <c r="N597" s="46"/>
      <c r="O597" s="46"/>
      <c r="P597" s="46"/>
      <c r="R597" s="15">
        <v>7.0000000000000007E-2</v>
      </c>
      <c r="S597" s="18">
        <f>(Tabela2246[[#This Row],[FRETE]]+Tabela2246[[#This Row],[DESPESAS]]+Tabela2246[[#This Row],[IPI]]+Tabela2246[[#This Row],[Vl. Produto]])*Tabela2246[[#This Row],[Aliq.%]]</f>
        <v>0</v>
      </c>
    </row>
    <row r="598" spans="13:19" x14ac:dyDescent="0.25">
      <c r="M598" s="46"/>
      <c r="N598" s="46"/>
      <c r="O598" s="46"/>
      <c r="P598" s="46"/>
      <c r="R598" s="15">
        <v>7.0000000000000007E-2</v>
      </c>
      <c r="S598" s="18">
        <f>(Tabela2246[[#This Row],[FRETE]]+Tabela2246[[#This Row],[DESPESAS]]+Tabela2246[[#This Row],[IPI]]+Tabela2246[[#This Row],[Vl. Produto]])*Tabela2246[[#This Row],[Aliq.%]]</f>
        <v>0</v>
      </c>
    </row>
    <row r="599" spans="13:19" x14ac:dyDescent="0.25">
      <c r="M599" s="46"/>
      <c r="N599" s="46"/>
      <c r="O599" s="46"/>
      <c r="P599" s="46"/>
      <c r="R599" s="15">
        <v>7.0000000000000007E-2</v>
      </c>
      <c r="S599" s="18">
        <f>(Tabela2246[[#This Row],[FRETE]]+Tabela2246[[#This Row],[DESPESAS]]+Tabela2246[[#This Row],[IPI]]+Tabela2246[[#This Row],[Vl. Produto]])*Tabela2246[[#This Row],[Aliq.%]]</f>
        <v>0</v>
      </c>
    </row>
    <row r="600" spans="13:19" x14ac:dyDescent="0.25">
      <c r="M600" s="46"/>
      <c r="N600" s="46"/>
      <c r="O600" s="46"/>
      <c r="P600" s="46"/>
      <c r="R600" s="15">
        <v>7.0000000000000007E-2</v>
      </c>
      <c r="S600" s="18">
        <f>(Tabela2246[[#This Row],[FRETE]]+Tabela2246[[#This Row],[DESPESAS]]+Tabela2246[[#This Row],[IPI]]+Tabela2246[[#This Row],[Vl. Produto]])*Tabela2246[[#This Row],[Aliq.%]]</f>
        <v>0</v>
      </c>
    </row>
    <row r="601" spans="13:19" x14ac:dyDescent="0.25">
      <c r="M601" s="46"/>
      <c r="N601" s="46"/>
      <c r="O601" s="46"/>
      <c r="P601" s="46"/>
      <c r="R601" s="15">
        <v>7.0000000000000007E-2</v>
      </c>
      <c r="S601" s="18">
        <f>(Tabela2246[[#This Row],[FRETE]]+Tabela2246[[#This Row],[DESPESAS]]+Tabela2246[[#This Row],[IPI]]+Tabela2246[[#This Row],[Vl. Produto]])*Tabela2246[[#This Row],[Aliq.%]]</f>
        <v>0</v>
      </c>
    </row>
    <row r="602" spans="13:19" x14ac:dyDescent="0.25">
      <c r="M602" s="46"/>
      <c r="N602" s="46"/>
      <c r="O602" s="46"/>
      <c r="P602" s="46"/>
      <c r="R602" s="15">
        <v>7.0000000000000007E-2</v>
      </c>
      <c r="S602" s="18">
        <f>(Tabela2246[[#This Row],[FRETE]]+Tabela2246[[#This Row],[DESPESAS]]+Tabela2246[[#This Row],[IPI]]+Tabela2246[[#This Row],[Vl. Produto]])*Tabela2246[[#This Row],[Aliq.%]]</f>
        <v>0</v>
      </c>
    </row>
    <row r="603" spans="13:19" x14ac:dyDescent="0.25">
      <c r="M603" s="46"/>
      <c r="N603" s="46"/>
      <c r="O603" s="46"/>
      <c r="P603" s="46"/>
      <c r="R603" s="15">
        <v>7.0000000000000007E-2</v>
      </c>
      <c r="S603" s="18">
        <f>(Tabela2246[[#This Row],[FRETE]]+Tabela2246[[#This Row],[DESPESAS]]+Tabela2246[[#This Row],[IPI]]+Tabela2246[[#This Row],[Vl. Produto]])*Tabela2246[[#This Row],[Aliq.%]]</f>
        <v>0</v>
      </c>
    </row>
    <row r="604" spans="13:19" x14ac:dyDescent="0.25">
      <c r="M604" s="46"/>
      <c r="N604" s="46"/>
      <c r="O604" s="46"/>
      <c r="P604" s="46"/>
      <c r="R604" s="15">
        <v>7.0000000000000007E-2</v>
      </c>
      <c r="S604" s="18">
        <f>(Tabela2246[[#This Row],[FRETE]]+Tabela2246[[#This Row],[DESPESAS]]+Tabela2246[[#This Row],[IPI]]+Tabela2246[[#This Row],[Vl. Produto]])*Tabela2246[[#This Row],[Aliq.%]]</f>
        <v>0</v>
      </c>
    </row>
    <row r="605" spans="13:19" x14ac:dyDescent="0.25">
      <c r="M605" s="46"/>
      <c r="N605" s="46"/>
      <c r="O605" s="46"/>
      <c r="P605" s="46"/>
      <c r="R605" s="15">
        <v>7.0000000000000007E-2</v>
      </c>
      <c r="S605" s="18">
        <f>(Tabela2246[[#This Row],[FRETE]]+Tabela2246[[#This Row],[DESPESAS]]+Tabela2246[[#This Row],[IPI]]+Tabela2246[[#This Row],[Vl. Produto]])*Tabela2246[[#This Row],[Aliq.%]]</f>
        <v>0</v>
      </c>
    </row>
    <row r="606" spans="13:19" x14ac:dyDescent="0.25">
      <c r="M606" s="46"/>
      <c r="N606" s="46"/>
      <c r="O606" s="46"/>
      <c r="P606" s="46"/>
      <c r="R606" s="15">
        <v>7.0000000000000007E-2</v>
      </c>
      <c r="S606" s="18">
        <f>(Tabela2246[[#This Row],[FRETE]]+Tabela2246[[#This Row],[DESPESAS]]+Tabela2246[[#This Row],[IPI]]+Tabela2246[[#This Row],[Vl. Produto]])*Tabela2246[[#This Row],[Aliq.%]]</f>
        <v>0</v>
      </c>
    </row>
    <row r="607" spans="13:19" x14ac:dyDescent="0.25">
      <c r="M607" s="46"/>
      <c r="N607" s="46"/>
      <c r="O607" s="46"/>
      <c r="P607" s="46"/>
      <c r="R607" s="15">
        <v>7.0000000000000007E-2</v>
      </c>
      <c r="S607" s="18">
        <f>(Tabela2246[[#This Row],[FRETE]]+Tabela2246[[#This Row],[DESPESAS]]+Tabela2246[[#This Row],[IPI]]+Tabela2246[[#This Row],[Vl. Produto]])*Tabela2246[[#This Row],[Aliq.%]]</f>
        <v>0</v>
      </c>
    </row>
    <row r="608" spans="13:19" x14ac:dyDescent="0.25">
      <c r="M608" s="46"/>
      <c r="N608" s="46"/>
      <c r="O608" s="46"/>
      <c r="P608" s="46"/>
      <c r="R608" s="15">
        <v>7.0000000000000007E-2</v>
      </c>
      <c r="S608" s="18">
        <f>(Tabela2246[[#This Row],[FRETE]]+Tabela2246[[#This Row],[DESPESAS]]+Tabela2246[[#This Row],[IPI]]+Tabela2246[[#This Row],[Vl. Produto]])*Tabela2246[[#This Row],[Aliq.%]]</f>
        <v>0</v>
      </c>
    </row>
    <row r="609" spans="13:19" x14ac:dyDescent="0.25">
      <c r="M609" s="46"/>
      <c r="N609" s="46"/>
      <c r="O609" s="46"/>
      <c r="P609" s="46"/>
      <c r="R609" s="15">
        <v>7.0000000000000007E-2</v>
      </c>
      <c r="S609" s="18">
        <f>(Tabela2246[[#This Row],[FRETE]]+Tabela2246[[#This Row],[DESPESAS]]+Tabela2246[[#This Row],[IPI]]+Tabela2246[[#This Row],[Vl. Produto]])*Tabela2246[[#This Row],[Aliq.%]]</f>
        <v>0</v>
      </c>
    </row>
    <row r="610" spans="13:19" x14ac:dyDescent="0.25">
      <c r="M610" s="46"/>
      <c r="N610" s="46"/>
      <c r="O610" s="46"/>
      <c r="P610" s="46"/>
      <c r="R610" s="15">
        <v>7.0000000000000007E-2</v>
      </c>
      <c r="S610" s="18">
        <f>(Tabela2246[[#This Row],[FRETE]]+Tabela2246[[#This Row],[DESPESAS]]+Tabela2246[[#This Row],[IPI]]+Tabela2246[[#This Row],[Vl. Produto]])*Tabela2246[[#This Row],[Aliq.%]]</f>
        <v>0</v>
      </c>
    </row>
    <row r="611" spans="13:19" x14ac:dyDescent="0.25">
      <c r="M611" s="46"/>
      <c r="N611" s="46"/>
      <c r="O611" s="46"/>
      <c r="P611" s="46"/>
      <c r="R611" s="15">
        <v>7.0000000000000007E-2</v>
      </c>
      <c r="S611" s="18">
        <f>(Tabela2246[[#This Row],[FRETE]]+Tabela2246[[#This Row],[DESPESAS]]+Tabela2246[[#This Row],[IPI]]+Tabela2246[[#This Row],[Vl. Produto]])*Tabela2246[[#This Row],[Aliq.%]]</f>
        <v>0</v>
      </c>
    </row>
    <row r="612" spans="13:19" x14ac:dyDescent="0.25">
      <c r="M612" s="46"/>
      <c r="N612" s="46"/>
      <c r="O612" s="46"/>
      <c r="P612" s="46"/>
      <c r="R612" s="15">
        <v>7.0000000000000007E-2</v>
      </c>
      <c r="S612" s="18">
        <f>(Tabela2246[[#This Row],[FRETE]]+Tabela2246[[#This Row],[DESPESAS]]+Tabela2246[[#This Row],[IPI]]+Tabela2246[[#This Row],[Vl. Produto]])*Tabela2246[[#This Row],[Aliq.%]]</f>
        <v>0</v>
      </c>
    </row>
    <row r="613" spans="13:19" x14ac:dyDescent="0.25">
      <c r="M613" s="46"/>
      <c r="N613" s="46"/>
      <c r="O613" s="46"/>
      <c r="P613" s="46"/>
      <c r="R613" s="15">
        <v>7.0000000000000007E-2</v>
      </c>
      <c r="S613" s="18">
        <f>(Tabela2246[[#This Row],[FRETE]]+Tabela2246[[#This Row],[DESPESAS]]+Tabela2246[[#This Row],[IPI]]+Tabela2246[[#This Row],[Vl. Produto]])*Tabela2246[[#This Row],[Aliq.%]]</f>
        <v>0</v>
      </c>
    </row>
    <row r="614" spans="13:19" x14ac:dyDescent="0.25">
      <c r="M614" s="46"/>
      <c r="N614" s="46"/>
      <c r="O614" s="46"/>
      <c r="P614" s="46"/>
      <c r="R614" s="15">
        <v>7.0000000000000007E-2</v>
      </c>
      <c r="S614" s="18">
        <f>(Tabela2246[[#This Row],[FRETE]]+Tabela2246[[#This Row],[DESPESAS]]+Tabela2246[[#This Row],[IPI]]+Tabela2246[[#This Row],[Vl. Produto]])*Tabela2246[[#This Row],[Aliq.%]]</f>
        <v>0</v>
      </c>
    </row>
    <row r="615" spans="13:19" x14ac:dyDescent="0.25">
      <c r="M615" s="46"/>
      <c r="N615" s="46"/>
      <c r="O615" s="46"/>
      <c r="P615" s="46"/>
      <c r="R615" s="15">
        <v>7.0000000000000007E-2</v>
      </c>
      <c r="S615" s="18">
        <f>(Tabela2246[[#This Row],[FRETE]]+Tabela2246[[#This Row],[DESPESAS]]+Tabela2246[[#This Row],[IPI]]+Tabela2246[[#This Row],[Vl. Produto]])*Tabela2246[[#This Row],[Aliq.%]]</f>
        <v>0</v>
      </c>
    </row>
    <row r="616" spans="13:19" x14ac:dyDescent="0.25">
      <c r="M616" s="46"/>
      <c r="N616" s="46"/>
      <c r="O616" s="46"/>
      <c r="P616" s="46"/>
      <c r="R616" s="15">
        <v>7.0000000000000007E-2</v>
      </c>
      <c r="S616" s="18">
        <f>(Tabela2246[[#This Row],[FRETE]]+Tabela2246[[#This Row],[DESPESAS]]+Tabela2246[[#This Row],[IPI]]+Tabela2246[[#This Row],[Vl. Produto]])*Tabela2246[[#This Row],[Aliq.%]]</f>
        <v>0</v>
      </c>
    </row>
    <row r="617" spans="13:19" x14ac:dyDescent="0.25">
      <c r="M617" s="46"/>
      <c r="N617" s="46"/>
      <c r="O617" s="46"/>
      <c r="P617" s="46"/>
      <c r="R617" s="15">
        <v>7.0000000000000007E-2</v>
      </c>
      <c r="S617" s="18">
        <f>(Tabela2246[[#This Row],[FRETE]]+Tabela2246[[#This Row],[DESPESAS]]+Tabela2246[[#This Row],[IPI]]+Tabela2246[[#This Row],[Vl. Produto]])*Tabela2246[[#This Row],[Aliq.%]]</f>
        <v>0</v>
      </c>
    </row>
    <row r="618" spans="13:19" x14ac:dyDescent="0.25">
      <c r="M618" s="46"/>
      <c r="N618" s="46"/>
      <c r="O618" s="46"/>
      <c r="P618" s="46"/>
      <c r="R618" s="15">
        <v>7.0000000000000007E-2</v>
      </c>
      <c r="S618" s="18">
        <f>(Tabela2246[[#This Row],[FRETE]]+Tabela2246[[#This Row],[DESPESAS]]+Tabela2246[[#This Row],[IPI]]+Tabela2246[[#This Row],[Vl. Produto]])*Tabela2246[[#This Row],[Aliq.%]]</f>
        <v>0</v>
      </c>
    </row>
    <row r="619" spans="13:19" x14ac:dyDescent="0.25">
      <c r="M619" s="46"/>
      <c r="N619" s="46"/>
      <c r="O619" s="46"/>
      <c r="P619" s="46"/>
      <c r="R619" s="15">
        <v>7.0000000000000007E-2</v>
      </c>
      <c r="S619" s="18">
        <f>(Tabela2246[[#This Row],[FRETE]]+Tabela2246[[#This Row],[DESPESAS]]+Tabela2246[[#This Row],[IPI]]+Tabela2246[[#This Row],[Vl. Produto]])*Tabela2246[[#This Row],[Aliq.%]]</f>
        <v>0</v>
      </c>
    </row>
    <row r="620" spans="13:19" x14ac:dyDescent="0.25">
      <c r="M620" s="46"/>
      <c r="N620" s="46"/>
      <c r="O620" s="46"/>
      <c r="P620" s="46"/>
      <c r="R620" s="15">
        <v>7.0000000000000007E-2</v>
      </c>
      <c r="S620" s="18">
        <f>(Tabela2246[[#This Row],[FRETE]]+Tabela2246[[#This Row],[DESPESAS]]+Tabela2246[[#This Row],[IPI]]+Tabela2246[[#This Row],[Vl. Produto]])*Tabela2246[[#This Row],[Aliq.%]]</f>
        <v>0</v>
      </c>
    </row>
    <row r="621" spans="13:19" x14ac:dyDescent="0.25">
      <c r="M621" s="46"/>
      <c r="N621" s="46"/>
      <c r="O621" s="46"/>
      <c r="P621" s="46"/>
      <c r="R621" s="15">
        <v>7.0000000000000007E-2</v>
      </c>
      <c r="S621" s="18">
        <f>(Tabela2246[[#This Row],[FRETE]]+Tabela2246[[#This Row],[DESPESAS]]+Tabela2246[[#This Row],[IPI]]+Tabela2246[[#This Row],[Vl. Produto]])*Tabela2246[[#This Row],[Aliq.%]]</f>
        <v>0</v>
      </c>
    </row>
    <row r="622" spans="13:19" x14ac:dyDescent="0.25">
      <c r="M622" s="46"/>
      <c r="N622" s="46"/>
      <c r="O622" s="46"/>
      <c r="P622" s="46"/>
      <c r="R622" s="15">
        <v>7.0000000000000007E-2</v>
      </c>
      <c r="S622" s="18">
        <f>(Tabela2246[[#This Row],[FRETE]]+Tabela2246[[#This Row],[DESPESAS]]+Tabela2246[[#This Row],[IPI]]+Tabela2246[[#This Row],[Vl. Produto]])*Tabela2246[[#This Row],[Aliq.%]]</f>
        <v>0</v>
      </c>
    </row>
    <row r="623" spans="13:19" x14ac:dyDescent="0.25">
      <c r="M623" s="46"/>
      <c r="N623" s="46"/>
      <c r="O623" s="46"/>
      <c r="P623" s="46"/>
      <c r="R623" s="15">
        <v>7.0000000000000007E-2</v>
      </c>
      <c r="S623" s="18">
        <f>(Tabela2246[[#This Row],[FRETE]]+Tabela2246[[#This Row],[DESPESAS]]+Tabela2246[[#This Row],[IPI]]+Tabela2246[[#This Row],[Vl. Produto]])*Tabela2246[[#This Row],[Aliq.%]]</f>
        <v>0</v>
      </c>
    </row>
    <row r="624" spans="13:19" x14ac:dyDescent="0.25">
      <c r="M624" s="46"/>
      <c r="N624" s="46"/>
      <c r="O624" s="46"/>
      <c r="P624" s="46"/>
      <c r="R624" s="15">
        <v>7.0000000000000007E-2</v>
      </c>
      <c r="S624" s="18">
        <f>(Tabela2246[[#This Row],[FRETE]]+Tabela2246[[#This Row],[DESPESAS]]+Tabela2246[[#This Row],[IPI]]+Tabela2246[[#This Row],[Vl. Produto]])*Tabela2246[[#This Row],[Aliq.%]]</f>
        <v>0</v>
      </c>
    </row>
    <row r="625" spans="13:19" x14ac:dyDescent="0.25">
      <c r="M625" s="46"/>
      <c r="N625" s="46"/>
      <c r="O625" s="46"/>
      <c r="P625" s="46"/>
      <c r="R625" s="15">
        <v>7.0000000000000007E-2</v>
      </c>
      <c r="S625" s="18">
        <f>(Tabela2246[[#This Row],[FRETE]]+Tabela2246[[#This Row],[DESPESAS]]+Tabela2246[[#This Row],[IPI]]+Tabela2246[[#This Row],[Vl. Produto]])*Tabela2246[[#This Row],[Aliq.%]]</f>
        <v>0</v>
      </c>
    </row>
    <row r="626" spans="13:19" x14ac:dyDescent="0.25">
      <c r="M626" s="46"/>
      <c r="N626" s="46"/>
      <c r="O626" s="46"/>
      <c r="P626" s="46"/>
      <c r="R626" s="15">
        <v>7.0000000000000007E-2</v>
      </c>
      <c r="S626" s="18">
        <f>(Tabela2246[[#This Row],[FRETE]]+Tabela2246[[#This Row],[DESPESAS]]+Tabela2246[[#This Row],[IPI]]+Tabela2246[[#This Row],[Vl. Produto]])*Tabela2246[[#This Row],[Aliq.%]]</f>
        <v>0</v>
      </c>
    </row>
    <row r="627" spans="13:19" x14ac:dyDescent="0.25">
      <c r="M627" s="46"/>
      <c r="N627" s="46"/>
      <c r="O627" s="46"/>
      <c r="P627" s="46"/>
      <c r="R627" s="15">
        <v>7.0000000000000007E-2</v>
      </c>
      <c r="S627" s="18">
        <f>(Tabela2246[[#This Row],[FRETE]]+Tabela2246[[#This Row],[DESPESAS]]+Tabela2246[[#This Row],[IPI]]+Tabela2246[[#This Row],[Vl. Produto]])*Tabela2246[[#This Row],[Aliq.%]]</f>
        <v>0</v>
      </c>
    </row>
    <row r="628" spans="13:19" x14ac:dyDescent="0.25">
      <c r="M628" s="46"/>
      <c r="N628" s="46"/>
      <c r="O628" s="46"/>
      <c r="P628" s="46"/>
      <c r="R628" s="15">
        <v>7.0000000000000007E-2</v>
      </c>
      <c r="S628" s="18">
        <f>(Tabela2246[[#This Row],[FRETE]]+Tabela2246[[#This Row],[DESPESAS]]+Tabela2246[[#This Row],[IPI]]+Tabela2246[[#This Row],[Vl. Produto]])*Tabela2246[[#This Row],[Aliq.%]]</f>
        <v>0</v>
      </c>
    </row>
    <row r="629" spans="13:19" x14ac:dyDescent="0.25">
      <c r="M629" s="46"/>
      <c r="N629" s="46"/>
      <c r="O629" s="46"/>
      <c r="P629" s="46"/>
      <c r="R629" s="15">
        <v>7.0000000000000007E-2</v>
      </c>
      <c r="S629" s="18">
        <f>(Tabela2246[[#This Row],[FRETE]]+Tabela2246[[#This Row],[DESPESAS]]+Tabela2246[[#This Row],[IPI]]+Tabela2246[[#This Row],[Vl. Produto]])*Tabela2246[[#This Row],[Aliq.%]]</f>
        <v>0</v>
      </c>
    </row>
    <row r="630" spans="13:19" x14ac:dyDescent="0.25">
      <c r="M630" s="46"/>
      <c r="N630" s="46"/>
      <c r="O630" s="46"/>
      <c r="P630" s="46"/>
      <c r="R630" s="15">
        <v>7.0000000000000007E-2</v>
      </c>
      <c r="S630" s="18">
        <f>(Tabela2246[[#This Row],[FRETE]]+Tabela2246[[#This Row],[DESPESAS]]+Tabela2246[[#This Row],[IPI]]+Tabela2246[[#This Row],[Vl. Produto]])*Tabela2246[[#This Row],[Aliq.%]]</f>
        <v>0</v>
      </c>
    </row>
    <row r="631" spans="13:19" x14ac:dyDescent="0.25">
      <c r="M631" s="46"/>
      <c r="N631" s="46"/>
      <c r="O631" s="46"/>
      <c r="P631" s="46"/>
      <c r="R631" s="15">
        <v>7.0000000000000007E-2</v>
      </c>
      <c r="S631" s="18">
        <f>(Tabela2246[[#This Row],[FRETE]]+Tabela2246[[#This Row],[DESPESAS]]+Tabela2246[[#This Row],[IPI]]+Tabela2246[[#This Row],[Vl. Produto]])*Tabela2246[[#This Row],[Aliq.%]]</f>
        <v>0</v>
      </c>
    </row>
    <row r="632" spans="13:19" x14ac:dyDescent="0.25">
      <c r="M632" s="46"/>
      <c r="N632" s="46"/>
      <c r="O632" s="46"/>
      <c r="P632" s="46"/>
      <c r="R632" s="15">
        <v>7.0000000000000007E-2</v>
      </c>
      <c r="S632" s="18">
        <f>(Tabela2246[[#This Row],[FRETE]]+Tabela2246[[#This Row],[DESPESAS]]+Tabela2246[[#This Row],[IPI]]+Tabela2246[[#This Row],[Vl. Produto]])*Tabela2246[[#This Row],[Aliq.%]]</f>
        <v>0</v>
      </c>
    </row>
    <row r="633" spans="13:19" x14ac:dyDescent="0.25">
      <c r="M633" s="46"/>
      <c r="N633" s="46"/>
      <c r="O633" s="46"/>
      <c r="P633" s="46"/>
      <c r="R633" s="15">
        <v>7.0000000000000007E-2</v>
      </c>
      <c r="S633" s="18">
        <f>(Tabela2246[[#This Row],[FRETE]]+Tabela2246[[#This Row],[DESPESAS]]+Tabela2246[[#This Row],[IPI]]+Tabela2246[[#This Row],[Vl. Produto]])*Tabela2246[[#This Row],[Aliq.%]]</f>
        <v>0</v>
      </c>
    </row>
    <row r="634" spans="13:19" x14ac:dyDescent="0.25">
      <c r="M634" s="46"/>
      <c r="N634" s="46"/>
      <c r="O634" s="46"/>
      <c r="P634" s="46"/>
      <c r="R634" s="15">
        <v>7.0000000000000007E-2</v>
      </c>
      <c r="S634" s="18">
        <f>(Tabela2246[[#This Row],[FRETE]]+Tabela2246[[#This Row],[DESPESAS]]+Tabela2246[[#This Row],[IPI]]+Tabela2246[[#This Row],[Vl. Produto]])*Tabela2246[[#This Row],[Aliq.%]]</f>
        <v>0</v>
      </c>
    </row>
    <row r="635" spans="13:19" x14ac:dyDescent="0.25">
      <c r="M635" s="46"/>
      <c r="N635" s="46"/>
      <c r="O635" s="46"/>
      <c r="P635" s="46"/>
      <c r="R635" s="15">
        <v>7.0000000000000007E-2</v>
      </c>
      <c r="S635" s="18">
        <f>(Tabela2246[[#This Row],[FRETE]]+Tabela2246[[#This Row],[DESPESAS]]+Tabela2246[[#This Row],[IPI]]+Tabela2246[[#This Row],[Vl. Produto]])*Tabela2246[[#This Row],[Aliq.%]]</f>
        <v>0</v>
      </c>
    </row>
    <row r="636" spans="13:19" x14ac:dyDescent="0.25">
      <c r="M636" s="46"/>
      <c r="N636" s="46"/>
      <c r="O636" s="46"/>
      <c r="P636" s="46"/>
      <c r="R636" s="15">
        <v>7.0000000000000007E-2</v>
      </c>
      <c r="S636" s="18">
        <f>(Tabela2246[[#This Row],[FRETE]]+Tabela2246[[#This Row],[DESPESAS]]+Tabela2246[[#This Row],[IPI]]+Tabela2246[[#This Row],[Vl. Produto]])*Tabela2246[[#This Row],[Aliq.%]]</f>
        <v>0</v>
      </c>
    </row>
    <row r="637" spans="13:19" x14ac:dyDescent="0.25">
      <c r="M637" s="46"/>
      <c r="N637" s="46"/>
      <c r="O637" s="46"/>
      <c r="P637" s="46"/>
      <c r="R637" s="15">
        <v>7.0000000000000007E-2</v>
      </c>
      <c r="S637" s="18">
        <f>(Tabela2246[[#This Row],[FRETE]]+Tabela2246[[#This Row],[DESPESAS]]+Tabela2246[[#This Row],[IPI]]+Tabela2246[[#This Row],[Vl. Produto]])*Tabela2246[[#This Row],[Aliq.%]]</f>
        <v>0</v>
      </c>
    </row>
    <row r="638" spans="13:19" x14ac:dyDescent="0.25">
      <c r="M638" s="46"/>
      <c r="N638" s="46"/>
      <c r="O638" s="46"/>
      <c r="P638" s="46"/>
      <c r="R638" s="15">
        <v>7.0000000000000007E-2</v>
      </c>
      <c r="S638" s="18">
        <f>(Tabela2246[[#This Row],[FRETE]]+Tabela2246[[#This Row],[DESPESAS]]+Tabela2246[[#This Row],[IPI]]+Tabela2246[[#This Row],[Vl. Produto]])*Tabela2246[[#This Row],[Aliq.%]]</f>
        <v>0</v>
      </c>
    </row>
    <row r="639" spans="13:19" x14ac:dyDescent="0.25">
      <c r="M639" s="46"/>
      <c r="N639" s="46"/>
      <c r="O639" s="46"/>
      <c r="P639" s="46"/>
      <c r="R639" s="15">
        <v>7.0000000000000007E-2</v>
      </c>
      <c r="S639" s="18">
        <f>(Tabela2246[[#This Row],[FRETE]]+Tabela2246[[#This Row],[DESPESAS]]+Tabela2246[[#This Row],[IPI]]+Tabela2246[[#This Row],[Vl. Produto]])*Tabela2246[[#This Row],[Aliq.%]]</f>
        <v>0</v>
      </c>
    </row>
    <row r="640" spans="13:19" x14ac:dyDescent="0.25">
      <c r="M640" s="46"/>
      <c r="N640" s="46"/>
      <c r="O640" s="46"/>
      <c r="P640" s="46"/>
      <c r="R640" s="15">
        <v>7.0000000000000007E-2</v>
      </c>
      <c r="S640" s="18">
        <f>(Tabela2246[[#This Row],[FRETE]]+Tabela2246[[#This Row],[DESPESAS]]+Tabela2246[[#This Row],[IPI]]+Tabela2246[[#This Row],[Vl. Produto]])*Tabela2246[[#This Row],[Aliq.%]]</f>
        <v>0</v>
      </c>
    </row>
    <row r="641" spans="13:19" x14ac:dyDescent="0.25">
      <c r="M641" s="46"/>
      <c r="N641" s="46"/>
      <c r="O641" s="46"/>
      <c r="P641" s="46"/>
      <c r="R641" s="15">
        <v>7.0000000000000007E-2</v>
      </c>
      <c r="S641" s="18">
        <f>(Tabela2246[[#This Row],[FRETE]]+Tabela2246[[#This Row],[DESPESAS]]+Tabela2246[[#This Row],[IPI]]+Tabela2246[[#This Row],[Vl. Produto]])*Tabela2246[[#This Row],[Aliq.%]]</f>
        <v>0</v>
      </c>
    </row>
    <row r="642" spans="13:19" x14ac:dyDescent="0.25">
      <c r="M642" s="46"/>
      <c r="N642" s="46"/>
      <c r="O642" s="46"/>
      <c r="P642" s="46"/>
      <c r="R642" s="15">
        <v>7.0000000000000007E-2</v>
      </c>
      <c r="S642" s="18">
        <f>(Tabela2246[[#This Row],[FRETE]]+Tabela2246[[#This Row],[DESPESAS]]+Tabela2246[[#This Row],[IPI]]+Tabela2246[[#This Row],[Vl. Produto]])*Tabela2246[[#This Row],[Aliq.%]]</f>
        <v>0</v>
      </c>
    </row>
    <row r="643" spans="13:19" x14ac:dyDescent="0.25">
      <c r="M643" s="46"/>
      <c r="N643" s="46"/>
      <c r="O643" s="46"/>
      <c r="P643" s="46"/>
      <c r="R643" s="15">
        <v>7.0000000000000007E-2</v>
      </c>
      <c r="S643" s="18">
        <f>(Tabela2246[[#This Row],[FRETE]]+Tabela2246[[#This Row],[DESPESAS]]+Tabela2246[[#This Row],[IPI]]+Tabela2246[[#This Row],[Vl. Produto]])*Tabela2246[[#This Row],[Aliq.%]]</f>
        <v>0</v>
      </c>
    </row>
    <row r="644" spans="13:19" x14ac:dyDescent="0.25">
      <c r="M644" s="46"/>
      <c r="N644" s="46"/>
      <c r="O644" s="46"/>
      <c r="P644" s="46"/>
      <c r="R644" s="15">
        <v>7.0000000000000007E-2</v>
      </c>
      <c r="S644" s="18">
        <f>(Tabela2246[[#This Row],[FRETE]]+Tabela2246[[#This Row],[DESPESAS]]+Tabela2246[[#This Row],[IPI]]+Tabela2246[[#This Row],[Vl. Produto]])*Tabela2246[[#This Row],[Aliq.%]]</f>
        <v>0</v>
      </c>
    </row>
    <row r="645" spans="13:19" x14ac:dyDescent="0.25">
      <c r="M645" s="46"/>
      <c r="N645" s="46"/>
      <c r="O645" s="46"/>
      <c r="P645" s="46"/>
      <c r="R645" s="15">
        <v>7.0000000000000007E-2</v>
      </c>
      <c r="S645" s="18">
        <f>(Tabela2246[[#This Row],[FRETE]]+Tabela2246[[#This Row],[DESPESAS]]+Tabela2246[[#This Row],[IPI]]+Tabela2246[[#This Row],[Vl. Produto]])*Tabela2246[[#This Row],[Aliq.%]]</f>
        <v>0</v>
      </c>
    </row>
    <row r="646" spans="13:19" x14ac:dyDescent="0.25">
      <c r="M646" s="46"/>
      <c r="N646" s="46"/>
      <c r="O646" s="46"/>
      <c r="P646" s="46"/>
      <c r="R646" s="15">
        <v>7.0000000000000007E-2</v>
      </c>
      <c r="S646" s="18">
        <f>(Tabela2246[[#This Row],[FRETE]]+Tabela2246[[#This Row],[DESPESAS]]+Tabela2246[[#This Row],[IPI]]+Tabela2246[[#This Row],[Vl. Produto]])*Tabela2246[[#This Row],[Aliq.%]]</f>
        <v>0</v>
      </c>
    </row>
    <row r="647" spans="13:19" x14ac:dyDescent="0.25">
      <c r="M647" s="46"/>
      <c r="N647" s="46"/>
      <c r="O647" s="46"/>
      <c r="P647" s="46"/>
      <c r="R647" s="15">
        <v>7.0000000000000007E-2</v>
      </c>
      <c r="S647" s="18">
        <f>(Tabela2246[[#This Row],[FRETE]]+Tabela2246[[#This Row],[DESPESAS]]+Tabela2246[[#This Row],[IPI]]+Tabela2246[[#This Row],[Vl. Produto]])*Tabela2246[[#This Row],[Aliq.%]]</f>
        <v>0</v>
      </c>
    </row>
    <row r="648" spans="13:19" x14ac:dyDescent="0.25">
      <c r="M648" s="46"/>
      <c r="N648" s="46"/>
      <c r="O648" s="46"/>
      <c r="P648" s="46"/>
      <c r="R648" s="15">
        <v>7.0000000000000007E-2</v>
      </c>
      <c r="S648" s="18">
        <f>(Tabela2246[[#This Row],[FRETE]]+Tabela2246[[#This Row],[DESPESAS]]+Tabela2246[[#This Row],[IPI]]+Tabela2246[[#This Row],[Vl. Produto]])*Tabela2246[[#This Row],[Aliq.%]]</f>
        <v>0</v>
      </c>
    </row>
    <row r="649" spans="13:19" x14ac:dyDescent="0.25">
      <c r="M649" s="46"/>
      <c r="N649" s="46"/>
      <c r="O649" s="46"/>
      <c r="P649" s="46"/>
      <c r="R649" s="15">
        <v>7.0000000000000007E-2</v>
      </c>
      <c r="S649" s="18">
        <f>(Tabela2246[[#This Row],[FRETE]]+Tabela2246[[#This Row],[DESPESAS]]+Tabela2246[[#This Row],[IPI]]+Tabela2246[[#This Row],[Vl. Produto]])*Tabela2246[[#This Row],[Aliq.%]]</f>
        <v>0</v>
      </c>
    </row>
    <row r="650" spans="13:19" x14ac:dyDescent="0.25">
      <c r="M650" s="46"/>
      <c r="N650" s="46"/>
      <c r="O650" s="46"/>
      <c r="P650" s="46"/>
      <c r="R650" s="15">
        <v>7.0000000000000007E-2</v>
      </c>
      <c r="S650" s="18">
        <f>(Tabela2246[[#This Row],[FRETE]]+Tabela2246[[#This Row],[DESPESAS]]+Tabela2246[[#This Row],[IPI]]+Tabela2246[[#This Row],[Vl. Produto]])*Tabela2246[[#This Row],[Aliq.%]]</f>
        <v>0</v>
      </c>
    </row>
    <row r="651" spans="13:19" x14ac:dyDescent="0.25">
      <c r="M651" s="46"/>
      <c r="N651" s="46"/>
      <c r="O651" s="46"/>
      <c r="P651" s="46"/>
      <c r="R651" s="15">
        <v>7.0000000000000007E-2</v>
      </c>
      <c r="S651" s="18">
        <f>(Tabela2246[[#This Row],[FRETE]]+Tabela2246[[#This Row],[DESPESAS]]+Tabela2246[[#This Row],[IPI]]+Tabela2246[[#This Row],[Vl. Produto]])*Tabela2246[[#This Row],[Aliq.%]]</f>
        <v>0</v>
      </c>
    </row>
    <row r="652" spans="13:19" x14ac:dyDescent="0.25">
      <c r="M652" s="46"/>
      <c r="N652" s="46"/>
      <c r="O652" s="46"/>
      <c r="P652" s="46"/>
      <c r="R652" s="15">
        <v>7.0000000000000007E-2</v>
      </c>
      <c r="S652" s="18">
        <f>(Tabela2246[[#This Row],[FRETE]]+Tabela2246[[#This Row],[DESPESAS]]+Tabela2246[[#This Row],[IPI]]+Tabela2246[[#This Row],[Vl. Produto]])*Tabela2246[[#This Row],[Aliq.%]]</f>
        <v>0</v>
      </c>
    </row>
    <row r="653" spans="13:19" x14ac:dyDescent="0.25">
      <c r="M653" s="46"/>
      <c r="N653" s="46"/>
      <c r="O653" s="46"/>
      <c r="P653" s="46"/>
      <c r="R653" s="15">
        <v>7.0000000000000007E-2</v>
      </c>
      <c r="S653" s="18">
        <f>(Tabela2246[[#This Row],[FRETE]]+Tabela2246[[#This Row],[DESPESAS]]+Tabela2246[[#This Row],[IPI]]+Tabela2246[[#This Row],[Vl. Produto]])*Tabela2246[[#This Row],[Aliq.%]]</f>
        <v>0</v>
      </c>
    </row>
    <row r="654" spans="13:19" x14ac:dyDescent="0.25">
      <c r="M654" s="46"/>
      <c r="N654" s="46"/>
      <c r="O654" s="46"/>
      <c r="P654" s="46"/>
      <c r="R654" s="15">
        <v>7.0000000000000007E-2</v>
      </c>
      <c r="S654" s="18">
        <f>(Tabela2246[[#This Row],[FRETE]]+Tabela2246[[#This Row],[DESPESAS]]+Tabela2246[[#This Row],[IPI]]+Tabela2246[[#This Row],[Vl. Produto]])*Tabela2246[[#This Row],[Aliq.%]]</f>
        <v>0</v>
      </c>
    </row>
    <row r="655" spans="13:19" x14ac:dyDescent="0.25">
      <c r="M655" s="46"/>
      <c r="N655" s="46"/>
      <c r="O655" s="46"/>
      <c r="P655" s="46"/>
      <c r="R655" s="15">
        <v>7.0000000000000007E-2</v>
      </c>
      <c r="S655" s="18">
        <f>(Tabela2246[[#This Row],[FRETE]]+Tabela2246[[#This Row],[DESPESAS]]+Tabela2246[[#This Row],[IPI]]+Tabela2246[[#This Row],[Vl. Produto]])*Tabela2246[[#This Row],[Aliq.%]]</f>
        <v>0</v>
      </c>
    </row>
    <row r="656" spans="13:19" x14ac:dyDescent="0.25">
      <c r="M656" s="46"/>
      <c r="N656" s="46"/>
      <c r="O656" s="46"/>
      <c r="P656" s="46"/>
      <c r="R656" s="15">
        <v>7.0000000000000007E-2</v>
      </c>
      <c r="S656" s="18">
        <f>(Tabela2246[[#This Row],[FRETE]]+Tabela2246[[#This Row],[DESPESAS]]+Tabela2246[[#This Row],[IPI]]+Tabela2246[[#This Row],[Vl. Produto]])*Tabela2246[[#This Row],[Aliq.%]]</f>
        <v>0</v>
      </c>
    </row>
    <row r="657" spans="13:19" x14ac:dyDescent="0.25">
      <c r="M657" s="46"/>
      <c r="N657" s="46"/>
      <c r="O657" s="46"/>
      <c r="P657" s="46"/>
      <c r="R657" s="15">
        <v>7.0000000000000007E-2</v>
      </c>
      <c r="S657" s="18">
        <f>(Tabela2246[[#This Row],[FRETE]]+Tabela2246[[#This Row],[DESPESAS]]+Tabela2246[[#This Row],[IPI]]+Tabela2246[[#This Row],[Vl. Produto]])*Tabela2246[[#This Row],[Aliq.%]]</f>
        <v>0</v>
      </c>
    </row>
    <row r="658" spans="13:19" x14ac:dyDescent="0.25">
      <c r="M658" s="46"/>
      <c r="N658" s="46"/>
      <c r="O658" s="46"/>
      <c r="P658" s="46"/>
      <c r="R658" s="15">
        <v>7.0000000000000007E-2</v>
      </c>
      <c r="S658" s="18">
        <f>(Tabela2246[[#This Row],[FRETE]]+Tabela2246[[#This Row],[DESPESAS]]+Tabela2246[[#This Row],[IPI]]+Tabela2246[[#This Row],[Vl. Produto]])*Tabela2246[[#This Row],[Aliq.%]]</f>
        <v>0</v>
      </c>
    </row>
    <row r="659" spans="13:19" x14ac:dyDescent="0.25">
      <c r="M659" s="46"/>
      <c r="N659" s="46"/>
      <c r="O659" s="46"/>
      <c r="P659" s="46"/>
      <c r="R659" s="15">
        <v>7.0000000000000007E-2</v>
      </c>
      <c r="S659" s="18">
        <f>(Tabela2246[[#This Row],[FRETE]]+Tabela2246[[#This Row],[DESPESAS]]+Tabela2246[[#This Row],[IPI]]+Tabela2246[[#This Row],[Vl. Produto]])*Tabela2246[[#This Row],[Aliq.%]]</f>
        <v>0</v>
      </c>
    </row>
    <row r="660" spans="13:19" x14ac:dyDescent="0.25">
      <c r="M660" s="46"/>
      <c r="N660" s="46"/>
      <c r="O660" s="46"/>
      <c r="P660" s="46"/>
      <c r="R660" s="15">
        <v>7.0000000000000007E-2</v>
      </c>
      <c r="S660" s="18">
        <f>(Tabela2246[[#This Row],[FRETE]]+Tabela2246[[#This Row],[DESPESAS]]+Tabela2246[[#This Row],[IPI]]+Tabela2246[[#This Row],[Vl. Produto]])*Tabela2246[[#This Row],[Aliq.%]]</f>
        <v>0</v>
      </c>
    </row>
    <row r="661" spans="13:19" x14ac:dyDescent="0.25">
      <c r="M661" s="46"/>
      <c r="N661" s="46"/>
      <c r="O661" s="46"/>
      <c r="P661" s="46"/>
      <c r="R661" s="15">
        <v>7.0000000000000007E-2</v>
      </c>
      <c r="S661" s="18">
        <f>(Tabela2246[[#This Row],[FRETE]]+Tabela2246[[#This Row],[DESPESAS]]+Tabela2246[[#This Row],[IPI]]+Tabela2246[[#This Row],[Vl. Produto]])*Tabela2246[[#This Row],[Aliq.%]]</f>
        <v>0</v>
      </c>
    </row>
    <row r="662" spans="13:19" x14ac:dyDescent="0.25">
      <c r="M662" s="46"/>
      <c r="N662" s="46"/>
      <c r="O662" s="46"/>
      <c r="P662" s="46"/>
      <c r="R662" s="15">
        <v>7.0000000000000007E-2</v>
      </c>
      <c r="S662" s="18">
        <f>(Tabela2246[[#This Row],[FRETE]]+Tabela2246[[#This Row],[DESPESAS]]+Tabela2246[[#This Row],[IPI]]+Tabela2246[[#This Row],[Vl. Produto]])*Tabela2246[[#This Row],[Aliq.%]]</f>
        <v>0</v>
      </c>
    </row>
    <row r="663" spans="13:19" x14ac:dyDescent="0.25">
      <c r="M663" s="46"/>
      <c r="N663" s="46"/>
      <c r="O663" s="46"/>
      <c r="P663" s="46"/>
      <c r="R663" s="15">
        <v>7.0000000000000007E-2</v>
      </c>
      <c r="S663" s="18">
        <f>(Tabela2246[[#This Row],[FRETE]]+Tabela2246[[#This Row],[DESPESAS]]+Tabela2246[[#This Row],[IPI]]+Tabela2246[[#This Row],[Vl. Produto]])*Tabela2246[[#This Row],[Aliq.%]]</f>
        <v>0</v>
      </c>
    </row>
    <row r="664" spans="13:19" x14ac:dyDescent="0.25">
      <c r="M664" s="46"/>
      <c r="N664" s="46"/>
      <c r="O664" s="46"/>
      <c r="P664" s="46"/>
      <c r="R664" s="15">
        <v>7.0000000000000007E-2</v>
      </c>
      <c r="S664" s="18">
        <f>(Tabela2246[[#This Row],[FRETE]]+Tabela2246[[#This Row],[DESPESAS]]+Tabela2246[[#This Row],[IPI]]+Tabela2246[[#This Row],[Vl. Produto]])*Tabela2246[[#This Row],[Aliq.%]]</f>
        <v>0</v>
      </c>
    </row>
    <row r="665" spans="13:19" x14ac:dyDescent="0.25">
      <c r="M665" s="46"/>
      <c r="N665" s="46"/>
      <c r="O665" s="46"/>
      <c r="P665" s="46"/>
      <c r="R665" s="15">
        <v>7.0000000000000007E-2</v>
      </c>
      <c r="S665" s="18">
        <f>(Tabela2246[[#This Row],[FRETE]]+Tabela2246[[#This Row],[DESPESAS]]+Tabela2246[[#This Row],[IPI]]+Tabela2246[[#This Row],[Vl. Produto]])*Tabela2246[[#This Row],[Aliq.%]]</f>
        <v>0</v>
      </c>
    </row>
    <row r="666" spans="13:19" x14ac:dyDescent="0.25">
      <c r="M666" s="46"/>
      <c r="N666" s="46"/>
      <c r="O666" s="46"/>
      <c r="P666" s="46"/>
      <c r="R666" s="15">
        <v>7.0000000000000007E-2</v>
      </c>
      <c r="S666" s="18">
        <f>(Tabela2246[[#This Row],[FRETE]]+Tabela2246[[#This Row],[DESPESAS]]+Tabela2246[[#This Row],[IPI]]+Tabela2246[[#This Row],[Vl. Produto]])*Tabela2246[[#This Row],[Aliq.%]]</f>
        <v>0</v>
      </c>
    </row>
    <row r="667" spans="13:19" x14ac:dyDescent="0.25">
      <c r="M667" s="46"/>
      <c r="N667" s="46"/>
      <c r="O667" s="46"/>
      <c r="P667" s="46"/>
      <c r="R667" s="15">
        <v>7.0000000000000007E-2</v>
      </c>
      <c r="S667" s="18">
        <f>(Tabela2246[[#This Row],[FRETE]]+Tabela2246[[#This Row],[DESPESAS]]+Tabela2246[[#This Row],[IPI]]+Tabela2246[[#This Row],[Vl. Produto]])*Tabela2246[[#This Row],[Aliq.%]]</f>
        <v>0</v>
      </c>
    </row>
    <row r="668" spans="13:19" x14ac:dyDescent="0.25">
      <c r="M668" s="46"/>
      <c r="N668" s="46"/>
      <c r="O668" s="46"/>
      <c r="P668" s="46"/>
      <c r="R668" s="15">
        <v>7.0000000000000007E-2</v>
      </c>
      <c r="S668" s="18">
        <f>(Tabela2246[[#This Row],[FRETE]]+Tabela2246[[#This Row],[DESPESAS]]+Tabela2246[[#This Row],[IPI]]+Tabela2246[[#This Row],[Vl. Produto]])*Tabela2246[[#This Row],[Aliq.%]]</f>
        <v>0</v>
      </c>
    </row>
    <row r="669" spans="13:19" x14ac:dyDescent="0.25">
      <c r="M669" s="46"/>
      <c r="N669" s="46"/>
      <c r="O669" s="46"/>
      <c r="P669" s="46"/>
      <c r="R669" s="15">
        <v>7.0000000000000007E-2</v>
      </c>
      <c r="S669" s="18">
        <f>(Tabela2246[[#This Row],[FRETE]]+Tabela2246[[#This Row],[DESPESAS]]+Tabela2246[[#This Row],[IPI]]+Tabela2246[[#This Row],[Vl. Produto]])*Tabela2246[[#This Row],[Aliq.%]]</f>
        <v>0</v>
      </c>
    </row>
    <row r="670" spans="13:19" x14ac:dyDescent="0.25">
      <c r="M670" s="46"/>
      <c r="N670" s="46"/>
      <c r="O670" s="46"/>
      <c r="P670" s="46"/>
      <c r="R670" s="15">
        <v>7.0000000000000007E-2</v>
      </c>
      <c r="S670" s="18">
        <f>(Tabela2246[[#This Row],[FRETE]]+Tabela2246[[#This Row],[DESPESAS]]+Tabela2246[[#This Row],[IPI]]+Tabela2246[[#This Row],[Vl. Produto]])*Tabela2246[[#This Row],[Aliq.%]]</f>
        <v>0</v>
      </c>
    </row>
    <row r="671" spans="13:19" x14ac:dyDescent="0.25">
      <c r="M671" s="46"/>
      <c r="N671" s="46"/>
      <c r="O671" s="46"/>
      <c r="P671" s="46"/>
      <c r="R671" s="15">
        <v>7.0000000000000007E-2</v>
      </c>
      <c r="S671" s="18">
        <f>(Tabela2246[[#This Row],[FRETE]]+Tabela2246[[#This Row],[DESPESAS]]+Tabela2246[[#This Row],[IPI]]+Tabela2246[[#This Row],[Vl. Produto]])*Tabela2246[[#This Row],[Aliq.%]]</f>
        <v>0</v>
      </c>
    </row>
    <row r="672" spans="13:19" x14ac:dyDescent="0.25">
      <c r="M672" s="46"/>
      <c r="N672" s="46"/>
      <c r="O672" s="46"/>
      <c r="P672" s="46"/>
      <c r="R672" s="15">
        <v>7.0000000000000007E-2</v>
      </c>
      <c r="S672" s="18">
        <f>(Tabela2246[[#This Row],[FRETE]]+Tabela2246[[#This Row],[DESPESAS]]+Tabela2246[[#This Row],[IPI]]+Tabela2246[[#This Row],[Vl. Produto]])*Tabela2246[[#This Row],[Aliq.%]]</f>
        <v>0</v>
      </c>
    </row>
    <row r="673" spans="13:19" x14ac:dyDescent="0.25">
      <c r="M673" s="46"/>
      <c r="N673" s="46"/>
      <c r="O673" s="46"/>
      <c r="P673" s="46"/>
      <c r="R673" s="15">
        <v>7.0000000000000007E-2</v>
      </c>
      <c r="S673" s="18">
        <f>(Tabela2246[[#This Row],[FRETE]]+Tabela2246[[#This Row],[DESPESAS]]+Tabela2246[[#This Row],[IPI]]+Tabela2246[[#This Row],[Vl. Produto]])*Tabela2246[[#This Row],[Aliq.%]]</f>
        <v>0</v>
      </c>
    </row>
    <row r="674" spans="13:19" x14ac:dyDescent="0.25">
      <c r="M674" s="46"/>
      <c r="N674" s="46"/>
      <c r="O674" s="46"/>
      <c r="P674" s="46"/>
      <c r="R674" s="15">
        <v>7.0000000000000007E-2</v>
      </c>
      <c r="S674" s="18">
        <f>(Tabela2246[[#This Row],[FRETE]]+Tabela2246[[#This Row],[DESPESAS]]+Tabela2246[[#This Row],[IPI]]+Tabela2246[[#This Row],[Vl. Produto]])*Tabela2246[[#This Row],[Aliq.%]]</f>
        <v>0</v>
      </c>
    </row>
    <row r="675" spans="13:19" x14ac:dyDescent="0.25">
      <c r="M675" s="46"/>
      <c r="N675" s="46"/>
      <c r="O675" s="46"/>
      <c r="P675" s="46"/>
      <c r="R675" s="15">
        <v>7.0000000000000007E-2</v>
      </c>
      <c r="S675" s="18">
        <f>(Tabela2246[[#This Row],[FRETE]]+Tabela2246[[#This Row],[DESPESAS]]+Tabela2246[[#This Row],[IPI]]+Tabela2246[[#This Row],[Vl. Produto]])*Tabela2246[[#This Row],[Aliq.%]]</f>
        <v>0</v>
      </c>
    </row>
    <row r="676" spans="13:19" x14ac:dyDescent="0.25">
      <c r="M676" s="46"/>
      <c r="N676" s="46"/>
      <c r="O676" s="46"/>
      <c r="P676" s="46"/>
      <c r="R676" s="15">
        <v>7.0000000000000007E-2</v>
      </c>
      <c r="S676" s="18">
        <f>(Tabela2246[[#This Row],[FRETE]]+Tabela2246[[#This Row],[DESPESAS]]+Tabela2246[[#This Row],[IPI]]+Tabela2246[[#This Row],[Vl. Produto]])*Tabela2246[[#This Row],[Aliq.%]]</f>
        <v>0</v>
      </c>
    </row>
    <row r="677" spans="13:19" x14ac:dyDescent="0.25">
      <c r="M677" s="46"/>
      <c r="N677" s="46"/>
      <c r="O677" s="46"/>
      <c r="P677" s="46"/>
      <c r="R677" s="15">
        <v>7.0000000000000007E-2</v>
      </c>
      <c r="S677" s="18">
        <f>(Tabela2246[[#This Row],[FRETE]]+Tabela2246[[#This Row],[DESPESAS]]+Tabela2246[[#This Row],[IPI]]+Tabela2246[[#This Row],[Vl. Produto]])*Tabela2246[[#This Row],[Aliq.%]]</f>
        <v>0</v>
      </c>
    </row>
    <row r="678" spans="13:19" x14ac:dyDescent="0.25">
      <c r="M678" s="46"/>
      <c r="N678" s="46"/>
      <c r="O678" s="46"/>
      <c r="P678" s="46"/>
      <c r="R678" s="15">
        <v>7.0000000000000007E-2</v>
      </c>
      <c r="S678" s="18">
        <f>(Tabela2246[[#This Row],[FRETE]]+Tabela2246[[#This Row],[DESPESAS]]+Tabela2246[[#This Row],[IPI]]+Tabela2246[[#This Row],[Vl. Produto]])*Tabela2246[[#This Row],[Aliq.%]]</f>
        <v>0</v>
      </c>
    </row>
    <row r="679" spans="13:19" x14ac:dyDescent="0.25">
      <c r="M679" s="46"/>
      <c r="N679" s="46"/>
      <c r="O679" s="46"/>
      <c r="P679" s="46"/>
      <c r="R679" s="15">
        <v>7.0000000000000007E-2</v>
      </c>
      <c r="S679" s="18">
        <f>(Tabela2246[[#This Row],[FRETE]]+Tabela2246[[#This Row],[DESPESAS]]+Tabela2246[[#This Row],[IPI]]+Tabela2246[[#This Row],[Vl. Produto]])*Tabela2246[[#This Row],[Aliq.%]]</f>
        <v>0</v>
      </c>
    </row>
    <row r="680" spans="13:19" x14ac:dyDescent="0.25">
      <c r="M680" s="46"/>
      <c r="N680" s="46"/>
      <c r="O680" s="46"/>
      <c r="P680" s="46"/>
      <c r="R680" s="15">
        <v>7.0000000000000007E-2</v>
      </c>
      <c r="S680" s="18">
        <f>(Tabela2246[[#This Row],[FRETE]]+Tabela2246[[#This Row],[DESPESAS]]+Tabela2246[[#This Row],[IPI]]+Tabela2246[[#This Row],[Vl. Produto]])*Tabela2246[[#This Row],[Aliq.%]]</f>
        <v>0</v>
      </c>
    </row>
    <row r="681" spans="13:19" x14ac:dyDescent="0.25">
      <c r="M681" s="46"/>
      <c r="N681" s="46"/>
      <c r="O681" s="46"/>
      <c r="P681" s="46"/>
      <c r="R681" s="15">
        <v>7.0000000000000007E-2</v>
      </c>
      <c r="S681" s="18">
        <f>(Tabela2246[[#This Row],[FRETE]]+Tabela2246[[#This Row],[DESPESAS]]+Tabela2246[[#This Row],[IPI]]+Tabela2246[[#This Row],[Vl. Produto]])*Tabela2246[[#This Row],[Aliq.%]]</f>
        <v>0</v>
      </c>
    </row>
    <row r="682" spans="13:19" x14ac:dyDescent="0.25">
      <c r="M682" s="46"/>
      <c r="N682" s="46"/>
      <c r="O682" s="46"/>
      <c r="P682" s="46"/>
      <c r="R682" s="15">
        <v>7.0000000000000007E-2</v>
      </c>
      <c r="S682" s="18">
        <f>(Tabela2246[[#This Row],[FRETE]]+Tabela2246[[#This Row],[DESPESAS]]+Tabela2246[[#This Row],[IPI]]+Tabela2246[[#This Row],[Vl. Produto]])*Tabela2246[[#This Row],[Aliq.%]]</f>
        <v>0</v>
      </c>
    </row>
    <row r="683" spans="13:19" x14ac:dyDescent="0.25">
      <c r="M683" s="46"/>
      <c r="N683" s="46"/>
      <c r="O683" s="46"/>
      <c r="P683" s="46"/>
      <c r="R683" s="15">
        <v>7.0000000000000007E-2</v>
      </c>
      <c r="S683" s="18">
        <f>(Tabela2246[[#This Row],[FRETE]]+Tabela2246[[#This Row],[DESPESAS]]+Tabela2246[[#This Row],[IPI]]+Tabela2246[[#This Row],[Vl. Produto]])*Tabela2246[[#This Row],[Aliq.%]]</f>
        <v>0</v>
      </c>
    </row>
    <row r="684" spans="13:19" x14ac:dyDescent="0.25">
      <c r="M684" s="46"/>
      <c r="N684" s="46"/>
      <c r="O684" s="46"/>
      <c r="P684" s="46"/>
      <c r="R684" s="15">
        <v>7.0000000000000007E-2</v>
      </c>
      <c r="S684" s="18">
        <f>(Tabela2246[[#This Row],[FRETE]]+Tabela2246[[#This Row],[DESPESAS]]+Tabela2246[[#This Row],[IPI]]+Tabela2246[[#This Row],[Vl. Produto]])*Tabela2246[[#This Row],[Aliq.%]]</f>
        <v>0</v>
      </c>
    </row>
    <row r="685" spans="13:19" x14ac:dyDescent="0.25">
      <c r="M685" s="46"/>
      <c r="N685" s="46"/>
      <c r="O685" s="46"/>
      <c r="P685" s="46"/>
      <c r="R685" s="15">
        <v>7.0000000000000007E-2</v>
      </c>
      <c r="S685" s="18">
        <f>(Tabela2246[[#This Row],[FRETE]]+Tabela2246[[#This Row],[DESPESAS]]+Tabela2246[[#This Row],[IPI]]+Tabela2246[[#This Row],[Vl. Produto]])*Tabela2246[[#This Row],[Aliq.%]]</f>
        <v>0</v>
      </c>
    </row>
    <row r="686" spans="13:19" x14ac:dyDescent="0.25">
      <c r="M686" s="46"/>
      <c r="N686" s="46"/>
      <c r="O686" s="46"/>
      <c r="P686" s="46"/>
      <c r="R686" s="15">
        <v>7.0000000000000007E-2</v>
      </c>
      <c r="S686" s="18">
        <f>(Tabela2246[[#This Row],[FRETE]]+Tabela2246[[#This Row],[DESPESAS]]+Tabela2246[[#This Row],[IPI]]+Tabela2246[[#This Row],[Vl. Produto]])*Tabela2246[[#This Row],[Aliq.%]]</f>
        <v>0</v>
      </c>
    </row>
    <row r="687" spans="13:19" x14ac:dyDescent="0.25">
      <c r="M687" s="46"/>
      <c r="N687" s="46"/>
      <c r="O687" s="46"/>
      <c r="P687" s="46"/>
      <c r="R687" s="15">
        <v>7.0000000000000007E-2</v>
      </c>
      <c r="S687" s="18">
        <f>(Tabela2246[[#This Row],[FRETE]]+Tabela2246[[#This Row],[DESPESAS]]+Tabela2246[[#This Row],[IPI]]+Tabela2246[[#This Row],[Vl. Produto]])*Tabela2246[[#This Row],[Aliq.%]]</f>
        <v>0</v>
      </c>
    </row>
    <row r="688" spans="13:19" x14ac:dyDescent="0.25">
      <c r="M688" s="46"/>
      <c r="N688" s="46"/>
      <c r="O688" s="46"/>
      <c r="P688" s="46"/>
      <c r="R688" s="15">
        <v>7.0000000000000007E-2</v>
      </c>
      <c r="S688" s="18">
        <f>(Tabela2246[[#This Row],[FRETE]]+Tabela2246[[#This Row],[DESPESAS]]+Tabela2246[[#This Row],[IPI]]+Tabela2246[[#This Row],[Vl. Produto]])*Tabela2246[[#This Row],[Aliq.%]]</f>
        <v>0</v>
      </c>
    </row>
    <row r="689" spans="13:19" x14ac:dyDescent="0.25">
      <c r="M689" s="46"/>
      <c r="N689" s="46"/>
      <c r="O689" s="46"/>
      <c r="P689" s="46"/>
      <c r="R689" s="15">
        <v>7.0000000000000007E-2</v>
      </c>
      <c r="S689" s="18">
        <f>(Tabela2246[[#This Row],[FRETE]]+Tabela2246[[#This Row],[DESPESAS]]+Tabela2246[[#This Row],[IPI]]+Tabela2246[[#This Row],[Vl. Produto]])*Tabela2246[[#This Row],[Aliq.%]]</f>
        <v>0</v>
      </c>
    </row>
    <row r="690" spans="13:19" x14ac:dyDescent="0.25">
      <c r="M690" s="46"/>
      <c r="N690" s="46"/>
      <c r="O690" s="46"/>
      <c r="P690" s="46"/>
      <c r="R690" s="15">
        <v>7.0000000000000007E-2</v>
      </c>
      <c r="S690" s="18">
        <f>(Tabela2246[[#This Row],[FRETE]]+Tabela2246[[#This Row],[DESPESAS]]+Tabela2246[[#This Row],[IPI]]+Tabela2246[[#This Row],[Vl. Produto]])*Tabela2246[[#This Row],[Aliq.%]]</f>
        <v>0</v>
      </c>
    </row>
    <row r="691" spans="13:19" x14ac:dyDescent="0.25">
      <c r="M691" s="46"/>
      <c r="N691" s="46"/>
      <c r="O691" s="46"/>
      <c r="P691" s="46"/>
      <c r="R691" s="15">
        <v>7.0000000000000007E-2</v>
      </c>
      <c r="S691" s="18">
        <f>(Tabela2246[[#This Row],[FRETE]]+Tabela2246[[#This Row],[DESPESAS]]+Tabela2246[[#This Row],[IPI]]+Tabela2246[[#This Row],[Vl. Produto]])*Tabela2246[[#This Row],[Aliq.%]]</f>
        <v>0</v>
      </c>
    </row>
    <row r="692" spans="13:19" x14ac:dyDescent="0.25">
      <c r="M692" s="46"/>
      <c r="N692" s="46"/>
      <c r="O692" s="46"/>
      <c r="P692" s="46"/>
      <c r="R692" s="15">
        <v>7.0000000000000007E-2</v>
      </c>
      <c r="S692" s="18">
        <f>(Tabela2246[[#This Row],[FRETE]]+Tabela2246[[#This Row],[DESPESAS]]+Tabela2246[[#This Row],[IPI]]+Tabela2246[[#This Row],[Vl. Produto]])*Tabela2246[[#This Row],[Aliq.%]]</f>
        <v>0</v>
      </c>
    </row>
    <row r="693" spans="13:19" x14ac:dyDescent="0.25">
      <c r="M693" s="46"/>
      <c r="N693" s="46"/>
      <c r="O693" s="46"/>
      <c r="P693" s="46"/>
      <c r="R693" s="15">
        <v>7.0000000000000007E-2</v>
      </c>
      <c r="S693" s="18">
        <f>(Tabela2246[[#This Row],[FRETE]]+Tabela2246[[#This Row],[DESPESAS]]+Tabela2246[[#This Row],[IPI]]+Tabela2246[[#This Row],[Vl. Produto]])*Tabela2246[[#This Row],[Aliq.%]]</f>
        <v>0</v>
      </c>
    </row>
    <row r="694" spans="13:19" x14ac:dyDescent="0.25">
      <c r="M694" s="46"/>
      <c r="N694" s="46"/>
      <c r="O694" s="46"/>
      <c r="P694" s="46"/>
      <c r="R694" s="15">
        <v>7.0000000000000007E-2</v>
      </c>
      <c r="S694" s="18">
        <f>(Tabela2246[[#This Row],[FRETE]]+Tabela2246[[#This Row],[DESPESAS]]+Tabela2246[[#This Row],[IPI]]+Tabela2246[[#This Row],[Vl. Produto]])*Tabela2246[[#This Row],[Aliq.%]]</f>
        <v>0</v>
      </c>
    </row>
    <row r="695" spans="13:19" x14ac:dyDescent="0.25">
      <c r="M695" s="46"/>
      <c r="N695" s="46"/>
      <c r="O695" s="46"/>
      <c r="P695" s="46"/>
      <c r="R695" s="15">
        <v>7.0000000000000007E-2</v>
      </c>
      <c r="S695" s="18">
        <f>(Tabela2246[[#This Row],[FRETE]]+Tabela2246[[#This Row],[DESPESAS]]+Tabela2246[[#This Row],[IPI]]+Tabela2246[[#This Row],[Vl. Produto]])*Tabela2246[[#This Row],[Aliq.%]]</f>
        <v>0</v>
      </c>
    </row>
    <row r="696" spans="13:19" x14ac:dyDescent="0.25">
      <c r="M696" s="46"/>
      <c r="N696" s="46"/>
      <c r="O696" s="46"/>
      <c r="P696" s="46"/>
      <c r="R696" s="15">
        <v>7.0000000000000007E-2</v>
      </c>
      <c r="S696" s="18">
        <f>(Tabela2246[[#This Row],[FRETE]]+Tabela2246[[#This Row],[DESPESAS]]+Tabela2246[[#This Row],[IPI]]+Tabela2246[[#This Row],[Vl. Produto]])*Tabela2246[[#This Row],[Aliq.%]]</f>
        <v>0</v>
      </c>
    </row>
    <row r="697" spans="13:19" x14ac:dyDescent="0.25">
      <c r="M697" s="46"/>
      <c r="N697" s="46"/>
      <c r="O697" s="46"/>
      <c r="P697" s="46"/>
      <c r="R697" s="15">
        <v>7.0000000000000007E-2</v>
      </c>
      <c r="S697" s="18">
        <f>(Tabela2246[[#This Row],[FRETE]]+Tabela2246[[#This Row],[DESPESAS]]+Tabela2246[[#This Row],[IPI]]+Tabela2246[[#This Row],[Vl. Produto]])*Tabela2246[[#This Row],[Aliq.%]]</f>
        <v>0</v>
      </c>
    </row>
    <row r="698" spans="13:19" x14ac:dyDescent="0.25">
      <c r="M698" s="46"/>
      <c r="N698" s="46"/>
      <c r="O698" s="46"/>
      <c r="P698" s="46"/>
      <c r="R698" s="15">
        <v>7.0000000000000007E-2</v>
      </c>
      <c r="S698" s="18">
        <f>(Tabela2246[[#This Row],[FRETE]]+Tabela2246[[#This Row],[DESPESAS]]+Tabela2246[[#This Row],[IPI]]+Tabela2246[[#This Row],[Vl. Produto]])*Tabela2246[[#This Row],[Aliq.%]]</f>
        <v>0</v>
      </c>
    </row>
    <row r="699" spans="13:19" x14ac:dyDescent="0.25">
      <c r="M699" s="46"/>
      <c r="N699" s="46"/>
      <c r="O699" s="46"/>
      <c r="P699" s="46"/>
      <c r="R699" s="15">
        <v>7.0000000000000007E-2</v>
      </c>
      <c r="S699" s="18">
        <f>(Tabela2246[[#This Row],[FRETE]]+Tabela2246[[#This Row],[DESPESAS]]+Tabela2246[[#This Row],[IPI]]+Tabela2246[[#This Row],[Vl. Produto]])*Tabela2246[[#This Row],[Aliq.%]]</f>
        <v>0</v>
      </c>
    </row>
    <row r="700" spans="13:19" x14ac:dyDescent="0.25">
      <c r="M700" s="46"/>
      <c r="N700" s="46"/>
      <c r="O700" s="46"/>
      <c r="P700" s="46"/>
      <c r="R700" s="15">
        <v>7.0000000000000007E-2</v>
      </c>
      <c r="S700" s="18">
        <f>(Tabela2246[[#This Row],[FRETE]]+Tabela2246[[#This Row],[DESPESAS]]+Tabela2246[[#This Row],[IPI]]+Tabela2246[[#This Row],[Vl. Produto]])*Tabela2246[[#This Row],[Aliq.%]]</f>
        <v>0</v>
      </c>
    </row>
    <row r="701" spans="13:19" x14ac:dyDescent="0.25">
      <c r="M701" s="46"/>
      <c r="N701" s="46"/>
      <c r="O701" s="46"/>
      <c r="P701" s="46"/>
      <c r="R701" s="15">
        <v>7.0000000000000007E-2</v>
      </c>
      <c r="S701" s="18">
        <f>(Tabela2246[[#This Row],[FRETE]]+Tabela2246[[#This Row],[DESPESAS]]+Tabela2246[[#This Row],[IPI]]+Tabela2246[[#This Row],[Vl. Produto]])*Tabela2246[[#This Row],[Aliq.%]]</f>
        <v>0</v>
      </c>
    </row>
    <row r="702" spans="13:19" x14ac:dyDescent="0.25">
      <c r="M702" s="46"/>
      <c r="N702" s="46"/>
      <c r="O702" s="46"/>
      <c r="P702" s="46"/>
      <c r="R702" s="15">
        <v>7.0000000000000007E-2</v>
      </c>
      <c r="S702" s="18">
        <f>(Tabela2246[[#This Row],[FRETE]]+Tabela2246[[#This Row],[DESPESAS]]+Tabela2246[[#This Row],[IPI]]+Tabela2246[[#This Row],[Vl. Produto]])*Tabela2246[[#This Row],[Aliq.%]]</f>
        <v>0</v>
      </c>
    </row>
    <row r="703" spans="13:19" x14ac:dyDescent="0.25">
      <c r="M703" s="46"/>
      <c r="N703" s="46"/>
      <c r="O703" s="46"/>
      <c r="P703" s="46"/>
      <c r="R703" s="15">
        <v>7.0000000000000007E-2</v>
      </c>
      <c r="S703" s="18">
        <f>(Tabela2246[[#This Row],[FRETE]]+Tabela2246[[#This Row],[DESPESAS]]+Tabela2246[[#This Row],[IPI]]+Tabela2246[[#This Row],[Vl. Produto]])*Tabela2246[[#This Row],[Aliq.%]]</f>
        <v>0</v>
      </c>
    </row>
    <row r="704" spans="13:19" x14ac:dyDescent="0.25">
      <c r="M704" s="46"/>
      <c r="N704" s="46"/>
      <c r="O704" s="46"/>
      <c r="P704" s="46"/>
      <c r="R704" s="15">
        <v>7.0000000000000007E-2</v>
      </c>
      <c r="S704" s="18">
        <f>(Tabela2246[[#This Row],[FRETE]]+Tabela2246[[#This Row],[DESPESAS]]+Tabela2246[[#This Row],[IPI]]+Tabela2246[[#This Row],[Vl. Produto]])*Tabela2246[[#This Row],[Aliq.%]]</f>
        <v>0</v>
      </c>
    </row>
    <row r="705" spans="13:19" x14ac:dyDescent="0.25">
      <c r="M705" s="46"/>
      <c r="N705" s="46"/>
      <c r="O705" s="46"/>
      <c r="P705" s="46"/>
      <c r="R705" s="15">
        <v>7.0000000000000007E-2</v>
      </c>
      <c r="S705" s="18">
        <f>(Tabela2246[[#This Row],[FRETE]]+Tabela2246[[#This Row],[DESPESAS]]+Tabela2246[[#This Row],[IPI]]+Tabela2246[[#This Row],[Vl. Produto]])*Tabela2246[[#This Row],[Aliq.%]]</f>
        <v>0</v>
      </c>
    </row>
    <row r="706" spans="13:19" x14ac:dyDescent="0.25">
      <c r="M706" s="46"/>
      <c r="N706" s="46"/>
      <c r="O706" s="46"/>
      <c r="P706" s="46"/>
      <c r="R706" s="15">
        <v>7.0000000000000007E-2</v>
      </c>
      <c r="S706" s="18">
        <f>(Tabela2246[[#This Row],[FRETE]]+Tabela2246[[#This Row],[DESPESAS]]+Tabela2246[[#This Row],[IPI]]+Tabela2246[[#This Row],[Vl. Produto]])*Tabela2246[[#This Row],[Aliq.%]]</f>
        <v>0</v>
      </c>
    </row>
    <row r="707" spans="13:19" x14ac:dyDescent="0.25">
      <c r="M707" s="46"/>
      <c r="N707" s="46"/>
      <c r="O707" s="46"/>
      <c r="P707" s="46"/>
      <c r="R707" s="15">
        <v>7.0000000000000007E-2</v>
      </c>
      <c r="S707" s="18">
        <f>(Tabela2246[[#This Row],[FRETE]]+Tabela2246[[#This Row],[DESPESAS]]+Tabela2246[[#This Row],[IPI]]+Tabela2246[[#This Row],[Vl. Produto]])*Tabela2246[[#This Row],[Aliq.%]]</f>
        <v>0</v>
      </c>
    </row>
    <row r="708" spans="13:19" x14ac:dyDescent="0.25">
      <c r="M708" s="46"/>
      <c r="N708" s="46"/>
      <c r="O708" s="46"/>
      <c r="P708" s="46"/>
      <c r="R708" s="15">
        <v>7.0000000000000007E-2</v>
      </c>
      <c r="S708" s="18">
        <f>(Tabela2246[[#This Row],[FRETE]]+Tabela2246[[#This Row],[DESPESAS]]+Tabela2246[[#This Row],[IPI]]+Tabela2246[[#This Row],[Vl. Produto]])*Tabela2246[[#This Row],[Aliq.%]]</f>
        <v>0</v>
      </c>
    </row>
    <row r="709" spans="13:19" x14ac:dyDescent="0.25">
      <c r="M709" s="46"/>
      <c r="N709" s="46"/>
      <c r="O709" s="46"/>
      <c r="P709" s="46"/>
      <c r="R709" s="15">
        <v>7.0000000000000007E-2</v>
      </c>
      <c r="S709" s="18">
        <f>(Tabela2246[[#This Row],[FRETE]]+Tabela2246[[#This Row],[DESPESAS]]+Tabela2246[[#This Row],[IPI]]+Tabela2246[[#This Row],[Vl. Produto]])*Tabela2246[[#This Row],[Aliq.%]]</f>
        <v>0</v>
      </c>
    </row>
    <row r="710" spans="13:19" x14ac:dyDescent="0.25">
      <c r="M710" s="46"/>
      <c r="N710" s="46"/>
      <c r="O710" s="46"/>
      <c r="P710" s="46"/>
      <c r="R710" s="15">
        <v>7.0000000000000007E-2</v>
      </c>
      <c r="S710" s="18">
        <f>(Tabela2246[[#This Row],[FRETE]]+Tabela2246[[#This Row],[DESPESAS]]+Tabela2246[[#This Row],[IPI]]+Tabela2246[[#This Row],[Vl. Produto]])*Tabela2246[[#This Row],[Aliq.%]]</f>
        <v>0</v>
      </c>
    </row>
    <row r="711" spans="13:19" x14ac:dyDescent="0.25">
      <c r="M711" s="46"/>
      <c r="N711" s="46"/>
      <c r="O711" s="46"/>
      <c r="P711" s="46"/>
      <c r="R711" s="15">
        <v>7.0000000000000007E-2</v>
      </c>
      <c r="S711" s="18">
        <f>(Tabela2246[[#This Row],[FRETE]]+Tabela2246[[#This Row],[DESPESAS]]+Tabela2246[[#This Row],[IPI]]+Tabela2246[[#This Row],[Vl. Produto]])*Tabela2246[[#This Row],[Aliq.%]]</f>
        <v>0</v>
      </c>
    </row>
    <row r="712" spans="13:19" x14ac:dyDescent="0.25">
      <c r="M712" s="46"/>
      <c r="N712" s="46"/>
      <c r="O712" s="46"/>
      <c r="P712" s="46"/>
      <c r="R712" s="15">
        <v>7.0000000000000007E-2</v>
      </c>
      <c r="S712" s="18">
        <f>(Tabela2246[[#This Row],[FRETE]]+Tabela2246[[#This Row],[DESPESAS]]+Tabela2246[[#This Row],[IPI]]+Tabela2246[[#This Row],[Vl. Produto]])*Tabela2246[[#This Row],[Aliq.%]]</f>
        <v>0</v>
      </c>
    </row>
    <row r="713" spans="13:19" x14ac:dyDescent="0.25">
      <c r="M713" s="46"/>
      <c r="N713" s="46"/>
      <c r="O713" s="46"/>
      <c r="P713" s="46"/>
      <c r="R713" s="15">
        <v>7.0000000000000007E-2</v>
      </c>
      <c r="S713" s="18">
        <f>(Tabela2246[[#This Row],[FRETE]]+Tabela2246[[#This Row],[DESPESAS]]+Tabela2246[[#This Row],[IPI]]+Tabela2246[[#This Row],[Vl. Produto]])*Tabela2246[[#This Row],[Aliq.%]]</f>
        <v>0</v>
      </c>
    </row>
    <row r="714" spans="13:19" x14ac:dyDescent="0.25">
      <c r="M714" s="46"/>
      <c r="N714" s="46"/>
      <c r="O714" s="46"/>
      <c r="P714" s="46"/>
      <c r="R714" s="15">
        <v>7.0000000000000007E-2</v>
      </c>
      <c r="S714" s="18">
        <f>(Tabela2246[[#This Row],[FRETE]]+Tabela2246[[#This Row],[DESPESAS]]+Tabela2246[[#This Row],[IPI]]+Tabela2246[[#This Row],[Vl. Produto]])*Tabela2246[[#This Row],[Aliq.%]]</f>
        <v>0</v>
      </c>
    </row>
    <row r="715" spans="13:19" x14ac:dyDescent="0.25">
      <c r="M715" s="46"/>
      <c r="N715" s="46"/>
      <c r="O715" s="46"/>
      <c r="P715" s="46"/>
      <c r="R715" s="15">
        <v>7.0000000000000007E-2</v>
      </c>
      <c r="S715" s="18">
        <f>(Tabela2246[[#This Row],[FRETE]]+Tabela2246[[#This Row],[DESPESAS]]+Tabela2246[[#This Row],[IPI]]+Tabela2246[[#This Row],[Vl. Produto]])*Tabela2246[[#This Row],[Aliq.%]]</f>
        <v>0</v>
      </c>
    </row>
    <row r="716" spans="13:19" x14ac:dyDescent="0.25">
      <c r="M716" s="46"/>
      <c r="N716" s="46"/>
      <c r="O716" s="46"/>
      <c r="P716" s="46"/>
      <c r="R716" s="15">
        <v>7.0000000000000007E-2</v>
      </c>
      <c r="S716" s="18">
        <f>(Tabela2246[[#This Row],[FRETE]]+Tabela2246[[#This Row],[DESPESAS]]+Tabela2246[[#This Row],[IPI]]+Tabela2246[[#This Row],[Vl. Produto]])*Tabela2246[[#This Row],[Aliq.%]]</f>
        <v>0</v>
      </c>
    </row>
    <row r="717" spans="13:19" x14ac:dyDescent="0.25">
      <c r="M717" s="46"/>
      <c r="N717" s="46"/>
      <c r="O717" s="46"/>
      <c r="P717" s="46"/>
      <c r="R717" s="15">
        <v>7.0000000000000007E-2</v>
      </c>
      <c r="S717" s="18">
        <f>(Tabela2246[[#This Row],[FRETE]]+Tabela2246[[#This Row],[DESPESAS]]+Tabela2246[[#This Row],[IPI]]+Tabela2246[[#This Row],[Vl. Produto]])*Tabela2246[[#This Row],[Aliq.%]]</f>
        <v>0</v>
      </c>
    </row>
    <row r="718" spans="13:19" x14ac:dyDescent="0.25">
      <c r="M718" s="46"/>
      <c r="N718" s="46"/>
      <c r="O718" s="46"/>
      <c r="P718" s="46"/>
      <c r="R718" s="15">
        <v>7.0000000000000007E-2</v>
      </c>
      <c r="S718" s="18">
        <f>(Tabela2246[[#This Row],[FRETE]]+Tabela2246[[#This Row],[DESPESAS]]+Tabela2246[[#This Row],[IPI]]+Tabela2246[[#This Row],[Vl. Produto]])*Tabela2246[[#This Row],[Aliq.%]]</f>
        <v>0</v>
      </c>
    </row>
    <row r="719" spans="13:19" x14ac:dyDescent="0.25">
      <c r="M719" s="46"/>
      <c r="N719" s="46"/>
      <c r="O719" s="46"/>
      <c r="P719" s="46"/>
      <c r="R719" s="15">
        <v>7.0000000000000007E-2</v>
      </c>
      <c r="S719" s="18">
        <f>(Tabela2246[[#This Row],[FRETE]]+Tabela2246[[#This Row],[DESPESAS]]+Tabela2246[[#This Row],[IPI]]+Tabela2246[[#This Row],[Vl. Produto]])*Tabela2246[[#This Row],[Aliq.%]]</f>
        <v>0</v>
      </c>
    </row>
    <row r="720" spans="13:19" x14ac:dyDescent="0.25">
      <c r="M720" s="46"/>
      <c r="N720" s="46"/>
      <c r="O720" s="46"/>
      <c r="P720" s="46"/>
      <c r="R720" s="15">
        <v>7.0000000000000007E-2</v>
      </c>
      <c r="S720" s="18">
        <f>(Tabela2246[[#This Row],[FRETE]]+Tabela2246[[#This Row],[DESPESAS]]+Tabela2246[[#This Row],[IPI]]+Tabela2246[[#This Row],[Vl. Produto]])*Tabela2246[[#This Row],[Aliq.%]]</f>
        <v>0</v>
      </c>
    </row>
    <row r="721" spans="13:19" x14ac:dyDescent="0.25">
      <c r="M721" s="46"/>
      <c r="N721" s="46"/>
      <c r="O721" s="46"/>
      <c r="P721" s="46"/>
      <c r="R721" s="15">
        <v>7.0000000000000007E-2</v>
      </c>
      <c r="S721" s="18">
        <f>(Tabela2246[[#This Row],[FRETE]]+Tabela2246[[#This Row],[DESPESAS]]+Tabela2246[[#This Row],[IPI]]+Tabela2246[[#This Row],[Vl. Produto]])*Tabela2246[[#This Row],[Aliq.%]]</f>
        <v>0</v>
      </c>
    </row>
    <row r="722" spans="13:19" x14ac:dyDescent="0.25">
      <c r="M722" s="46"/>
      <c r="N722" s="46"/>
      <c r="O722" s="46"/>
      <c r="P722" s="46"/>
      <c r="R722" s="15">
        <v>7.0000000000000007E-2</v>
      </c>
      <c r="S722" s="18">
        <f>(Tabela2246[[#This Row],[FRETE]]+Tabela2246[[#This Row],[DESPESAS]]+Tabela2246[[#This Row],[IPI]]+Tabela2246[[#This Row],[Vl. Produto]])*Tabela2246[[#This Row],[Aliq.%]]</f>
        <v>0</v>
      </c>
    </row>
    <row r="723" spans="13:19" x14ac:dyDescent="0.25">
      <c r="M723" s="46"/>
      <c r="N723" s="46"/>
      <c r="O723" s="46"/>
      <c r="P723" s="46"/>
      <c r="R723" s="15">
        <v>7.0000000000000007E-2</v>
      </c>
      <c r="S723" s="18">
        <f>(Tabela2246[[#This Row],[FRETE]]+Tabela2246[[#This Row],[DESPESAS]]+Tabela2246[[#This Row],[IPI]]+Tabela2246[[#This Row],[Vl. Produto]])*Tabela2246[[#This Row],[Aliq.%]]</f>
        <v>0</v>
      </c>
    </row>
    <row r="724" spans="13:19" x14ac:dyDescent="0.25">
      <c r="M724" s="46"/>
      <c r="N724" s="46"/>
      <c r="O724" s="46"/>
      <c r="P724" s="46"/>
      <c r="R724" s="15">
        <v>7.0000000000000007E-2</v>
      </c>
      <c r="S724" s="18">
        <f>(Tabela2246[[#This Row],[FRETE]]+Tabela2246[[#This Row],[DESPESAS]]+Tabela2246[[#This Row],[IPI]]+Tabela2246[[#This Row],[Vl. Produto]])*Tabela2246[[#This Row],[Aliq.%]]</f>
        <v>0</v>
      </c>
    </row>
    <row r="725" spans="13:19" x14ac:dyDescent="0.25">
      <c r="M725" s="46"/>
      <c r="N725" s="46"/>
      <c r="O725" s="46"/>
      <c r="P725" s="46"/>
      <c r="R725" s="15">
        <v>7.0000000000000007E-2</v>
      </c>
      <c r="S725" s="18">
        <f>(Tabela2246[[#This Row],[FRETE]]+Tabela2246[[#This Row],[DESPESAS]]+Tabela2246[[#This Row],[IPI]]+Tabela2246[[#This Row],[Vl. Produto]])*Tabela2246[[#This Row],[Aliq.%]]</f>
        <v>0</v>
      </c>
    </row>
    <row r="726" spans="13:19" x14ac:dyDescent="0.25">
      <c r="M726" s="46"/>
      <c r="N726" s="46"/>
      <c r="O726" s="46"/>
      <c r="P726" s="46"/>
      <c r="R726" s="15">
        <v>7.0000000000000007E-2</v>
      </c>
      <c r="S726" s="18">
        <f>(Tabela2246[[#This Row],[FRETE]]+Tabela2246[[#This Row],[DESPESAS]]+Tabela2246[[#This Row],[IPI]]+Tabela2246[[#This Row],[Vl. Produto]])*Tabela2246[[#This Row],[Aliq.%]]</f>
        <v>0</v>
      </c>
    </row>
    <row r="727" spans="13:19" x14ac:dyDescent="0.25">
      <c r="M727" s="46"/>
      <c r="N727" s="46"/>
      <c r="O727" s="46"/>
      <c r="P727" s="46"/>
      <c r="R727" s="15">
        <v>7.0000000000000007E-2</v>
      </c>
      <c r="S727" s="18">
        <f>(Tabela2246[[#This Row],[FRETE]]+Tabela2246[[#This Row],[DESPESAS]]+Tabela2246[[#This Row],[IPI]]+Tabela2246[[#This Row],[Vl. Produto]])*Tabela2246[[#This Row],[Aliq.%]]</f>
        <v>0</v>
      </c>
    </row>
    <row r="728" spans="13:19" x14ac:dyDescent="0.25">
      <c r="M728" s="46"/>
      <c r="N728" s="46"/>
      <c r="O728" s="46"/>
      <c r="P728" s="46"/>
      <c r="R728" s="15">
        <v>7.0000000000000007E-2</v>
      </c>
      <c r="S728" s="18">
        <f>(Tabela2246[[#This Row],[FRETE]]+Tabela2246[[#This Row],[DESPESAS]]+Tabela2246[[#This Row],[IPI]]+Tabela2246[[#This Row],[Vl. Produto]])*Tabela2246[[#This Row],[Aliq.%]]</f>
        <v>0</v>
      </c>
    </row>
    <row r="729" spans="13:19" x14ac:dyDescent="0.25">
      <c r="M729" s="46"/>
      <c r="N729" s="46"/>
      <c r="O729" s="46"/>
      <c r="P729" s="46"/>
      <c r="R729" s="15">
        <v>7.0000000000000007E-2</v>
      </c>
      <c r="S729" s="18">
        <f>(Tabela2246[[#This Row],[FRETE]]+Tabela2246[[#This Row],[DESPESAS]]+Tabela2246[[#This Row],[IPI]]+Tabela2246[[#This Row],[Vl. Produto]])*Tabela2246[[#This Row],[Aliq.%]]</f>
        <v>0</v>
      </c>
    </row>
    <row r="730" spans="13:19" x14ac:dyDescent="0.25">
      <c r="M730" s="46"/>
      <c r="N730" s="46"/>
      <c r="O730" s="46"/>
      <c r="P730" s="46"/>
      <c r="R730" s="15">
        <v>7.0000000000000007E-2</v>
      </c>
      <c r="S730" s="18">
        <f>(Tabela2246[[#This Row],[FRETE]]+Tabela2246[[#This Row],[DESPESAS]]+Tabela2246[[#This Row],[IPI]]+Tabela2246[[#This Row],[Vl. Produto]])*Tabela2246[[#This Row],[Aliq.%]]</f>
        <v>0</v>
      </c>
    </row>
    <row r="731" spans="13:19" x14ac:dyDescent="0.25">
      <c r="M731" s="46"/>
      <c r="N731" s="46"/>
      <c r="O731" s="46"/>
      <c r="P731" s="46"/>
      <c r="R731" s="15">
        <v>7.0000000000000007E-2</v>
      </c>
      <c r="S731" s="18">
        <f>(Tabela2246[[#This Row],[FRETE]]+Tabela2246[[#This Row],[DESPESAS]]+Tabela2246[[#This Row],[IPI]]+Tabela2246[[#This Row],[Vl. Produto]])*Tabela2246[[#This Row],[Aliq.%]]</f>
        <v>0</v>
      </c>
    </row>
    <row r="732" spans="13:19" x14ac:dyDescent="0.25">
      <c r="M732" s="46"/>
      <c r="N732" s="46"/>
      <c r="O732" s="46"/>
      <c r="P732" s="46"/>
      <c r="R732" s="15">
        <v>7.0000000000000007E-2</v>
      </c>
      <c r="S732" s="18">
        <f>(Tabela2246[[#This Row],[FRETE]]+Tabela2246[[#This Row],[DESPESAS]]+Tabela2246[[#This Row],[IPI]]+Tabela2246[[#This Row],[Vl. Produto]])*Tabela2246[[#This Row],[Aliq.%]]</f>
        <v>0</v>
      </c>
    </row>
    <row r="733" spans="13:19" x14ac:dyDescent="0.25">
      <c r="M733" s="46"/>
      <c r="N733" s="46"/>
      <c r="O733" s="46"/>
      <c r="P733" s="46"/>
      <c r="R733" s="15">
        <v>7.0000000000000007E-2</v>
      </c>
      <c r="S733" s="18">
        <f>(Tabela2246[[#This Row],[FRETE]]+Tabela2246[[#This Row],[DESPESAS]]+Tabela2246[[#This Row],[IPI]]+Tabela2246[[#This Row],[Vl. Produto]])*Tabela2246[[#This Row],[Aliq.%]]</f>
        <v>0</v>
      </c>
    </row>
    <row r="734" spans="13:19" x14ac:dyDescent="0.25">
      <c r="M734" s="46"/>
      <c r="N734" s="46"/>
      <c r="O734" s="46"/>
      <c r="P734" s="46"/>
      <c r="R734" s="15">
        <v>7.0000000000000007E-2</v>
      </c>
      <c r="S734" s="18">
        <f>(Tabela2246[[#This Row],[FRETE]]+Tabela2246[[#This Row],[DESPESAS]]+Tabela2246[[#This Row],[IPI]]+Tabela2246[[#This Row],[Vl. Produto]])*Tabela2246[[#This Row],[Aliq.%]]</f>
        <v>0</v>
      </c>
    </row>
    <row r="735" spans="13:19" x14ac:dyDescent="0.25">
      <c r="M735" s="46"/>
      <c r="N735" s="46"/>
      <c r="O735" s="46"/>
      <c r="P735" s="46"/>
      <c r="R735" s="15">
        <v>7.0000000000000007E-2</v>
      </c>
      <c r="S735" s="18">
        <f>(Tabela2246[[#This Row],[FRETE]]+Tabela2246[[#This Row],[DESPESAS]]+Tabela2246[[#This Row],[IPI]]+Tabela2246[[#This Row],[Vl. Produto]])*Tabela2246[[#This Row],[Aliq.%]]</f>
        <v>0</v>
      </c>
    </row>
    <row r="736" spans="13:19" x14ac:dyDescent="0.25">
      <c r="M736" s="46"/>
      <c r="N736" s="46"/>
      <c r="O736" s="46"/>
      <c r="P736" s="46"/>
      <c r="R736" s="15">
        <v>7.0000000000000007E-2</v>
      </c>
      <c r="S736" s="18">
        <f>(Tabela2246[[#This Row],[FRETE]]+Tabela2246[[#This Row],[DESPESAS]]+Tabela2246[[#This Row],[IPI]]+Tabela2246[[#This Row],[Vl. Produto]])*Tabela2246[[#This Row],[Aliq.%]]</f>
        <v>0</v>
      </c>
    </row>
    <row r="737" spans="13:19" x14ac:dyDescent="0.25">
      <c r="M737" s="46"/>
      <c r="N737" s="46"/>
      <c r="O737" s="46"/>
      <c r="P737" s="46"/>
      <c r="R737" s="15">
        <v>7.0000000000000007E-2</v>
      </c>
      <c r="S737" s="18">
        <f>(Tabela2246[[#This Row],[FRETE]]+Tabela2246[[#This Row],[DESPESAS]]+Tabela2246[[#This Row],[IPI]]+Tabela2246[[#This Row],[Vl. Produto]])*Tabela2246[[#This Row],[Aliq.%]]</f>
        <v>0</v>
      </c>
    </row>
    <row r="738" spans="13:19" x14ac:dyDescent="0.25">
      <c r="M738" s="46"/>
      <c r="N738" s="46"/>
      <c r="O738" s="46"/>
      <c r="P738" s="46"/>
      <c r="R738" s="15">
        <v>7.0000000000000007E-2</v>
      </c>
      <c r="S738" s="18">
        <f>(Tabela2246[[#This Row],[FRETE]]+Tabela2246[[#This Row],[DESPESAS]]+Tabela2246[[#This Row],[IPI]]+Tabela2246[[#This Row],[Vl. Produto]])*Tabela2246[[#This Row],[Aliq.%]]</f>
        <v>0</v>
      </c>
    </row>
    <row r="739" spans="13:19" x14ac:dyDescent="0.25">
      <c r="M739" s="46"/>
      <c r="N739" s="46"/>
      <c r="O739" s="46"/>
      <c r="P739" s="46"/>
      <c r="R739" s="15">
        <v>7.0000000000000007E-2</v>
      </c>
      <c r="S739" s="18">
        <f>(Tabela2246[[#This Row],[FRETE]]+Tabela2246[[#This Row],[DESPESAS]]+Tabela2246[[#This Row],[IPI]]+Tabela2246[[#This Row],[Vl. Produto]])*Tabela2246[[#This Row],[Aliq.%]]</f>
        <v>0</v>
      </c>
    </row>
    <row r="740" spans="13:19" x14ac:dyDescent="0.25">
      <c r="M740" s="46"/>
      <c r="N740" s="46"/>
      <c r="O740" s="46"/>
      <c r="P740" s="46"/>
      <c r="R740" s="15">
        <v>7.0000000000000007E-2</v>
      </c>
      <c r="S740" s="18">
        <f>(Tabela2246[[#This Row],[FRETE]]+Tabela2246[[#This Row],[DESPESAS]]+Tabela2246[[#This Row],[IPI]]+Tabela2246[[#This Row],[Vl. Produto]])*Tabela2246[[#This Row],[Aliq.%]]</f>
        <v>0</v>
      </c>
    </row>
    <row r="741" spans="13:19" x14ac:dyDescent="0.25">
      <c r="M741" s="46"/>
      <c r="N741" s="46"/>
      <c r="O741" s="46"/>
      <c r="P741" s="46"/>
      <c r="R741" s="15">
        <v>7.0000000000000007E-2</v>
      </c>
      <c r="S741" s="18">
        <f>(Tabela2246[[#This Row],[FRETE]]+Tabela2246[[#This Row],[DESPESAS]]+Tabela2246[[#This Row],[IPI]]+Tabela2246[[#This Row],[Vl. Produto]])*Tabela2246[[#This Row],[Aliq.%]]</f>
        <v>0</v>
      </c>
    </row>
    <row r="742" spans="13:19" x14ac:dyDescent="0.25">
      <c r="M742" s="46"/>
      <c r="N742" s="46"/>
      <c r="O742" s="46"/>
      <c r="P742" s="46"/>
      <c r="R742" s="15">
        <v>7.0000000000000007E-2</v>
      </c>
      <c r="S742" s="18">
        <f>(Tabela2246[[#This Row],[FRETE]]+Tabela2246[[#This Row],[DESPESAS]]+Tabela2246[[#This Row],[IPI]]+Tabela2246[[#This Row],[Vl. Produto]])*Tabela2246[[#This Row],[Aliq.%]]</f>
        <v>0</v>
      </c>
    </row>
    <row r="743" spans="13:19" x14ac:dyDescent="0.25">
      <c r="M743" s="46"/>
      <c r="N743" s="46"/>
      <c r="O743" s="46"/>
      <c r="P743" s="46"/>
      <c r="R743" s="15">
        <v>7.0000000000000007E-2</v>
      </c>
      <c r="S743" s="18">
        <f>(Tabela2246[[#This Row],[FRETE]]+Tabela2246[[#This Row],[DESPESAS]]+Tabela2246[[#This Row],[IPI]]+Tabela2246[[#This Row],[Vl. Produto]])*Tabela2246[[#This Row],[Aliq.%]]</f>
        <v>0</v>
      </c>
    </row>
    <row r="744" spans="13:19" x14ac:dyDescent="0.25">
      <c r="M744" s="46"/>
      <c r="N744" s="46"/>
      <c r="O744" s="46"/>
      <c r="P744" s="46"/>
      <c r="R744" s="15">
        <v>7.0000000000000007E-2</v>
      </c>
      <c r="S744" s="18">
        <f>(Tabela2246[[#This Row],[FRETE]]+Tabela2246[[#This Row],[DESPESAS]]+Tabela2246[[#This Row],[IPI]]+Tabela2246[[#This Row],[Vl. Produto]])*Tabela2246[[#This Row],[Aliq.%]]</f>
        <v>0</v>
      </c>
    </row>
    <row r="745" spans="13:19" x14ac:dyDescent="0.25">
      <c r="M745" s="46"/>
      <c r="N745" s="46"/>
      <c r="O745" s="46"/>
      <c r="P745" s="46"/>
      <c r="R745" s="15">
        <v>7.0000000000000007E-2</v>
      </c>
      <c r="S745" s="18">
        <f>(Tabela2246[[#This Row],[FRETE]]+Tabela2246[[#This Row],[DESPESAS]]+Tabela2246[[#This Row],[IPI]]+Tabela2246[[#This Row],[Vl. Produto]])*Tabela2246[[#This Row],[Aliq.%]]</f>
        <v>0</v>
      </c>
    </row>
    <row r="746" spans="13:19" x14ac:dyDescent="0.25">
      <c r="M746" s="46"/>
      <c r="N746" s="46"/>
      <c r="O746" s="46"/>
      <c r="P746" s="46"/>
      <c r="R746" s="15">
        <v>7.0000000000000007E-2</v>
      </c>
      <c r="S746" s="18">
        <f>(Tabela2246[[#This Row],[FRETE]]+Tabela2246[[#This Row],[DESPESAS]]+Tabela2246[[#This Row],[IPI]]+Tabela2246[[#This Row],[Vl. Produto]])*Tabela2246[[#This Row],[Aliq.%]]</f>
        <v>0</v>
      </c>
    </row>
    <row r="747" spans="13:19" x14ac:dyDescent="0.25">
      <c r="M747" s="46"/>
      <c r="N747" s="46"/>
      <c r="O747" s="46"/>
      <c r="P747" s="46"/>
      <c r="R747" s="15">
        <v>7.0000000000000007E-2</v>
      </c>
      <c r="S747" s="18">
        <f>(Tabela2246[[#This Row],[FRETE]]+Tabela2246[[#This Row],[DESPESAS]]+Tabela2246[[#This Row],[IPI]]+Tabela2246[[#This Row],[Vl. Produto]])*Tabela2246[[#This Row],[Aliq.%]]</f>
        <v>0</v>
      </c>
    </row>
    <row r="748" spans="13:19" x14ac:dyDescent="0.25">
      <c r="M748" s="46"/>
      <c r="N748" s="46"/>
      <c r="O748" s="46"/>
      <c r="P748" s="46"/>
      <c r="R748" s="15">
        <v>7.0000000000000007E-2</v>
      </c>
      <c r="S748" s="18">
        <f>(Tabela2246[[#This Row],[FRETE]]+Tabela2246[[#This Row],[DESPESAS]]+Tabela2246[[#This Row],[IPI]]+Tabela2246[[#This Row],[Vl. Produto]])*Tabela2246[[#This Row],[Aliq.%]]</f>
        <v>0</v>
      </c>
    </row>
    <row r="749" spans="13:19" x14ac:dyDescent="0.25">
      <c r="M749" s="46"/>
      <c r="N749" s="46"/>
      <c r="O749" s="46"/>
      <c r="P749" s="46"/>
      <c r="R749" s="15">
        <v>7.0000000000000007E-2</v>
      </c>
      <c r="S749" s="18">
        <f>(Tabela2246[[#This Row],[FRETE]]+Tabela2246[[#This Row],[DESPESAS]]+Tabela2246[[#This Row],[IPI]]+Tabela2246[[#This Row],[Vl. Produto]])*Tabela2246[[#This Row],[Aliq.%]]</f>
        <v>0</v>
      </c>
    </row>
    <row r="750" spans="13:19" x14ac:dyDescent="0.25">
      <c r="M750" s="46"/>
      <c r="N750" s="46"/>
      <c r="O750" s="46"/>
      <c r="P750" s="46"/>
      <c r="R750" s="15">
        <v>7.0000000000000007E-2</v>
      </c>
      <c r="S750" s="18">
        <f>(Tabela2246[[#This Row],[FRETE]]+Tabela2246[[#This Row],[DESPESAS]]+Tabela2246[[#This Row],[IPI]]+Tabela2246[[#This Row],[Vl. Produto]])*Tabela2246[[#This Row],[Aliq.%]]</f>
        <v>0</v>
      </c>
    </row>
    <row r="751" spans="13:19" x14ac:dyDescent="0.25">
      <c r="M751" s="46"/>
      <c r="N751" s="46"/>
      <c r="O751" s="46"/>
      <c r="P751" s="46"/>
      <c r="R751" s="15">
        <v>7.0000000000000007E-2</v>
      </c>
      <c r="S751" s="18">
        <f>(Tabela2246[[#This Row],[FRETE]]+Tabela2246[[#This Row],[DESPESAS]]+Tabela2246[[#This Row],[IPI]]+Tabela2246[[#This Row],[Vl. Produto]])*Tabela2246[[#This Row],[Aliq.%]]</f>
        <v>0</v>
      </c>
    </row>
    <row r="752" spans="13:19" x14ac:dyDescent="0.25">
      <c r="M752" s="46"/>
      <c r="N752" s="46"/>
      <c r="O752" s="46"/>
      <c r="P752" s="46"/>
      <c r="R752" s="15">
        <v>7.0000000000000007E-2</v>
      </c>
      <c r="S752" s="18">
        <f>(Tabela2246[[#This Row],[FRETE]]+Tabela2246[[#This Row],[DESPESAS]]+Tabela2246[[#This Row],[IPI]]+Tabela2246[[#This Row],[Vl. Produto]])*Tabela2246[[#This Row],[Aliq.%]]</f>
        <v>0</v>
      </c>
    </row>
    <row r="753" spans="13:19" x14ac:dyDescent="0.25">
      <c r="M753" s="46"/>
      <c r="N753" s="46"/>
      <c r="O753" s="46"/>
      <c r="P753" s="46"/>
      <c r="R753" s="15">
        <v>7.0000000000000007E-2</v>
      </c>
      <c r="S753" s="18">
        <f>(Tabela2246[[#This Row],[FRETE]]+Tabela2246[[#This Row],[DESPESAS]]+Tabela2246[[#This Row],[IPI]]+Tabela2246[[#This Row],[Vl. Produto]])*Tabela2246[[#This Row],[Aliq.%]]</f>
        <v>0</v>
      </c>
    </row>
    <row r="754" spans="13:19" x14ac:dyDescent="0.25">
      <c r="M754" s="46"/>
      <c r="N754" s="46"/>
      <c r="O754" s="46"/>
      <c r="P754" s="46"/>
      <c r="R754" s="15">
        <v>7.0000000000000007E-2</v>
      </c>
      <c r="S754" s="18">
        <f>(Tabela2246[[#This Row],[FRETE]]+Tabela2246[[#This Row],[DESPESAS]]+Tabela2246[[#This Row],[IPI]]+Tabela2246[[#This Row],[Vl. Produto]])*Tabela2246[[#This Row],[Aliq.%]]</f>
        <v>0</v>
      </c>
    </row>
    <row r="755" spans="13:19" x14ac:dyDescent="0.25">
      <c r="M755" s="46"/>
      <c r="N755" s="46"/>
      <c r="O755" s="46"/>
      <c r="P755" s="46"/>
      <c r="R755" s="15">
        <v>7.0000000000000007E-2</v>
      </c>
      <c r="S755" s="18">
        <f>(Tabela2246[[#This Row],[FRETE]]+Tabela2246[[#This Row],[DESPESAS]]+Tabela2246[[#This Row],[IPI]]+Tabela2246[[#This Row],[Vl. Produto]])*Tabela2246[[#This Row],[Aliq.%]]</f>
        <v>0</v>
      </c>
    </row>
    <row r="756" spans="13:19" x14ac:dyDescent="0.25">
      <c r="M756" s="46"/>
      <c r="N756" s="46"/>
      <c r="O756" s="46"/>
      <c r="P756" s="46"/>
      <c r="R756" s="15">
        <v>7.0000000000000007E-2</v>
      </c>
      <c r="S756" s="18">
        <f>(Tabela2246[[#This Row],[FRETE]]+Tabela2246[[#This Row],[DESPESAS]]+Tabela2246[[#This Row],[IPI]]+Tabela2246[[#This Row],[Vl. Produto]])*Tabela2246[[#This Row],[Aliq.%]]</f>
        <v>0</v>
      </c>
    </row>
    <row r="757" spans="13:19" x14ac:dyDescent="0.25">
      <c r="M757" s="46"/>
      <c r="N757" s="46"/>
      <c r="O757" s="46"/>
      <c r="P757" s="46"/>
      <c r="R757" s="15">
        <v>7.0000000000000007E-2</v>
      </c>
      <c r="S757" s="18">
        <f>(Tabela2246[[#This Row],[FRETE]]+Tabela2246[[#This Row],[DESPESAS]]+Tabela2246[[#This Row],[IPI]]+Tabela2246[[#This Row],[Vl. Produto]])*Tabela2246[[#This Row],[Aliq.%]]</f>
        <v>0</v>
      </c>
    </row>
    <row r="758" spans="13:19" x14ac:dyDescent="0.25">
      <c r="M758" s="46"/>
      <c r="N758" s="46"/>
      <c r="O758" s="46"/>
      <c r="P758" s="46"/>
      <c r="R758" s="15">
        <v>7.0000000000000007E-2</v>
      </c>
      <c r="S758" s="18">
        <f>(Tabela2246[[#This Row],[FRETE]]+Tabela2246[[#This Row],[DESPESAS]]+Tabela2246[[#This Row],[IPI]]+Tabela2246[[#This Row],[Vl. Produto]])*Tabela2246[[#This Row],[Aliq.%]]</f>
        <v>0</v>
      </c>
    </row>
    <row r="759" spans="13:19" x14ac:dyDescent="0.25">
      <c r="M759" s="46"/>
      <c r="N759" s="46"/>
      <c r="O759" s="46"/>
      <c r="P759" s="46"/>
      <c r="R759" s="15">
        <v>7.0000000000000007E-2</v>
      </c>
      <c r="S759" s="18">
        <f>(Tabela2246[[#This Row],[FRETE]]+Tabela2246[[#This Row],[DESPESAS]]+Tabela2246[[#This Row],[IPI]]+Tabela2246[[#This Row],[Vl. Produto]])*Tabela2246[[#This Row],[Aliq.%]]</f>
        <v>0</v>
      </c>
    </row>
    <row r="760" spans="13:19" x14ac:dyDescent="0.25">
      <c r="M760" s="46"/>
      <c r="N760" s="46"/>
      <c r="O760" s="46"/>
      <c r="P760" s="46"/>
      <c r="R760" s="15">
        <v>7.0000000000000007E-2</v>
      </c>
      <c r="S760" s="18">
        <f>(Tabela2246[[#This Row],[FRETE]]+Tabela2246[[#This Row],[DESPESAS]]+Tabela2246[[#This Row],[IPI]]+Tabela2246[[#This Row],[Vl. Produto]])*Tabela2246[[#This Row],[Aliq.%]]</f>
        <v>0</v>
      </c>
    </row>
    <row r="761" spans="13:19" x14ac:dyDescent="0.25">
      <c r="M761" s="46"/>
      <c r="N761" s="46"/>
      <c r="O761" s="46"/>
      <c r="P761" s="46"/>
      <c r="R761" s="15">
        <v>7.0000000000000007E-2</v>
      </c>
      <c r="S761" s="18">
        <f>(Tabela2246[[#This Row],[FRETE]]+Tabela2246[[#This Row],[DESPESAS]]+Tabela2246[[#This Row],[IPI]]+Tabela2246[[#This Row],[Vl. Produto]])*Tabela2246[[#This Row],[Aliq.%]]</f>
        <v>0</v>
      </c>
    </row>
    <row r="762" spans="13:19" x14ac:dyDescent="0.25">
      <c r="M762" s="46"/>
      <c r="N762" s="46"/>
      <c r="O762" s="46"/>
      <c r="P762" s="46"/>
      <c r="R762" s="15">
        <v>7.0000000000000007E-2</v>
      </c>
      <c r="S762" s="18">
        <f>(Tabela2246[[#This Row],[FRETE]]+Tabela2246[[#This Row],[DESPESAS]]+Tabela2246[[#This Row],[IPI]]+Tabela2246[[#This Row],[Vl. Produto]])*Tabela2246[[#This Row],[Aliq.%]]</f>
        <v>0</v>
      </c>
    </row>
    <row r="763" spans="13:19" x14ac:dyDescent="0.25">
      <c r="M763" s="46"/>
      <c r="N763" s="46"/>
      <c r="O763" s="46"/>
      <c r="P763" s="46"/>
      <c r="R763" s="15">
        <v>7.0000000000000007E-2</v>
      </c>
      <c r="S763" s="18">
        <f>(Tabela2246[[#This Row],[FRETE]]+Tabela2246[[#This Row],[DESPESAS]]+Tabela2246[[#This Row],[IPI]]+Tabela2246[[#This Row],[Vl. Produto]])*Tabela2246[[#This Row],[Aliq.%]]</f>
        <v>0</v>
      </c>
    </row>
    <row r="764" spans="13:19" x14ac:dyDescent="0.25">
      <c r="M764" s="46"/>
      <c r="N764" s="46"/>
      <c r="O764" s="46"/>
      <c r="P764" s="46"/>
      <c r="R764" s="15">
        <v>7.0000000000000007E-2</v>
      </c>
      <c r="S764" s="18">
        <f>(Tabela2246[[#This Row],[FRETE]]+Tabela2246[[#This Row],[DESPESAS]]+Tabela2246[[#This Row],[IPI]]+Tabela2246[[#This Row],[Vl. Produto]])*Tabela2246[[#This Row],[Aliq.%]]</f>
        <v>0</v>
      </c>
    </row>
    <row r="765" spans="13:19" x14ac:dyDescent="0.25">
      <c r="M765" s="46"/>
      <c r="N765" s="46"/>
      <c r="O765" s="46"/>
      <c r="P765" s="46"/>
      <c r="R765" s="15">
        <v>7.0000000000000007E-2</v>
      </c>
      <c r="S765" s="18">
        <f>(Tabela2246[[#This Row],[FRETE]]+Tabela2246[[#This Row],[DESPESAS]]+Tabela2246[[#This Row],[IPI]]+Tabela2246[[#This Row],[Vl. Produto]])*Tabela2246[[#This Row],[Aliq.%]]</f>
        <v>0</v>
      </c>
    </row>
    <row r="766" spans="13:19" x14ac:dyDescent="0.25">
      <c r="M766" s="46"/>
      <c r="N766" s="46"/>
      <c r="O766" s="46"/>
      <c r="P766" s="46"/>
      <c r="R766" s="15">
        <v>7.0000000000000007E-2</v>
      </c>
      <c r="S766" s="18">
        <f>(Tabela2246[[#This Row],[FRETE]]+Tabela2246[[#This Row],[DESPESAS]]+Tabela2246[[#This Row],[IPI]]+Tabela2246[[#This Row],[Vl. Produto]])*Tabela2246[[#This Row],[Aliq.%]]</f>
        <v>0</v>
      </c>
    </row>
    <row r="767" spans="13:19" x14ac:dyDescent="0.25">
      <c r="M767" s="46"/>
      <c r="N767" s="46"/>
      <c r="O767" s="46"/>
      <c r="P767" s="46"/>
      <c r="R767" s="15">
        <v>7.0000000000000007E-2</v>
      </c>
      <c r="S767" s="18">
        <f>(Tabela2246[[#This Row],[FRETE]]+Tabela2246[[#This Row],[DESPESAS]]+Tabela2246[[#This Row],[IPI]]+Tabela2246[[#This Row],[Vl. Produto]])*Tabela2246[[#This Row],[Aliq.%]]</f>
        <v>0</v>
      </c>
    </row>
    <row r="768" spans="13:19" x14ac:dyDescent="0.25">
      <c r="M768" s="46"/>
      <c r="N768" s="46"/>
      <c r="O768" s="46"/>
      <c r="P768" s="46"/>
      <c r="R768" s="15">
        <v>7.0000000000000007E-2</v>
      </c>
      <c r="S768" s="18">
        <f>(Tabela2246[[#This Row],[FRETE]]+Tabela2246[[#This Row],[DESPESAS]]+Tabela2246[[#This Row],[IPI]]+Tabela2246[[#This Row],[Vl. Produto]])*Tabela2246[[#This Row],[Aliq.%]]</f>
        <v>0</v>
      </c>
    </row>
    <row r="769" spans="13:19" x14ac:dyDescent="0.25">
      <c r="M769" s="46"/>
      <c r="N769" s="46"/>
      <c r="O769" s="46"/>
      <c r="P769" s="46"/>
      <c r="R769" s="15">
        <v>7.0000000000000007E-2</v>
      </c>
      <c r="S769" s="18">
        <f>(Tabela2246[[#This Row],[FRETE]]+Tabela2246[[#This Row],[DESPESAS]]+Tabela2246[[#This Row],[IPI]]+Tabela2246[[#This Row],[Vl. Produto]])*Tabela2246[[#This Row],[Aliq.%]]</f>
        <v>0</v>
      </c>
    </row>
    <row r="770" spans="13:19" x14ac:dyDescent="0.25">
      <c r="M770" s="46"/>
      <c r="N770" s="46"/>
      <c r="O770" s="46"/>
      <c r="P770" s="46"/>
      <c r="R770" s="15">
        <v>7.0000000000000007E-2</v>
      </c>
      <c r="S770" s="18">
        <f>(Tabela2246[[#This Row],[FRETE]]+Tabela2246[[#This Row],[DESPESAS]]+Tabela2246[[#This Row],[IPI]]+Tabela2246[[#This Row],[Vl. Produto]])*Tabela2246[[#This Row],[Aliq.%]]</f>
        <v>0</v>
      </c>
    </row>
    <row r="771" spans="13:19" x14ac:dyDescent="0.25">
      <c r="M771" s="46"/>
      <c r="N771" s="46"/>
      <c r="O771" s="46"/>
      <c r="P771" s="46"/>
      <c r="R771" s="15">
        <v>7.0000000000000007E-2</v>
      </c>
      <c r="S771" s="18">
        <f>(Tabela2246[[#This Row],[FRETE]]+Tabela2246[[#This Row],[DESPESAS]]+Tabela2246[[#This Row],[IPI]]+Tabela2246[[#This Row],[Vl. Produto]])*Tabela2246[[#This Row],[Aliq.%]]</f>
        <v>0</v>
      </c>
    </row>
    <row r="772" spans="13:19" x14ac:dyDescent="0.25">
      <c r="M772" s="46"/>
      <c r="N772" s="46"/>
      <c r="O772" s="46"/>
      <c r="P772" s="46"/>
      <c r="R772" s="15">
        <v>7.0000000000000007E-2</v>
      </c>
      <c r="S772" s="18">
        <f>(Tabela2246[[#This Row],[FRETE]]+Tabela2246[[#This Row],[DESPESAS]]+Tabela2246[[#This Row],[IPI]]+Tabela2246[[#This Row],[Vl. Produto]])*Tabela2246[[#This Row],[Aliq.%]]</f>
        <v>0</v>
      </c>
    </row>
    <row r="773" spans="13:19" x14ac:dyDescent="0.25">
      <c r="M773" s="46"/>
      <c r="N773" s="46"/>
      <c r="O773" s="46"/>
      <c r="P773" s="46"/>
      <c r="R773" s="15">
        <v>7.0000000000000007E-2</v>
      </c>
      <c r="S773" s="18">
        <f>(Tabela2246[[#This Row],[FRETE]]+Tabela2246[[#This Row],[DESPESAS]]+Tabela2246[[#This Row],[IPI]]+Tabela2246[[#This Row],[Vl. Produto]])*Tabela2246[[#This Row],[Aliq.%]]</f>
        <v>0</v>
      </c>
    </row>
    <row r="774" spans="13:19" x14ac:dyDescent="0.25">
      <c r="M774" s="46"/>
      <c r="N774" s="46"/>
      <c r="O774" s="46"/>
      <c r="P774" s="46"/>
      <c r="R774" s="15">
        <v>7.0000000000000007E-2</v>
      </c>
      <c r="S774" s="18">
        <f>(Tabela2246[[#This Row],[FRETE]]+Tabela2246[[#This Row],[DESPESAS]]+Tabela2246[[#This Row],[IPI]]+Tabela2246[[#This Row],[Vl. Produto]])*Tabela2246[[#This Row],[Aliq.%]]</f>
        <v>0</v>
      </c>
    </row>
    <row r="775" spans="13:19" x14ac:dyDescent="0.25">
      <c r="M775" s="46"/>
      <c r="N775" s="46"/>
      <c r="O775" s="46"/>
      <c r="P775" s="46"/>
      <c r="R775" s="15">
        <v>7.0000000000000007E-2</v>
      </c>
      <c r="S775" s="18">
        <f>(Tabela2246[[#This Row],[FRETE]]+Tabela2246[[#This Row],[DESPESAS]]+Tabela2246[[#This Row],[IPI]]+Tabela2246[[#This Row],[Vl. Produto]])*Tabela2246[[#This Row],[Aliq.%]]</f>
        <v>0</v>
      </c>
    </row>
    <row r="776" spans="13:19" x14ac:dyDescent="0.25">
      <c r="M776" s="46"/>
      <c r="N776" s="46"/>
      <c r="O776" s="46"/>
      <c r="P776" s="46"/>
      <c r="R776" s="15">
        <v>7.0000000000000007E-2</v>
      </c>
      <c r="S776" s="18">
        <f>(Tabela2246[[#This Row],[FRETE]]+Tabela2246[[#This Row],[DESPESAS]]+Tabela2246[[#This Row],[IPI]]+Tabela2246[[#This Row],[Vl. Produto]])*Tabela2246[[#This Row],[Aliq.%]]</f>
        <v>0</v>
      </c>
    </row>
    <row r="777" spans="13:19" x14ac:dyDescent="0.25">
      <c r="M777" s="46"/>
      <c r="N777" s="46"/>
      <c r="O777" s="46"/>
      <c r="P777" s="46"/>
      <c r="R777" s="15">
        <v>7.0000000000000007E-2</v>
      </c>
      <c r="S777" s="18">
        <f>(Tabela2246[[#This Row],[FRETE]]+Tabela2246[[#This Row],[DESPESAS]]+Tabela2246[[#This Row],[IPI]]+Tabela2246[[#This Row],[Vl. Produto]])*Tabela2246[[#This Row],[Aliq.%]]</f>
        <v>0</v>
      </c>
    </row>
    <row r="778" spans="13:19" x14ac:dyDescent="0.25">
      <c r="M778" s="46"/>
      <c r="N778" s="46"/>
      <c r="O778" s="46"/>
      <c r="P778" s="46"/>
      <c r="R778" s="15">
        <v>7.0000000000000007E-2</v>
      </c>
      <c r="S778" s="18">
        <f>(Tabela2246[[#This Row],[FRETE]]+Tabela2246[[#This Row],[DESPESAS]]+Tabela2246[[#This Row],[IPI]]+Tabela2246[[#This Row],[Vl. Produto]])*Tabela2246[[#This Row],[Aliq.%]]</f>
        <v>0</v>
      </c>
    </row>
    <row r="779" spans="13:19" x14ac:dyDescent="0.25">
      <c r="M779" s="46"/>
      <c r="N779" s="46"/>
      <c r="O779" s="46"/>
      <c r="P779" s="46"/>
      <c r="R779" s="15">
        <v>7.0000000000000007E-2</v>
      </c>
      <c r="S779" s="18">
        <f>(Tabela2246[[#This Row],[FRETE]]+Tabela2246[[#This Row],[DESPESAS]]+Tabela2246[[#This Row],[IPI]]+Tabela2246[[#This Row],[Vl. Produto]])*Tabela2246[[#This Row],[Aliq.%]]</f>
        <v>0</v>
      </c>
    </row>
    <row r="780" spans="13:19" x14ac:dyDescent="0.25">
      <c r="M780" s="46"/>
      <c r="N780" s="46"/>
      <c r="O780" s="46"/>
      <c r="P780" s="46"/>
      <c r="R780" s="15">
        <v>7.0000000000000007E-2</v>
      </c>
      <c r="S780" s="18">
        <f>(Tabela2246[[#This Row],[FRETE]]+Tabela2246[[#This Row],[DESPESAS]]+Tabela2246[[#This Row],[IPI]]+Tabela2246[[#This Row],[Vl. Produto]])*Tabela2246[[#This Row],[Aliq.%]]</f>
        <v>0</v>
      </c>
    </row>
    <row r="781" spans="13:19" x14ac:dyDescent="0.25">
      <c r="M781" s="46"/>
      <c r="N781" s="46"/>
      <c r="O781" s="46"/>
      <c r="P781" s="46"/>
      <c r="R781" s="15">
        <v>7.0000000000000007E-2</v>
      </c>
      <c r="S781" s="18">
        <f>(Tabela2246[[#This Row],[FRETE]]+Tabela2246[[#This Row],[DESPESAS]]+Tabela2246[[#This Row],[IPI]]+Tabela2246[[#This Row],[Vl. Produto]])*Tabela2246[[#This Row],[Aliq.%]]</f>
        <v>0</v>
      </c>
    </row>
    <row r="782" spans="13:19" x14ac:dyDescent="0.25">
      <c r="M782" s="46"/>
      <c r="N782" s="46"/>
      <c r="O782" s="46"/>
      <c r="P782" s="46"/>
      <c r="R782" s="15">
        <v>7.0000000000000007E-2</v>
      </c>
      <c r="S782" s="18">
        <f>(Tabela2246[[#This Row],[FRETE]]+Tabela2246[[#This Row],[DESPESAS]]+Tabela2246[[#This Row],[IPI]]+Tabela2246[[#This Row],[Vl. Produto]])*Tabela2246[[#This Row],[Aliq.%]]</f>
        <v>0</v>
      </c>
    </row>
    <row r="783" spans="13:19" x14ac:dyDescent="0.25">
      <c r="M783" s="46"/>
      <c r="N783" s="46"/>
      <c r="O783" s="46"/>
      <c r="P783" s="46"/>
      <c r="R783" s="15">
        <v>7.0000000000000007E-2</v>
      </c>
      <c r="S783" s="18">
        <f>(Tabela2246[[#This Row],[FRETE]]+Tabela2246[[#This Row],[DESPESAS]]+Tabela2246[[#This Row],[IPI]]+Tabela2246[[#This Row],[Vl. Produto]])*Tabela2246[[#This Row],[Aliq.%]]</f>
        <v>0</v>
      </c>
    </row>
    <row r="784" spans="13:19" x14ac:dyDescent="0.25">
      <c r="M784" s="46"/>
      <c r="N784" s="46"/>
      <c r="O784" s="46"/>
      <c r="P784" s="46"/>
      <c r="R784" s="15">
        <v>7.0000000000000007E-2</v>
      </c>
      <c r="S784" s="18">
        <f>(Tabela2246[[#This Row],[FRETE]]+Tabela2246[[#This Row],[DESPESAS]]+Tabela2246[[#This Row],[IPI]]+Tabela2246[[#This Row],[Vl. Produto]])*Tabela2246[[#This Row],[Aliq.%]]</f>
        <v>0</v>
      </c>
    </row>
    <row r="785" spans="13:19" x14ac:dyDescent="0.25">
      <c r="M785" s="46"/>
      <c r="N785" s="46"/>
      <c r="O785" s="46"/>
      <c r="P785" s="46"/>
      <c r="R785" s="15">
        <v>7.0000000000000007E-2</v>
      </c>
      <c r="S785" s="18">
        <f>(Tabela2246[[#This Row],[FRETE]]+Tabela2246[[#This Row],[DESPESAS]]+Tabela2246[[#This Row],[IPI]]+Tabela2246[[#This Row],[Vl. Produto]])*Tabela2246[[#This Row],[Aliq.%]]</f>
        <v>0</v>
      </c>
    </row>
    <row r="786" spans="13:19" x14ac:dyDescent="0.25">
      <c r="M786" s="46"/>
      <c r="N786" s="46"/>
      <c r="O786" s="46"/>
      <c r="P786" s="46"/>
      <c r="R786" s="15">
        <v>7.0000000000000007E-2</v>
      </c>
      <c r="S786" s="18">
        <f>(Tabela2246[[#This Row],[FRETE]]+Tabela2246[[#This Row],[DESPESAS]]+Tabela2246[[#This Row],[IPI]]+Tabela2246[[#This Row],[Vl. Produto]])*Tabela2246[[#This Row],[Aliq.%]]</f>
        <v>0</v>
      </c>
    </row>
    <row r="787" spans="13:19" x14ac:dyDescent="0.25">
      <c r="M787" s="46"/>
      <c r="N787" s="46"/>
      <c r="O787" s="46"/>
      <c r="P787" s="46"/>
      <c r="R787" s="15">
        <v>7.0000000000000007E-2</v>
      </c>
      <c r="S787" s="18">
        <f>(Tabela2246[[#This Row],[FRETE]]+Tabela2246[[#This Row],[DESPESAS]]+Tabela2246[[#This Row],[IPI]]+Tabela2246[[#This Row],[Vl. Produto]])*Tabela2246[[#This Row],[Aliq.%]]</f>
        <v>0</v>
      </c>
    </row>
    <row r="788" spans="13:19" x14ac:dyDescent="0.25">
      <c r="M788" s="46"/>
      <c r="N788" s="46"/>
      <c r="O788" s="46"/>
      <c r="P788" s="46"/>
      <c r="R788" s="15">
        <v>7.0000000000000007E-2</v>
      </c>
      <c r="S788" s="18">
        <f>(Tabela2246[[#This Row],[FRETE]]+Tabela2246[[#This Row],[DESPESAS]]+Tabela2246[[#This Row],[IPI]]+Tabela2246[[#This Row],[Vl. Produto]])*Tabela2246[[#This Row],[Aliq.%]]</f>
        <v>0</v>
      </c>
    </row>
    <row r="789" spans="13:19" x14ac:dyDescent="0.25">
      <c r="M789" s="46"/>
      <c r="N789" s="46"/>
      <c r="O789" s="46"/>
      <c r="P789" s="46"/>
      <c r="R789" s="15">
        <v>7.0000000000000007E-2</v>
      </c>
      <c r="S789" s="18">
        <f>(Tabela2246[[#This Row],[FRETE]]+Tabela2246[[#This Row],[DESPESAS]]+Tabela2246[[#This Row],[IPI]]+Tabela2246[[#This Row],[Vl. Produto]])*Tabela2246[[#This Row],[Aliq.%]]</f>
        <v>0</v>
      </c>
    </row>
    <row r="790" spans="13:19" x14ac:dyDescent="0.25">
      <c r="M790" s="46"/>
      <c r="N790" s="46"/>
      <c r="O790" s="46"/>
      <c r="P790" s="46"/>
      <c r="R790" s="15">
        <v>7.0000000000000007E-2</v>
      </c>
      <c r="S790" s="18">
        <f>(Tabela2246[[#This Row],[FRETE]]+Tabela2246[[#This Row],[DESPESAS]]+Tabela2246[[#This Row],[IPI]]+Tabela2246[[#This Row],[Vl. Produto]])*Tabela2246[[#This Row],[Aliq.%]]</f>
        <v>0</v>
      </c>
    </row>
    <row r="791" spans="13:19" x14ac:dyDescent="0.25">
      <c r="M791" s="46"/>
      <c r="N791" s="46"/>
      <c r="O791" s="46"/>
      <c r="P791" s="46"/>
      <c r="R791" s="15">
        <v>7.0000000000000007E-2</v>
      </c>
      <c r="S791" s="18">
        <f>(Tabela2246[[#This Row],[FRETE]]+Tabela2246[[#This Row],[DESPESAS]]+Tabela2246[[#This Row],[IPI]]+Tabela2246[[#This Row],[Vl. Produto]])*Tabela2246[[#This Row],[Aliq.%]]</f>
        <v>0</v>
      </c>
    </row>
    <row r="792" spans="13:19" x14ac:dyDescent="0.25">
      <c r="M792" s="46"/>
      <c r="N792" s="46"/>
      <c r="O792" s="46"/>
      <c r="P792" s="46"/>
      <c r="R792" s="15">
        <v>7.0000000000000007E-2</v>
      </c>
      <c r="S792" s="18">
        <f>(Tabela2246[[#This Row],[FRETE]]+Tabela2246[[#This Row],[DESPESAS]]+Tabela2246[[#This Row],[IPI]]+Tabela2246[[#This Row],[Vl. Produto]])*Tabela2246[[#This Row],[Aliq.%]]</f>
        <v>0</v>
      </c>
    </row>
    <row r="793" spans="13:19" x14ac:dyDescent="0.25">
      <c r="M793" s="46"/>
      <c r="N793" s="46"/>
      <c r="O793" s="46"/>
      <c r="P793" s="46"/>
      <c r="R793" s="15">
        <v>7.0000000000000007E-2</v>
      </c>
      <c r="S793" s="18">
        <f>(Tabela2246[[#This Row],[FRETE]]+Tabela2246[[#This Row],[DESPESAS]]+Tabela2246[[#This Row],[IPI]]+Tabela2246[[#This Row],[Vl. Produto]])*Tabela2246[[#This Row],[Aliq.%]]</f>
        <v>0</v>
      </c>
    </row>
    <row r="794" spans="13:19" x14ac:dyDescent="0.25">
      <c r="M794" s="46"/>
      <c r="N794" s="46"/>
      <c r="O794" s="46"/>
      <c r="P794" s="46"/>
      <c r="R794" s="15">
        <v>7.0000000000000007E-2</v>
      </c>
      <c r="S794" s="18">
        <f>(Tabela2246[[#This Row],[FRETE]]+Tabela2246[[#This Row],[DESPESAS]]+Tabela2246[[#This Row],[IPI]]+Tabela2246[[#This Row],[Vl. Produto]])*Tabela2246[[#This Row],[Aliq.%]]</f>
        <v>0</v>
      </c>
    </row>
    <row r="795" spans="13:19" x14ac:dyDescent="0.25">
      <c r="M795" s="46"/>
      <c r="N795" s="46"/>
      <c r="O795" s="46"/>
      <c r="P795" s="46"/>
      <c r="R795" s="15">
        <v>7.0000000000000007E-2</v>
      </c>
      <c r="S795" s="18">
        <f>(Tabela2246[[#This Row],[FRETE]]+Tabela2246[[#This Row],[DESPESAS]]+Tabela2246[[#This Row],[IPI]]+Tabela2246[[#This Row],[Vl. Produto]])*Tabela2246[[#This Row],[Aliq.%]]</f>
        <v>0</v>
      </c>
    </row>
    <row r="796" spans="13:19" x14ac:dyDescent="0.25">
      <c r="M796" s="46"/>
      <c r="N796" s="46"/>
      <c r="O796" s="46"/>
      <c r="P796" s="46"/>
      <c r="R796" s="15">
        <v>7.0000000000000007E-2</v>
      </c>
      <c r="S796" s="18">
        <f>(Tabela2246[[#This Row],[FRETE]]+Tabela2246[[#This Row],[DESPESAS]]+Tabela2246[[#This Row],[IPI]]+Tabela2246[[#This Row],[Vl. Produto]])*Tabela2246[[#This Row],[Aliq.%]]</f>
        <v>0</v>
      </c>
    </row>
    <row r="797" spans="13:19" x14ac:dyDescent="0.25">
      <c r="M797" s="46"/>
      <c r="N797" s="46"/>
      <c r="O797" s="46"/>
      <c r="P797" s="46"/>
      <c r="R797" s="15">
        <v>7.0000000000000007E-2</v>
      </c>
      <c r="S797" s="18">
        <f>(Tabela2246[[#This Row],[FRETE]]+Tabela2246[[#This Row],[DESPESAS]]+Tabela2246[[#This Row],[IPI]]+Tabela2246[[#This Row],[Vl. Produto]])*Tabela2246[[#This Row],[Aliq.%]]</f>
        <v>0</v>
      </c>
    </row>
    <row r="798" spans="13:19" x14ac:dyDescent="0.25">
      <c r="M798" s="46"/>
      <c r="N798" s="46"/>
      <c r="O798" s="46"/>
      <c r="P798" s="46"/>
      <c r="R798" s="15">
        <v>7.0000000000000007E-2</v>
      </c>
      <c r="S798" s="18">
        <f>(Tabela2246[[#This Row],[FRETE]]+Tabela2246[[#This Row],[DESPESAS]]+Tabela2246[[#This Row],[IPI]]+Tabela2246[[#This Row],[Vl. Produto]])*Tabela2246[[#This Row],[Aliq.%]]</f>
        <v>0</v>
      </c>
    </row>
    <row r="799" spans="13:19" x14ac:dyDescent="0.25">
      <c r="M799" s="46"/>
      <c r="N799" s="46"/>
      <c r="O799" s="46"/>
      <c r="P799" s="46"/>
      <c r="R799" s="15">
        <v>7.0000000000000007E-2</v>
      </c>
      <c r="S799" s="18">
        <f>(Tabela2246[[#This Row],[FRETE]]+Tabela2246[[#This Row],[DESPESAS]]+Tabela2246[[#This Row],[IPI]]+Tabela2246[[#This Row],[Vl. Produto]])*Tabela2246[[#This Row],[Aliq.%]]</f>
        <v>0</v>
      </c>
    </row>
    <row r="800" spans="13:19" x14ac:dyDescent="0.25">
      <c r="M800" s="46"/>
      <c r="N800" s="46"/>
      <c r="O800" s="46"/>
      <c r="P800" s="46"/>
      <c r="R800" s="15">
        <v>7.0000000000000007E-2</v>
      </c>
      <c r="S800" s="18">
        <f>(Tabela2246[[#This Row],[FRETE]]+Tabela2246[[#This Row],[DESPESAS]]+Tabela2246[[#This Row],[IPI]]+Tabela2246[[#This Row],[Vl. Produto]])*Tabela2246[[#This Row],[Aliq.%]]</f>
        <v>0</v>
      </c>
    </row>
    <row r="801" spans="13:19" x14ac:dyDescent="0.25">
      <c r="M801" s="46"/>
      <c r="N801" s="46"/>
      <c r="O801" s="46"/>
      <c r="P801" s="46"/>
      <c r="R801" s="15">
        <v>7.0000000000000007E-2</v>
      </c>
      <c r="S801" s="18">
        <f>(Tabela2246[[#This Row],[FRETE]]+Tabela2246[[#This Row],[DESPESAS]]+Tabela2246[[#This Row],[IPI]]+Tabela2246[[#This Row],[Vl. Produto]])*Tabela2246[[#This Row],[Aliq.%]]</f>
        <v>0</v>
      </c>
    </row>
    <row r="802" spans="13:19" x14ac:dyDescent="0.25">
      <c r="M802" s="46"/>
      <c r="N802" s="46"/>
      <c r="O802" s="46"/>
      <c r="P802" s="46"/>
      <c r="R802" s="15">
        <v>7.0000000000000007E-2</v>
      </c>
      <c r="S802" s="18">
        <f>(Tabela2246[[#This Row],[FRETE]]+Tabela2246[[#This Row],[DESPESAS]]+Tabela2246[[#This Row],[IPI]]+Tabela2246[[#This Row],[Vl. Produto]])*Tabela2246[[#This Row],[Aliq.%]]</f>
        <v>0</v>
      </c>
    </row>
    <row r="803" spans="13:19" x14ac:dyDescent="0.25">
      <c r="M803" s="46"/>
      <c r="N803" s="46"/>
      <c r="O803" s="46"/>
      <c r="P803" s="46"/>
      <c r="R803" s="15">
        <v>7.0000000000000007E-2</v>
      </c>
      <c r="S803" s="18">
        <f>(Tabela2246[[#This Row],[FRETE]]+Tabela2246[[#This Row],[DESPESAS]]+Tabela2246[[#This Row],[IPI]]+Tabela2246[[#This Row],[Vl. Produto]])*Tabela2246[[#This Row],[Aliq.%]]</f>
        <v>0</v>
      </c>
    </row>
    <row r="804" spans="13:19" x14ac:dyDescent="0.25">
      <c r="M804" s="46"/>
      <c r="N804" s="46"/>
      <c r="O804" s="46"/>
      <c r="P804" s="46"/>
      <c r="R804" s="15">
        <v>7.0000000000000007E-2</v>
      </c>
      <c r="S804" s="18">
        <f>(Tabela2246[[#This Row],[FRETE]]+Tabela2246[[#This Row],[DESPESAS]]+Tabela2246[[#This Row],[IPI]]+Tabela2246[[#This Row],[Vl. Produto]])*Tabela2246[[#This Row],[Aliq.%]]</f>
        <v>0</v>
      </c>
    </row>
    <row r="805" spans="13:19" x14ac:dyDescent="0.25">
      <c r="M805" s="46"/>
      <c r="N805" s="46"/>
      <c r="O805" s="46"/>
      <c r="P805" s="46"/>
      <c r="R805" s="15">
        <v>7.0000000000000007E-2</v>
      </c>
      <c r="S805" s="18">
        <f>(Tabela2246[[#This Row],[FRETE]]+Tabela2246[[#This Row],[DESPESAS]]+Tabela2246[[#This Row],[IPI]]+Tabela2246[[#This Row],[Vl. Produto]])*Tabela2246[[#This Row],[Aliq.%]]</f>
        <v>0</v>
      </c>
    </row>
    <row r="806" spans="13:19" x14ac:dyDescent="0.25">
      <c r="M806" s="46"/>
      <c r="N806" s="46"/>
      <c r="O806" s="46"/>
      <c r="P806" s="46"/>
      <c r="R806" s="15">
        <v>7.0000000000000007E-2</v>
      </c>
      <c r="S806" s="18">
        <f>(Tabela2246[[#This Row],[FRETE]]+Tabela2246[[#This Row],[DESPESAS]]+Tabela2246[[#This Row],[IPI]]+Tabela2246[[#This Row],[Vl. Produto]])*Tabela2246[[#This Row],[Aliq.%]]</f>
        <v>0</v>
      </c>
    </row>
    <row r="807" spans="13:19" x14ac:dyDescent="0.25">
      <c r="M807" s="46"/>
      <c r="N807" s="46"/>
      <c r="O807" s="46"/>
      <c r="P807" s="46"/>
      <c r="R807" s="15">
        <v>7.0000000000000007E-2</v>
      </c>
      <c r="S807" s="18">
        <f>(Tabela2246[[#This Row],[FRETE]]+Tabela2246[[#This Row],[DESPESAS]]+Tabela2246[[#This Row],[IPI]]+Tabela2246[[#This Row],[Vl. Produto]])*Tabela2246[[#This Row],[Aliq.%]]</f>
        <v>0</v>
      </c>
    </row>
    <row r="808" spans="13:19" x14ac:dyDescent="0.25">
      <c r="M808" s="46"/>
      <c r="N808" s="46"/>
      <c r="O808" s="46"/>
      <c r="P808" s="46"/>
      <c r="R808" s="15">
        <v>7.0000000000000007E-2</v>
      </c>
      <c r="S808" s="18">
        <f>(Tabela2246[[#This Row],[FRETE]]+Tabela2246[[#This Row],[DESPESAS]]+Tabela2246[[#This Row],[IPI]]+Tabela2246[[#This Row],[Vl. Produto]])*Tabela2246[[#This Row],[Aliq.%]]</f>
        <v>0</v>
      </c>
    </row>
    <row r="809" spans="13:19" x14ac:dyDescent="0.25">
      <c r="M809" s="46"/>
      <c r="N809" s="46"/>
      <c r="O809" s="46"/>
      <c r="P809" s="46"/>
      <c r="R809" s="15">
        <v>7.0000000000000007E-2</v>
      </c>
      <c r="S809" s="18">
        <f>(Tabela2246[[#This Row],[FRETE]]+Tabela2246[[#This Row],[DESPESAS]]+Tabela2246[[#This Row],[IPI]]+Tabela2246[[#This Row],[Vl. Produto]])*Tabela2246[[#This Row],[Aliq.%]]</f>
        <v>0</v>
      </c>
    </row>
    <row r="810" spans="13:19" x14ac:dyDescent="0.25">
      <c r="M810" s="46"/>
      <c r="N810" s="46"/>
      <c r="O810" s="46"/>
      <c r="P810" s="46"/>
      <c r="R810" s="15">
        <v>7.0000000000000007E-2</v>
      </c>
      <c r="S810" s="18">
        <f>(Tabela2246[[#This Row],[FRETE]]+Tabela2246[[#This Row],[DESPESAS]]+Tabela2246[[#This Row],[IPI]]+Tabela2246[[#This Row],[Vl. Produto]])*Tabela2246[[#This Row],[Aliq.%]]</f>
        <v>0</v>
      </c>
    </row>
    <row r="811" spans="13:19" x14ac:dyDescent="0.25">
      <c r="M811" s="46"/>
      <c r="N811" s="46"/>
      <c r="O811" s="46"/>
      <c r="P811" s="46"/>
      <c r="R811" s="15">
        <v>7.0000000000000007E-2</v>
      </c>
      <c r="S811" s="18">
        <f>(Tabela2246[[#This Row],[FRETE]]+Tabela2246[[#This Row],[DESPESAS]]+Tabela2246[[#This Row],[IPI]]+Tabela2246[[#This Row],[Vl. Produto]])*Tabela2246[[#This Row],[Aliq.%]]</f>
        <v>0</v>
      </c>
    </row>
    <row r="812" spans="13:19" x14ac:dyDescent="0.25">
      <c r="M812" s="46"/>
      <c r="N812" s="46"/>
      <c r="O812" s="46"/>
      <c r="P812" s="46"/>
      <c r="R812" s="15">
        <v>7.0000000000000007E-2</v>
      </c>
      <c r="S812" s="18">
        <f>(Tabela2246[[#This Row],[FRETE]]+Tabela2246[[#This Row],[DESPESAS]]+Tabela2246[[#This Row],[IPI]]+Tabela2246[[#This Row],[Vl. Produto]])*Tabela2246[[#This Row],[Aliq.%]]</f>
        <v>0</v>
      </c>
    </row>
    <row r="813" spans="13:19" x14ac:dyDescent="0.25">
      <c r="M813" s="46"/>
      <c r="N813" s="46"/>
      <c r="O813" s="46"/>
      <c r="P813" s="46"/>
      <c r="R813" s="15">
        <v>7.0000000000000007E-2</v>
      </c>
      <c r="S813" s="18">
        <f>(Tabela2246[[#This Row],[FRETE]]+Tabela2246[[#This Row],[DESPESAS]]+Tabela2246[[#This Row],[IPI]]+Tabela2246[[#This Row],[Vl. Produto]])*Tabela2246[[#This Row],[Aliq.%]]</f>
        <v>0</v>
      </c>
    </row>
    <row r="814" spans="13:19" x14ac:dyDescent="0.25">
      <c r="M814" s="46"/>
      <c r="N814" s="46"/>
      <c r="O814" s="46"/>
      <c r="P814" s="46"/>
      <c r="R814" s="15">
        <v>7.0000000000000007E-2</v>
      </c>
      <c r="S814" s="18">
        <f>(Tabela2246[[#This Row],[FRETE]]+Tabela2246[[#This Row],[DESPESAS]]+Tabela2246[[#This Row],[IPI]]+Tabela2246[[#This Row],[Vl. Produto]])*Tabela2246[[#This Row],[Aliq.%]]</f>
        <v>0</v>
      </c>
    </row>
    <row r="815" spans="13:19" x14ac:dyDescent="0.25">
      <c r="M815" s="46"/>
      <c r="N815" s="46"/>
      <c r="O815" s="46"/>
      <c r="P815" s="46"/>
      <c r="R815" s="15">
        <v>7.0000000000000007E-2</v>
      </c>
      <c r="S815" s="18">
        <f>(Tabela2246[[#This Row],[FRETE]]+Tabela2246[[#This Row],[DESPESAS]]+Tabela2246[[#This Row],[IPI]]+Tabela2246[[#This Row],[Vl. Produto]])*Tabela2246[[#This Row],[Aliq.%]]</f>
        <v>0</v>
      </c>
    </row>
    <row r="816" spans="13:19" x14ac:dyDescent="0.25">
      <c r="M816" s="46"/>
      <c r="N816" s="46"/>
      <c r="O816" s="46"/>
      <c r="P816" s="46"/>
      <c r="R816" s="15">
        <v>7.0000000000000007E-2</v>
      </c>
      <c r="S816" s="18">
        <f>(Tabela2246[[#This Row],[FRETE]]+Tabela2246[[#This Row],[DESPESAS]]+Tabela2246[[#This Row],[IPI]]+Tabela2246[[#This Row],[Vl. Produto]])*Tabela2246[[#This Row],[Aliq.%]]</f>
        <v>0</v>
      </c>
    </row>
    <row r="817" spans="13:19" x14ac:dyDescent="0.25">
      <c r="M817" s="46"/>
      <c r="N817" s="46"/>
      <c r="O817" s="46"/>
      <c r="P817" s="46"/>
      <c r="R817" s="15">
        <v>7.0000000000000007E-2</v>
      </c>
      <c r="S817" s="18">
        <f>(Tabela2246[[#This Row],[FRETE]]+Tabela2246[[#This Row],[DESPESAS]]+Tabela2246[[#This Row],[IPI]]+Tabela2246[[#This Row],[Vl. Produto]])*Tabela2246[[#This Row],[Aliq.%]]</f>
        <v>0</v>
      </c>
    </row>
    <row r="818" spans="13:19" x14ac:dyDescent="0.25">
      <c r="M818" s="46"/>
      <c r="N818" s="46"/>
      <c r="O818" s="46"/>
      <c r="P818" s="46"/>
      <c r="R818" s="15">
        <v>7.0000000000000007E-2</v>
      </c>
      <c r="S818" s="18">
        <f>(Tabela2246[[#This Row],[FRETE]]+Tabela2246[[#This Row],[DESPESAS]]+Tabela2246[[#This Row],[IPI]]+Tabela2246[[#This Row],[Vl. Produto]])*Tabela2246[[#This Row],[Aliq.%]]</f>
        <v>0</v>
      </c>
    </row>
    <row r="819" spans="13:19" x14ac:dyDescent="0.25">
      <c r="M819" s="46"/>
      <c r="N819" s="46"/>
      <c r="O819" s="46"/>
      <c r="P819" s="46"/>
      <c r="R819" s="15">
        <v>7.0000000000000007E-2</v>
      </c>
      <c r="S819" s="18">
        <f>(Tabela2246[[#This Row],[FRETE]]+Tabela2246[[#This Row],[DESPESAS]]+Tabela2246[[#This Row],[IPI]]+Tabela2246[[#This Row],[Vl. Produto]])*Tabela2246[[#This Row],[Aliq.%]]</f>
        <v>0</v>
      </c>
    </row>
    <row r="820" spans="13:19" x14ac:dyDescent="0.25">
      <c r="M820" s="46"/>
      <c r="N820" s="46"/>
      <c r="O820" s="46"/>
      <c r="P820" s="46"/>
      <c r="R820" s="15">
        <v>7.0000000000000007E-2</v>
      </c>
      <c r="S820" s="18">
        <f>(Tabela2246[[#This Row],[FRETE]]+Tabela2246[[#This Row],[DESPESAS]]+Tabela2246[[#This Row],[IPI]]+Tabela2246[[#This Row],[Vl. Produto]])*Tabela2246[[#This Row],[Aliq.%]]</f>
        <v>0</v>
      </c>
    </row>
    <row r="821" spans="13:19" x14ac:dyDescent="0.25">
      <c r="M821" s="46"/>
      <c r="N821" s="46"/>
      <c r="O821" s="46"/>
      <c r="P821" s="46"/>
      <c r="R821" s="15">
        <v>7.0000000000000007E-2</v>
      </c>
      <c r="S821" s="18">
        <f>(Tabela2246[[#This Row],[FRETE]]+Tabela2246[[#This Row],[DESPESAS]]+Tabela2246[[#This Row],[IPI]]+Tabela2246[[#This Row],[Vl. Produto]])*Tabela2246[[#This Row],[Aliq.%]]</f>
        <v>0</v>
      </c>
    </row>
    <row r="822" spans="13:19" x14ac:dyDescent="0.25">
      <c r="M822" s="46"/>
      <c r="N822" s="46"/>
      <c r="O822" s="46"/>
      <c r="P822" s="46"/>
      <c r="R822" s="15">
        <v>7.0000000000000007E-2</v>
      </c>
      <c r="S822" s="18">
        <f>(Tabela2246[[#This Row],[FRETE]]+Tabela2246[[#This Row],[DESPESAS]]+Tabela2246[[#This Row],[IPI]]+Tabela2246[[#This Row],[Vl. Produto]])*Tabela2246[[#This Row],[Aliq.%]]</f>
        <v>0</v>
      </c>
    </row>
    <row r="823" spans="13:19" x14ac:dyDescent="0.25">
      <c r="M823" s="46"/>
      <c r="N823" s="46"/>
      <c r="O823" s="46"/>
      <c r="P823" s="46"/>
      <c r="R823" s="15">
        <v>7.0000000000000007E-2</v>
      </c>
      <c r="S823" s="18">
        <f>(Tabela2246[[#This Row],[FRETE]]+Tabela2246[[#This Row],[DESPESAS]]+Tabela2246[[#This Row],[IPI]]+Tabela2246[[#This Row],[Vl. Produto]])*Tabela2246[[#This Row],[Aliq.%]]</f>
        <v>0</v>
      </c>
    </row>
    <row r="824" spans="13:19" x14ac:dyDescent="0.25">
      <c r="M824" s="46"/>
      <c r="N824" s="46"/>
      <c r="O824" s="46"/>
      <c r="P824" s="46"/>
      <c r="R824" s="15">
        <v>7.0000000000000007E-2</v>
      </c>
      <c r="S824" s="18">
        <f>(Tabela2246[[#This Row],[FRETE]]+Tabela2246[[#This Row],[DESPESAS]]+Tabela2246[[#This Row],[IPI]]+Tabela2246[[#This Row],[Vl. Produto]])*Tabela2246[[#This Row],[Aliq.%]]</f>
        <v>0</v>
      </c>
    </row>
    <row r="825" spans="13:19" x14ac:dyDescent="0.25">
      <c r="M825" s="46"/>
      <c r="N825" s="46"/>
      <c r="O825" s="46"/>
      <c r="P825" s="46"/>
      <c r="R825" s="15">
        <v>7.0000000000000007E-2</v>
      </c>
      <c r="S825" s="18">
        <f>(Tabela2246[[#This Row],[FRETE]]+Tabela2246[[#This Row],[DESPESAS]]+Tabela2246[[#This Row],[IPI]]+Tabela2246[[#This Row],[Vl. Produto]])*Tabela2246[[#This Row],[Aliq.%]]</f>
        <v>0</v>
      </c>
    </row>
    <row r="826" spans="13:19" x14ac:dyDescent="0.25">
      <c r="M826" s="46"/>
      <c r="N826" s="46"/>
      <c r="O826" s="46"/>
      <c r="P826" s="46"/>
      <c r="R826" s="15">
        <v>7.0000000000000007E-2</v>
      </c>
      <c r="S826" s="18">
        <f>(Tabela2246[[#This Row],[FRETE]]+Tabela2246[[#This Row],[DESPESAS]]+Tabela2246[[#This Row],[IPI]]+Tabela2246[[#This Row],[Vl. Produto]])*Tabela2246[[#This Row],[Aliq.%]]</f>
        <v>0</v>
      </c>
    </row>
    <row r="827" spans="13:19" x14ac:dyDescent="0.25">
      <c r="M827" s="46"/>
      <c r="N827" s="46"/>
      <c r="O827" s="46"/>
      <c r="P827" s="46"/>
      <c r="R827" s="15">
        <v>7.0000000000000007E-2</v>
      </c>
      <c r="S827" s="18">
        <f>(Tabela2246[[#This Row],[FRETE]]+Tabela2246[[#This Row],[DESPESAS]]+Tabela2246[[#This Row],[IPI]]+Tabela2246[[#This Row],[Vl. Produto]])*Tabela2246[[#This Row],[Aliq.%]]</f>
        <v>0</v>
      </c>
    </row>
    <row r="828" spans="13:19" x14ac:dyDescent="0.25">
      <c r="M828" s="46"/>
      <c r="N828" s="46"/>
      <c r="O828" s="46"/>
      <c r="P828" s="46"/>
      <c r="R828" s="15">
        <v>7.0000000000000007E-2</v>
      </c>
      <c r="S828" s="18">
        <f>(Tabela2246[[#This Row],[FRETE]]+Tabela2246[[#This Row],[DESPESAS]]+Tabela2246[[#This Row],[IPI]]+Tabela2246[[#This Row],[Vl. Produto]])*Tabela2246[[#This Row],[Aliq.%]]</f>
        <v>0</v>
      </c>
    </row>
    <row r="829" spans="13:19" x14ac:dyDescent="0.25">
      <c r="M829" s="46"/>
      <c r="N829" s="46"/>
      <c r="O829" s="46"/>
      <c r="P829" s="46"/>
      <c r="R829" s="15">
        <v>7.0000000000000007E-2</v>
      </c>
      <c r="S829" s="18">
        <f>(Tabela2246[[#This Row],[FRETE]]+Tabela2246[[#This Row],[DESPESAS]]+Tabela2246[[#This Row],[IPI]]+Tabela2246[[#This Row],[Vl. Produto]])*Tabela2246[[#This Row],[Aliq.%]]</f>
        <v>0</v>
      </c>
    </row>
    <row r="830" spans="13:19" x14ac:dyDescent="0.25">
      <c r="M830" s="46"/>
      <c r="N830" s="46"/>
      <c r="O830" s="46"/>
      <c r="P830" s="46"/>
      <c r="R830" s="15">
        <v>7.0000000000000007E-2</v>
      </c>
      <c r="S830" s="18">
        <f>(Tabela2246[[#This Row],[FRETE]]+Tabela2246[[#This Row],[DESPESAS]]+Tabela2246[[#This Row],[IPI]]+Tabela2246[[#This Row],[Vl. Produto]])*Tabela2246[[#This Row],[Aliq.%]]</f>
        <v>0</v>
      </c>
    </row>
    <row r="831" spans="13:19" x14ac:dyDescent="0.25">
      <c r="M831" s="46"/>
      <c r="N831" s="46"/>
      <c r="O831" s="46"/>
      <c r="P831" s="46"/>
      <c r="R831" s="15">
        <v>7.0000000000000007E-2</v>
      </c>
      <c r="S831" s="18">
        <f>(Tabela2246[[#This Row],[FRETE]]+Tabela2246[[#This Row],[DESPESAS]]+Tabela2246[[#This Row],[IPI]]+Tabela2246[[#This Row],[Vl. Produto]])*Tabela2246[[#This Row],[Aliq.%]]</f>
        <v>0</v>
      </c>
    </row>
    <row r="832" spans="13:19" x14ac:dyDescent="0.25">
      <c r="M832" s="46"/>
      <c r="N832" s="46"/>
      <c r="O832" s="46"/>
      <c r="P832" s="46"/>
      <c r="R832" s="15">
        <v>7.0000000000000007E-2</v>
      </c>
      <c r="S832" s="18">
        <f>(Tabela2246[[#This Row],[FRETE]]+Tabela2246[[#This Row],[DESPESAS]]+Tabela2246[[#This Row],[IPI]]+Tabela2246[[#This Row],[Vl. Produto]])*Tabela2246[[#This Row],[Aliq.%]]</f>
        <v>0</v>
      </c>
    </row>
    <row r="833" spans="13:19" x14ac:dyDescent="0.25">
      <c r="M833" s="46"/>
      <c r="N833" s="46"/>
      <c r="O833" s="46"/>
      <c r="P833" s="46"/>
      <c r="R833" s="15">
        <v>7.0000000000000007E-2</v>
      </c>
      <c r="S833" s="18">
        <f>(Tabela2246[[#This Row],[FRETE]]+Tabela2246[[#This Row],[DESPESAS]]+Tabela2246[[#This Row],[IPI]]+Tabela2246[[#This Row],[Vl. Produto]])*Tabela2246[[#This Row],[Aliq.%]]</f>
        <v>0</v>
      </c>
    </row>
    <row r="834" spans="13:19" x14ac:dyDescent="0.25">
      <c r="M834" s="46"/>
      <c r="N834" s="46"/>
      <c r="O834" s="46"/>
      <c r="P834" s="46"/>
      <c r="R834" s="15">
        <v>7.0000000000000007E-2</v>
      </c>
      <c r="S834" s="18">
        <f>(Tabela2246[[#This Row],[FRETE]]+Tabela2246[[#This Row],[DESPESAS]]+Tabela2246[[#This Row],[IPI]]+Tabela2246[[#This Row],[Vl. Produto]])*Tabela2246[[#This Row],[Aliq.%]]</f>
        <v>0</v>
      </c>
    </row>
    <row r="835" spans="13:19" x14ac:dyDescent="0.25">
      <c r="M835" s="46"/>
      <c r="N835" s="46"/>
      <c r="O835" s="46"/>
      <c r="P835" s="46"/>
      <c r="R835" s="15">
        <v>7.0000000000000007E-2</v>
      </c>
      <c r="S835" s="18">
        <f>(Tabela2246[[#This Row],[FRETE]]+Tabela2246[[#This Row],[DESPESAS]]+Tabela2246[[#This Row],[IPI]]+Tabela2246[[#This Row],[Vl. Produto]])*Tabela2246[[#This Row],[Aliq.%]]</f>
        <v>0</v>
      </c>
    </row>
    <row r="836" spans="13:19" x14ac:dyDescent="0.25">
      <c r="M836" s="46"/>
      <c r="N836" s="46"/>
      <c r="O836" s="46"/>
      <c r="P836" s="46"/>
      <c r="R836" s="15">
        <v>7.0000000000000007E-2</v>
      </c>
      <c r="S836" s="18">
        <f>(Tabela2246[[#This Row],[FRETE]]+Tabela2246[[#This Row],[DESPESAS]]+Tabela2246[[#This Row],[IPI]]+Tabela2246[[#This Row],[Vl. Produto]])*Tabela2246[[#This Row],[Aliq.%]]</f>
        <v>0</v>
      </c>
    </row>
    <row r="837" spans="13:19" x14ac:dyDescent="0.25">
      <c r="M837" s="46"/>
      <c r="N837" s="46"/>
      <c r="O837" s="46"/>
      <c r="P837" s="46"/>
      <c r="R837" s="15">
        <v>7.0000000000000007E-2</v>
      </c>
      <c r="S837" s="18">
        <f>(Tabela2246[[#This Row],[FRETE]]+Tabela2246[[#This Row],[DESPESAS]]+Tabela2246[[#This Row],[IPI]]+Tabela2246[[#This Row],[Vl. Produto]])*Tabela2246[[#This Row],[Aliq.%]]</f>
        <v>0</v>
      </c>
    </row>
    <row r="838" spans="13:19" x14ac:dyDescent="0.25">
      <c r="M838" s="46"/>
      <c r="N838" s="46"/>
      <c r="O838" s="46"/>
      <c r="P838" s="46"/>
      <c r="R838" s="15">
        <v>7.0000000000000007E-2</v>
      </c>
      <c r="S838" s="18">
        <f>(Tabela2246[[#This Row],[FRETE]]+Tabela2246[[#This Row],[DESPESAS]]+Tabela2246[[#This Row],[IPI]]+Tabela2246[[#This Row],[Vl. Produto]])*Tabela2246[[#This Row],[Aliq.%]]</f>
        <v>0</v>
      </c>
    </row>
    <row r="839" spans="13:19" x14ac:dyDescent="0.25">
      <c r="M839" s="46"/>
      <c r="N839" s="46"/>
      <c r="O839" s="46"/>
      <c r="P839" s="46"/>
      <c r="R839" s="15">
        <v>7.0000000000000007E-2</v>
      </c>
      <c r="S839" s="18">
        <f>(Tabela2246[[#This Row],[FRETE]]+Tabela2246[[#This Row],[DESPESAS]]+Tabela2246[[#This Row],[IPI]]+Tabela2246[[#This Row],[Vl. Produto]])*Tabela2246[[#This Row],[Aliq.%]]</f>
        <v>0</v>
      </c>
    </row>
    <row r="840" spans="13:19" x14ac:dyDescent="0.25">
      <c r="M840" s="46"/>
      <c r="N840" s="46"/>
      <c r="O840" s="46"/>
      <c r="P840" s="46"/>
      <c r="R840" s="15">
        <v>7.0000000000000007E-2</v>
      </c>
      <c r="S840" s="18">
        <f>(Tabela2246[[#This Row],[FRETE]]+Tabela2246[[#This Row],[DESPESAS]]+Tabela2246[[#This Row],[IPI]]+Tabela2246[[#This Row],[Vl. Produto]])*Tabela2246[[#This Row],[Aliq.%]]</f>
        <v>0</v>
      </c>
    </row>
    <row r="841" spans="13:19" x14ac:dyDescent="0.25">
      <c r="M841" s="46"/>
      <c r="N841" s="46"/>
      <c r="O841" s="46"/>
      <c r="P841" s="46"/>
      <c r="R841" s="15">
        <v>7.0000000000000007E-2</v>
      </c>
      <c r="S841" s="18">
        <f>(Tabela2246[[#This Row],[FRETE]]+Tabela2246[[#This Row],[DESPESAS]]+Tabela2246[[#This Row],[IPI]]+Tabela2246[[#This Row],[Vl. Produto]])*Tabela2246[[#This Row],[Aliq.%]]</f>
        <v>0</v>
      </c>
    </row>
    <row r="842" spans="13:19" x14ac:dyDescent="0.25">
      <c r="M842" s="46"/>
      <c r="N842" s="46"/>
      <c r="O842" s="46"/>
      <c r="P842" s="46"/>
      <c r="R842" s="15">
        <v>7.0000000000000007E-2</v>
      </c>
      <c r="S842" s="18">
        <f>(Tabela2246[[#This Row],[FRETE]]+Tabela2246[[#This Row],[DESPESAS]]+Tabela2246[[#This Row],[IPI]]+Tabela2246[[#This Row],[Vl. Produto]])*Tabela2246[[#This Row],[Aliq.%]]</f>
        <v>0</v>
      </c>
    </row>
    <row r="843" spans="13:19" x14ac:dyDescent="0.25">
      <c r="M843" s="46"/>
      <c r="N843" s="46"/>
      <c r="O843" s="46"/>
      <c r="P843" s="46"/>
      <c r="R843" s="15">
        <v>7.0000000000000007E-2</v>
      </c>
      <c r="S843" s="18">
        <f>(Tabela2246[[#This Row],[FRETE]]+Tabela2246[[#This Row],[DESPESAS]]+Tabela2246[[#This Row],[IPI]]+Tabela2246[[#This Row],[Vl. Produto]])*Tabela2246[[#This Row],[Aliq.%]]</f>
        <v>0</v>
      </c>
    </row>
    <row r="844" spans="13:19" x14ac:dyDescent="0.25">
      <c r="M844" s="46"/>
      <c r="N844" s="46"/>
      <c r="O844" s="46"/>
      <c r="P844" s="46"/>
      <c r="R844" s="15">
        <v>7.0000000000000007E-2</v>
      </c>
      <c r="S844" s="18">
        <f>(Tabela2246[[#This Row],[FRETE]]+Tabela2246[[#This Row],[DESPESAS]]+Tabela2246[[#This Row],[IPI]]+Tabela2246[[#This Row],[Vl. Produto]])*Tabela2246[[#This Row],[Aliq.%]]</f>
        <v>0</v>
      </c>
    </row>
    <row r="845" spans="13:19" x14ac:dyDescent="0.25">
      <c r="M845" s="46"/>
      <c r="N845" s="46"/>
      <c r="O845" s="46"/>
      <c r="P845" s="46"/>
      <c r="R845" s="15">
        <v>7.0000000000000007E-2</v>
      </c>
      <c r="S845" s="18">
        <f>(Tabela2246[[#This Row],[FRETE]]+Tabela2246[[#This Row],[DESPESAS]]+Tabela2246[[#This Row],[IPI]]+Tabela2246[[#This Row],[Vl. Produto]])*Tabela2246[[#This Row],[Aliq.%]]</f>
        <v>0</v>
      </c>
    </row>
    <row r="846" spans="13:19" x14ac:dyDescent="0.25">
      <c r="M846" s="46"/>
      <c r="N846" s="46"/>
      <c r="O846" s="46"/>
      <c r="P846" s="46"/>
      <c r="R846" s="15">
        <v>7.0000000000000007E-2</v>
      </c>
      <c r="S846" s="18">
        <f>(Tabela2246[[#This Row],[FRETE]]+Tabela2246[[#This Row],[DESPESAS]]+Tabela2246[[#This Row],[IPI]]+Tabela2246[[#This Row],[Vl. Produto]])*Tabela2246[[#This Row],[Aliq.%]]</f>
        <v>0</v>
      </c>
    </row>
    <row r="847" spans="13:19" x14ac:dyDescent="0.25">
      <c r="M847" s="46"/>
      <c r="N847" s="46"/>
      <c r="O847" s="46"/>
      <c r="P847" s="46"/>
      <c r="R847" s="15">
        <v>7.0000000000000007E-2</v>
      </c>
      <c r="S847" s="18">
        <f>(Tabela2246[[#This Row],[FRETE]]+Tabela2246[[#This Row],[DESPESAS]]+Tabela2246[[#This Row],[IPI]]+Tabela2246[[#This Row],[Vl. Produto]])*Tabela2246[[#This Row],[Aliq.%]]</f>
        <v>0</v>
      </c>
    </row>
    <row r="848" spans="13:19" x14ac:dyDescent="0.25">
      <c r="M848" s="46"/>
      <c r="N848" s="46"/>
      <c r="O848" s="46"/>
      <c r="P848" s="46"/>
      <c r="R848" s="15">
        <v>7.0000000000000007E-2</v>
      </c>
      <c r="S848" s="18">
        <f>(Tabela2246[[#This Row],[FRETE]]+Tabela2246[[#This Row],[DESPESAS]]+Tabela2246[[#This Row],[IPI]]+Tabela2246[[#This Row],[Vl. Produto]])*Tabela2246[[#This Row],[Aliq.%]]</f>
        <v>0</v>
      </c>
    </row>
    <row r="849" spans="13:19" x14ac:dyDescent="0.25">
      <c r="M849" s="46"/>
      <c r="N849" s="46"/>
      <c r="O849" s="46"/>
      <c r="P849" s="46"/>
      <c r="R849" s="15">
        <v>7.0000000000000007E-2</v>
      </c>
      <c r="S849" s="18">
        <f>(Tabela2246[[#This Row],[FRETE]]+Tabela2246[[#This Row],[DESPESAS]]+Tabela2246[[#This Row],[IPI]]+Tabela2246[[#This Row],[Vl. Produto]])*Tabela2246[[#This Row],[Aliq.%]]</f>
        <v>0</v>
      </c>
    </row>
    <row r="850" spans="13:19" x14ac:dyDescent="0.25">
      <c r="M850" s="46"/>
      <c r="N850" s="46"/>
      <c r="O850" s="46"/>
      <c r="P850" s="46"/>
      <c r="R850" s="15">
        <v>7.0000000000000007E-2</v>
      </c>
      <c r="S850" s="18">
        <f>(Tabela2246[[#This Row],[FRETE]]+Tabela2246[[#This Row],[DESPESAS]]+Tabela2246[[#This Row],[IPI]]+Tabela2246[[#This Row],[Vl. Produto]])*Tabela2246[[#This Row],[Aliq.%]]</f>
        <v>0</v>
      </c>
    </row>
    <row r="851" spans="13:19" x14ac:dyDescent="0.25">
      <c r="M851" s="46"/>
      <c r="N851" s="46"/>
      <c r="O851" s="46"/>
      <c r="P851" s="46"/>
      <c r="R851" s="15">
        <v>7.0000000000000007E-2</v>
      </c>
      <c r="S851" s="18">
        <f>(Tabela2246[[#This Row],[FRETE]]+Tabela2246[[#This Row],[DESPESAS]]+Tabela2246[[#This Row],[IPI]]+Tabela2246[[#This Row],[Vl. Produto]])*Tabela2246[[#This Row],[Aliq.%]]</f>
        <v>0</v>
      </c>
    </row>
    <row r="852" spans="13:19" x14ac:dyDescent="0.25">
      <c r="M852" s="46"/>
      <c r="N852" s="46"/>
      <c r="O852" s="46"/>
      <c r="P852" s="46"/>
      <c r="R852" s="15">
        <v>7.0000000000000007E-2</v>
      </c>
      <c r="S852" s="18">
        <f>(Tabela2246[[#This Row],[FRETE]]+Tabela2246[[#This Row],[DESPESAS]]+Tabela2246[[#This Row],[IPI]]+Tabela2246[[#This Row],[Vl. Produto]])*Tabela2246[[#This Row],[Aliq.%]]</f>
        <v>0</v>
      </c>
    </row>
    <row r="853" spans="13:19" x14ac:dyDescent="0.25">
      <c r="M853" s="46"/>
      <c r="N853" s="46"/>
      <c r="O853" s="46"/>
      <c r="P853" s="46"/>
      <c r="R853" s="15">
        <v>7.0000000000000007E-2</v>
      </c>
      <c r="S853" s="18">
        <f>(Tabela2246[[#This Row],[FRETE]]+Tabela2246[[#This Row],[DESPESAS]]+Tabela2246[[#This Row],[IPI]]+Tabela2246[[#This Row],[Vl. Produto]])*Tabela2246[[#This Row],[Aliq.%]]</f>
        <v>0</v>
      </c>
    </row>
    <row r="854" spans="13:19" x14ac:dyDescent="0.25">
      <c r="M854" s="46"/>
      <c r="N854" s="46"/>
      <c r="O854" s="46"/>
      <c r="P854" s="46"/>
      <c r="R854" s="15">
        <v>7.0000000000000007E-2</v>
      </c>
      <c r="S854" s="18">
        <f>(Tabela2246[[#This Row],[FRETE]]+Tabela2246[[#This Row],[DESPESAS]]+Tabela2246[[#This Row],[IPI]]+Tabela2246[[#This Row],[Vl. Produto]])*Tabela2246[[#This Row],[Aliq.%]]</f>
        <v>0</v>
      </c>
    </row>
    <row r="855" spans="13:19" x14ac:dyDescent="0.25">
      <c r="M855" s="46"/>
      <c r="N855" s="46"/>
      <c r="O855" s="46"/>
      <c r="P855" s="46"/>
      <c r="R855" s="15">
        <v>7.0000000000000007E-2</v>
      </c>
      <c r="S855" s="18">
        <f>(Tabela2246[[#This Row],[FRETE]]+Tabela2246[[#This Row],[DESPESAS]]+Tabela2246[[#This Row],[IPI]]+Tabela2246[[#This Row],[Vl. Produto]])*Tabela2246[[#This Row],[Aliq.%]]</f>
        <v>0</v>
      </c>
    </row>
    <row r="856" spans="13:19" x14ac:dyDescent="0.25">
      <c r="M856" s="46"/>
      <c r="N856" s="46"/>
      <c r="O856" s="46"/>
      <c r="P856" s="46"/>
      <c r="R856" s="15">
        <v>7.0000000000000007E-2</v>
      </c>
      <c r="S856" s="18">
        <f>(Tabela2246[[#This Row],[FRETE]]+Tabela2246[[#This Row],[DESPESAS]]+Tabela2246[[#This Row],[IPI]]+Tabela2246[[#This Row],[Vl. Produto]])*Tabela2246[[#This Row],[Aliq.%]]</f>
        <v>0</v>
      </c>
    </row>
    <row r="857" spans="13:19" x14ac:dyDescent="0.25">
      <c r="M857" s="46"/>
      <c r="N857" s="46"/>
      <c r="O857" s="46"/>
      <c r="P857" s="46"/>
      <c r="R857" s="15">
        <v>7.0000000000000007E-2</v>
      </c>
      <c r="S857" s="18">
        <f>(Tabela2246[[#This Row],[FRETE]]+Tabela2246[[#This Row],[DESPESAS]]+Tabela2246[[#This Row],[IPI]]+Tabela2246[[#This Row],[Vl. Produto]])*Tabela2246[[#This Row],[Aliq.%]]</f>
        <v>0</v>
      </c>
    </row>
    <row r="858" spans="13:19" x14ac:dyDescent="0.25">
      <c r="M858" s="46"/>
      <c r="N858" s="46"/>
      <c r="O858" s="46"/>
      <c r="P858" s="46"/>
      <c r="R858" s="15">
        <v>7.0000000000000007E-2</v>
      </c>
      <c r="S858" s="18">
        <f>(Tabela2246[[#This Row],[FRETE]]+Tabela2246[[#This Row],[DESPESAS]]+Tabela2246[[#This Row],[IPI]]+Tabela2246[[#This Row],[Vl. Produto]])*Tabela2246[[#This Row],[Aliq.%]]</f>
        <v>0</v>
      </c>
    </row>
    <row r="859" spans="13:19" x14ac:dyDescent="0.25">
      <c r="M859" s="46"/>
      <c r="N859" s="46"/>
      <c r="O859" s="46"/>
      <c r="P859" s="46"/>
      <c r="R859" s="15">
        <v>7.0000000000000007E-2</v>
      </c>
      <c r="S859" s="18">
        <f>(Tabela2246[[#This Row],[FRETE]]+Tabela2246[[#This Row],[DESPESAS]]+Tabela2246[[#This Row],[IPI]]+Tabela2246[[#This Row],[Vl. Produto]])*Tabela2246[[#This Row],[Aliq.%]]</f>
        <v>0</v>
      </c>
    </row>
    <row r="860" spans="13:19" x14ac:dyDescent="0.25">
      <c r="M860" s="46"/>
      <c r="N860" s="46"/>
      <c r="O860" s="46"/>
      <c r="P860" s="46"/>
      <c r="R860" s="15">
        <v>7.0000000000000007E-2</v>
      </c>
      <c r="S860" s="18">
        <f>(Tabela2246[[#This Row],[FRETE]]+Tabela2246[[#This Row],[DESPESAS]]+Tabela2246[[#This Row],[IPI]]+Tabela2246[[#This Row],[Vl. Produto]])*Tabela2246[[#This Row],[Aliq.%]]</f>
        <v>0</v>
      </c>
    </row>
    <row r="861" spans="13:19" x14ac:dyDescent="0.25">
      <c r="M861" s="46"/>
      <c r="N861" s="46"/>
      <c r="O861" s="46"/>
      <c r="P861" s="46"/>
      <c r="R861" s="15">
        <v>7.0000000000000007E-2</v>
      </c>
      <c r="S861" s="18">
        <f>(Tabela2246[[#This Row],[FRETE]]+Tabela2246[[#This Row],[DESPESAS]]+Tabela2246[[#This Row],[IPI]]+Tabela2246[[#This Row],[Vl. Produto]])*Tabela2246[[#This Row],[Aliq.%]]</f>
        <v>0</v>
      </c>
    </row>
    <row r="862" spans="13:19" x14ac:dyDescent="0.25">
      <c r="M862" s="46"/>
      <c r="N862" s="46"/>
      <c r="O862" s="46"/>
      <c r="P862" s="46"/>
      <c r="R862" s="15">
        <v>7.0000000000000007E-2</v>
      </c>
      <c r="S862" s="18">
        <f>(Tabela2246[[#This Row],[FRETE]]+Tabela2246[[#This Row],[DESPESAS]]+Tabela2246[[#This Row],[IPI]]+Tabela2246[[#This Row],[Vl. Produto]])*Tabela2246[[#This Row],[Aliq.%]]</f>
        <v>0</v>
      </c>
    </row>
    <row r="863" spans="13:19" x14ac:dyDescent="0.25">
      <c r="M863" s="46"/>
      <c r="N863" s="46"/>
      <c r="O863" s="46"/>
      <c r="P863" s="46"/>
      <c r="R863" s="15">
        <v>7.0000000000000007E-2</v>
      </c>
      <c r="S863" s="18">
        <f>(Tabela2246[[#This Row],[FRETE]]+Tabela2246[[#This Row],[DESPESAS]]+Tabela2246[[#This Row],[IPI]]+Tabela2246[[#This Row],[Vl. Produto]])*Tabela2246[[#This Row],[Aliq.%]]</f>
        <v>0</v>
      </c>
    </row>
    <row r="864" spans="13:19" x14ac:dyDescent="0.25">
      <c r="M864" s="46"/>
      <c r="N864" s="46"/>
      <c r="O864" s="46"/>
      <c r="P864" s="46"/>
      <c r="R864" s="15">
        <v>7.0000000000000007E-2</v>
      </c>
      <c r="S864" s="18">
        <f>(Tabela2246[[#This Row],[FRETE]]+Tabela2246[[#This Row],[DESPESAS]]+Tabela2246[[#This Row],[IPI]]+Tabela2246[[#This Row],[Vl. Produto]])*Tabela2246[[#This Row],[Aliq.%]]</f>
        <v>0</v>
      </c>
    </row>
    <row r="865" spans="13:19" x14ac:dyDescent="0.25">
      <c r="M865" s="46"/>
      <c r="N865" s="46"/>
      <c r="O865" s="46"/>
      <c r="P865" s="46"/>
      <c r="R865" s="15">
        <v>7.0000000000000007E-2</v>
      </c>
      <c r="S865" s="18">
        <f>(Tabela2246[[#This Row],[FRETE]]+Tabela2246[[#This Row],[DESPESAS]]+Tabela2246[[#This Row],[IPI]]+Tabela2246[[#This Row],[Vl. Produto]])*Tabela2246[[#This Row],[Aliq.%]]</f>
        <v>0</v>
      </c>
    </row>
    <row r="866" spans="13:19" x14ac:dyDescent="0.25">
      <c r="M866" s="46"/>
      <c r="N866" s="46"/>
      <c r="O866" s="46"/>
      <c r="P866" s="46"/>
      <c r="R866" s="15">
        <v>7.0000000000000007E-2</v>
      </c>
      <c r="S866" s="18">
        <f>(Tabela2246[[#This Row],[FRETE]]+Tabela2246[[#This Row],[DESPESAS]]+Tabela2246[[#This Row],[IPI]]+Tabela2246[[#This Row],[Vl. Produto]])*Tabela2246[[#This Row],[Aliq.%]]</f>
        <v>0</v>
      </c>
    </row>
    <row r="867" spans="13:19" x14ac:dyDescent="0.25">
      <c r="M867" s="46"/>
      <c r="N867" s="46"/>
      <c r="O867" s="46"/>
      <c r="P867" s="46"/>
      <c r="R867" s="15">
        <v>7.0000000000000007E-2</v>
      </c>
      <c r="S867" s="18">
        <f>(Tabela2246[[#This Row],[FRETE]]+Tabela2246[[#This Row],[DESPESAS]]+Tabela2246[[#This Row],[IPI]]+Tabela2246[[#This Row],[Vl. Produto]])*Tabela2246[[#This Row],[Aliq.%]]</f>
        <v>0</v>
      </c>
    </row>
    <row r="868" spans="13:19" x14ac:dyDescent="0.25">
      <c r="M868" s="46"/>
      <c r="N868" s="46"/>
      <c r="O868" s="46"/>
      <c r="P868" s="46"/>
      <c r="R868" s="15">
        <v>7.0000000000000007E-2</v>
      </c>
      <c r="S868" s="18">
        <f>(Tabela2246[[#This Row],[FRETE]]+Tabela2246[[#This Row],[DESPESAS]]+Tabela2246[[#This Row],[IPI]]+Tabela2246[[#This Row],[Vl. Produto]])*Tabela2246[[#This Row],[Aliq.%]]</f>
        <v>0</v>
      </c>
    </row>
    <row r="869" spans="13:19" x14ac:dyDescent="0.25">
      <c r="M869" s="46"/>
      <c r="N869" s="46"/>
      <c r="O869" s="46"/>
      <c r="P869" s="46"/>
      <c r="R869" s="15">
        <v>7.0000000000000007E-2</v>
      </c>
      <c r="S869" s="18">
        <f>(Tabela2246[[#This Row],[FRETE]]+Tabela2246[[#This Row],[DESPESAS]]+Tabela2246[[#This Row],[IPI]]+Tabela2246[[#This Row],[Vl. Produto]])*Tabela2246[[#This Row],[Aliq.%]]</f>
        <v>0</v>
      </c>
    </row>
    <row r="870" spans="13:19" x14ac:dyDescent="0.25">
      <c r="M870" s="46"/>
      <c r="N870" s="46"/>
      <c r="O870" s="46"/>
      <c r="P870" s="46"/>
      <c r="R870" s="15">
        <v>7.0000000000000007E-2</v>
      </c>
      <c r="S870" s="18">
        <f>(Tabela2246[[#This Row],[FRETE]]+Tabela2246[[#This Row],[DESPESAS]]+Tabela2246[[#This Row],[IPI]]+Tabela2246[[#This Row],[Vl. Produto]])*Tabela2246[[#This Row],[Aliq.%]]</f>
        <v>0</v>
      </c>
    </row>
    <row r="871" spans="13:19" x14ac:dyDescent="0.25">
      <c r="M871" s="46"/>
      <c r="N871" s="46"/>
      <c r="O871" s="46"/>
      <c r="P871" s="46"/>
      <c r="R871" s="15">
        <v>7.0000000000000007E-2</v>
      </c>
      <c r="S871" s="18">
        <f>(Tabela2246[[#This Row],[FRETE]]+Tabela2246[[#This Row],[DESPESAS]]+Tabela2246[[#This Row],[IPI]]+Tabela2246[[#This Row],[Vl. Produto]])*Tabela2246[[#This Row],[Aliq.%]]</f>
        <v>0</v>
      </c>
    </row>
    <row r="872" spans="13:19" x14ac:dyDescent="0.25">
      <c r="M872" s="46"/>
      <c r="N872" s="46"/>
      <c r="O872" s="46"/>
      <c r="P872" s="46"/>
      <c r="R872" s="15">
        <v>7.0000000000000007E-2</v>
      </c>
      <c r="S872" s="18">
        <f>(Tabela2246[[#This Row],[FRETE]]+Tabela2246[[#This Row],[DESPESAS]]+Tabela2246[[#This Row],[IPI]]+Tabela2246[[#This Row],[Vl. Produto]])*Tabela2246[[#This Row],[Aliq.%]]</f>
        <v>0</v>
      </c>
    </row>
    <row r="873" spans="13:19" x14ac:dyDescent="0.25">
      <c r="M873" s="46"/>
      <c r="N873" s="46"/>
      <c r="O873" s="46"/>
      <c r="P873" s="46"/>
      <c r="R873" s="15">
        <v>7.0000000000000007E-2</v>
      </c>
      <c r="S873" s="18">
        <f>(Tabela2246[[#This Row],[FRETE]]+Tabela2246[[#This Row],[DESPESAS]]+Tabela2246[[#This Row],[IPI]]+Tabela2246[[#This Row],[Vl. Produto]])*Tabela2246[[#This Row],[Aliq.%]]</f>
        <v>0</v>
      </c>
    </row>
    <row r="874" spans="13:19" x14ac:dyDescent="0.25">
      <c r="M874" s="46"/>
      <c r="N874" s="46"/>
      <c r="O874" s="46"/>
      <c r="P874" s="46"/>
      <c r="R874" s="15">
        <v>7.0000000000000007E-2</v>
      </c>
      <c r="S874" s="18">
        <f>(Tabela2246[[#This Row],[FRETE]]+Tabela2246[[#This Row],[DESPESAS]]+Tabela2246[[#This Row],[IPI]]+Tabela2246[[#This Row],[Vl. Produto]])*Tabela2246[[#This Row],[Aliq.%]]</f>
        <v>0</v>
      </c>
    </row>
    <row r="875" spans="13:19" x14ac:dyDescent="0.25">
      <c r="M875" s="46"/>
      <c r="N875" s="46"/>
      <c r="O875" s="46"/>
      <c r="P875" s="46"/>
      <c r="R875" s="15">
        <v>7.0000000000000007E-2</v>
      </c>
      <c r="S875" s="18">
        <f>(Tabela2246[[#This Row],[FRETE]]+Tabela2246[[#This Row],[DESPESAS]]+Tabela2246[[#This Row],[IPI]]+Tabela2246[[#This Row],[Vl. Produto]])*Tabela2246[[#This Row],[Aliq.%]]</f>
        <v>0</v>
      </c>
    </row>
    <row r="876" spans="13:19" x14ac:dyDescent="0.25">
      <c r="M876" s="46"/>
      <c r="N876" s="46"/>
      <c r="O876" s="46"/>
      <c r="P876" s="46"/>
      <c r="R876" s="15">
        <v>7.0000000000000007E-2</v>
      </c>
      <c r="S876" s="18">
        <f>(Tabela2246[[#This Row],[FRETE]]+Tabela2246[[#This Row],[DESPESAS]]+Tabela2246[[#This Row],[IPI]]+Tabela2246[[#This Row],[Vl. Produto]])*Tabela2246[[#This Row],[Aliq.%]]</f>
        <v>0</v>
      </c>
    </row>
    <row r="877" spans="13:19" x14ac:dyDescent="0.25">
      <c r="M877" s="46"/>
      <c r="N877" s="46"/>
      <c r="O877" s="46"/>
      <c r="P877" s="46"/>
      <c r="R877" s="15">
        <v>7.0000000000000007E-2</v>
      </c>
      <c r="S877" s="18">
        <f>(Tabela2246[[#This Row],[FRETE]]+Tabela2246[[#This Row],[DESPESAS]]+Tabela2246[[#This Row],[IPI]]+Tabela2246[[#This Row],[Vl. Produto]])*Tabela2246[[#This Row],[Aliq.%]]</f>
        <v>0</v>
      </c>
    </row>
    <row r="878" spans="13:19" x14ac:dyDescent="0.25">
      <c r="M878" s="46"/>
      <c r="N878" s="46"/>
      <c r="O878" s="46"/>
      <c r="P878" s="46"/>
      <c r="R878" s="15">
        <v>7.0000000000000007E-2</v>
      </c>
      <c r="S878" s="18">
        <f>(Tabela2246[[#This Row],[FRETE]]+Tabela2246[[#This Row],[DESPESAS]]+Tabela2246[[#This Row],[IPI]]+Tabela2246[[#This Row],[Vl. Produto]])*Tabela2246[[#This Row],[Aliq.%]]</f>
        <v>0</v>
      </c>
    </row>
    <row r="879" spans="13:19" x14ac:dyDescent="0.25">
      <c r="M879" s="46"/>
      <c r="N879" s="46"/>
      <c r="O879" s="46"/>
      <c r="P879" s="46"/>
      <c r="R879" s="15">
        <v>7.0000000000000007E-2</v>
      </c>
      <c r="S879" s="18">
        <f>(Tabela2246[[#This Row],[FRETE]]+Tabela2246[[#This Row],[DESPESAS]]+Tabela2246[[#This Row],[IPI]]+Tabela2246[[#This Row],[Vl. Produto]])*Tabela2246[[#This Row],[Aliq.%]]</f>
        <v>0</v>
      </c>
    </row>
    <row r="880" spans="13:19" x14ac:dyDescent="0.25">
      <c r="M880" s="46"/>
      <c r="N880" s="46"/>
      <c r="O880" s="46"/>
      <c r="P880" s="46"/>
      <c r="R880" s="15">
        <v>7.0000000000000007E-2</v>
      </c>
      <c r="S880" s="18">
        <f>(Tabela2246[[#This Row],[FRETE]]+Tabela2246[[#This Row],[DESPESAS]]+Tabela2246[[#This Row],[IPI]]+Tabela2246[[#This Row],[Vl. Produto]])*Tabela2246[[#This Row],[Aliq.%]]</f>
        <v>0</v>
      </c>
    </row>
    <row r="881" spans="13:19" x14ac:dyDescent="0.25">
      <c r="M881" s="46"/>
      <c r="N881" s="46"/>
      <c r="O881" s="46"/>
      <c r="P881" s="46"/>
      <c r="R881" s="15">
        <v>7.0000000000000007E-2</v>
      </c>
      <c r="S881" s="18">
        <f>(Tabela2246[[#This Row],[FRETE]]+Tabela2246[[#This Row],[DESPESAS]]+Tabela2246[[#This Row],[IPI]]+Tabela2246[[#This Row],[Vl. Produto]])*Tabela2246[[#This Row],[Aliq.%]]</f>
        <v>0</v>
      </c>
    </row>
    <row r="882" spans="13:19" x14ac:dyDescent="0.25">
      <c r="M882" s="46"/>
      <c r="N882" s="46"/>
      <c r="O882" s="46"/>
      <c r="P882" s="46"/>
      <c r="R882" s="15">
        <v>7.0000000000000007E-2</v>
      </c>
      <c r="S882" s="18">
        <f>(Tabela2246[[#This Row],[FRETE]]+Tabela2246[[#This Row],[DESPESAS]]+Tabela2246[[#This Row],[IPI]]+Tabela2246[[#This Row],[Vl. Produto]])*Tabela2246[[#This Row],[Aliq.%]]</f>
        <v>0</v>
      </c>
    </row>
    <row r="883" spans="13:19" x14ac:dyDescent="0.25">
      <c r="M883" s="46"/>
      <c r="N883" s="46"/>
      <c r="O883" s="46"/>
      <c r="P883" s="46"/>
      <c r="R883" s="15">
        <v>7.0000000000000007E-2</v>
      </c>
      <c r="S883" s="18">
        <f>(Tabela2246[[#This Row],[FRETE]]+Tabela2246[[#This Row],[DESPESAS]]+Tabela2246[[#This Row],[IPI]]+Tabela2246[[#This Row],[Vl. Produto]])*Tabela2246[[#This Row],[Aliq.%]]</f>
        <v>0</v>
      </c>
    </row>
    <row r="884" spans="13:19" x14ac:dyDescent="0.25">
      <c r="M884" s="46"/>
      <c r="N884" s="46"/>
      <c r="O884" s="46"/>
      <c r="P884" s="46"/>
      <c r="R884" s="15">
        <v>7.0000000000000007E-2</v>
      </c>
      <c r="S884" s="18">
        <f>(Tabela2246[[#This Row],[FRETE]]+Tabela2246[[#This Row],[DESPESAS]]+Tabela2246[[#This Row],[IPI]]+Tabela2246[[#This Row],[Vl. Produto]])*Tabela2246[[#This Row],[Aliq.%]]</f>
        <v>0</v>
      </c>
    </row>
    <row r="885" spans="13:19" x14ac:dyDescent="0.25">
      <c r="M885" s="46"/>
      <c r="N885" s="46"/>
      <c r="O885" s="46"/>
      <c r="P885" s="46"/>
      <c r="R885" s="15">
        <v>7.0000000000000007E-2</v>
      </c>
      <c r="S885" s="18">
        <f>(Tabela2246[[#This Row],[FRETE]]+Tabela2246[[#This Row],[DESPESAS]]+Tabela2246[[#This Row],[IPI]]+Tabela2246[[#This Row],[Vl. Produto]])*Tabela2246[[#This Row],[Aliq.%]]</f>
        <v>0</v>
      </c>
    </row>
    <row r="886" spans="13:19" x14ac:dyDescent="0.25">
      <c r="M886" s="46"/>
      <c r="N886" s="46"/>
      <c r="O886" s="46"/>
      <c r="P886" s="46"/>
      <c r="R886" s="15">
        <v>7.0000000000000007E-2</v>
      </c>
      <c r="S886" s="18">
        <f>(Tabela2246[[#This Row],[FRETE]]+Tabela2246[[#This Row],[DESPESAS]]+Tabela2246[[#This Row],[IPI]]+Tabela2246[[#This Row],[Vl. Produto]])*Tabela2246[[#This Row],[Aliq.%]]</f>
        <v>0</v>
      </c>
    </row>
    <row r="887" spans="13:19" x14ac:dyDescent="0.25">
      <c r="M887" s="46"/>
      <c r="N887" s="46"/>
      <c r="O887" s="46"/>
      <c r="P887" s="46"/>
      <c r="R887" s="15">
        <v>7.0000000000000007E-2</v>
      </c>
      <c r="S887" s="18">
        <f>(Tabela2246[[#This Row],[FRETE]]+Tabela2246[[#This Row],[DESPESAS]]+Tabela2246[[#This Row],[IPI]]+Tabela2246[[#This Row],[Vl. Produto]])*Tabela2246[[#This Row],[Aliq.%]]</f>
        <v>0</v>
      </c>
    </row>
    <row r="888" spans="13:19" x14ac:dyDescent="0.25">
      <c r="M888" s="46"/>
      <c r="N888" s="46"/>
      <c r="O888" s="46"/>
      <c r="P888" s="46"/>
      <c r="R888" s="15">
        <v>7.0000000000000007E-2</v>
      </c>
      <c r="S888" s="18">
        <f>(Tabela2246[[#This Row],[FRETE]]+Tabela2246[[#This Row],[DESPESAS]]+Tabela2246[[#This Row],[IPI]]+Tabela2246[[#This Row],[Vl. Produto]])*Tabela2246[[#This Row],[Aliq.%]]</f>
        <v>0</v>
      </c>
    </row>
    <row r="889" spans="13:19" x14ac:dyDescent="0.25">
      <c r="M889" s="46"/>
      <c r="N889" s="46"/>
      <c r="O889" s="46"/>
      <c r="P889" s="46"/>
      <c r="R889" s="15">
        <v>7.0000000000000007E-2</v>
      </c>
      <c r="S889" s="18">
        <f>(Tabela2246[[#This Row],[FRETE]]+Tabela2246[[#This Row],[DESPESAS]]+Tabela2246[[#This Row],[IPI]]+Tabela2246[[#This Row],[Vl. Produto]])*Tabela2246[[#This Row],[Aliq.%]]</f>
        <v>0</v>
      </c>
    </row>
    <row r="890" spans="13:19" x14ac:dyDescent="0.25">
      <c r="M890" s="46"/>
      <c r="N890" s="46"/>
      <c r="O890" s="46"/>
      <c r="P890" s="46"/>
      <c r="R890" s="15">
        <v>7.0000000000000007E-2</v>
      </c>
      <c r="S890" s="18">
        <f>(Tabela2246[[#This Row],[FRETE]]+Tabela2246[[#This Row],[DESPESAS]]+Tabela2246[[#This Row],[IPI]]+Tabela2246[[#This Row],[Vl. Produto]])*Tabela2246[[#This Row],[Aliq.%]]</f>
        <v>0</v>
      </c>
    </row>
    <row r="891" spans="13:19" x14ac:dyDescent="0.25">
      <c r="M891" s="46"/>
      <c r="N891" s="46"/>
      <c r="O891" s="46"/>
      <c r="P891" s="46"/>
      <c r="R891" s="15">
        <v>7.0000000000000007E-2</v>
      </c>
      <c r="S891" s="18">
        <f>(Tabela2246[[#This Row],[FRETE]]+Tabela2246[[#This Row],[DESPESAS]]+Tabela2246[[#This Row],[IPI]]+Tabela2246[[#This Row],[Vl. Produto]])*Tabela2246[[#This Row],[Aliq.%]]</f>
        <v>0</v>
      </c>
    </row>
    <row r="892" spans="13:19" x14ac:dyDescent="0.25">
      <c r="M892" s="46"/>
      <c r="N892" s="46"/>
      <c r="O892" s="46"/>
      <c r="P892" s="46"/>
      <c r="R892" s="15">
        <v>7.0000000000000007E-2</v>
      </c>
      <c r="S892" s="18">
        <f>(Tabela2246[[#This Row],[FRETE]]+Tabela2246[[#This Row],[DESPESAS]]+Tabela2246[[#This Row],[IPI]]+Tabela2246[[#This Row],[Vl. Produto]])*Tabela2246[[#This Row],[Aliq.%]]</f>
        <v>0</v>
      </c>
    </row>
    <row r="893" spans="13:19" x14ac:dyDescent="0.25">
      <c r="M893" s="46"/>
      <c r="N893" s="46"/>
      <c r="O893" s="46"/>
      <c r="P893" s="46"/>
      <c r="R893" s="15">
        <v>7.0000000000000007E-2</v>
      </c>
      <c r="S893" s="18">
        <f>(Tabela2246[[#This Row],[FRETE]]+Tabela2246[[#This Row],[DESPESAS]]+Tabela2246[[#This Row],[IPI]]+Tabela2246[[#This Row],[Vl. Produto]])*Tabela2246[[#This Row],[Aliq.%]]</f>
        <v>0</v>
      </c>
    </row>
    <row r="894" spans="13:19" x14ac:dyDescent="0.25">
      <c r="M894" s="46"/>
      <c r="N894" s="46"/>
      <c r="O894" s="46"/>
      <c r="P894" s="46"/>
      <c r="R894" s="15">
        <v>7.0000000000000007E-2</v>
      </c>
      <c r="S894" s="18">
        <f>(Tabela2246[[#This Row],[FRETE]]+Tabela2246[[#This Row],[DESPESAS]]+Tabela2246[[#This Row],[IPI]]+Tabela2246[[#This Row],[Vl. Produto]])*Tabela2246[[#This Row],[Aliq.%]]</f>
        <v>0</v>
      </c>
    </row>
    <row r="895" spans="13:19" x14ac:dyDescent="0.25">
      <c r="M895" s="46"/>
      <c r="N895" s="46"/>
      <c r="O895" s="46"/>
      <c r="P895" s="46"/>
      <c r="R895" s="15">
        <v>7.0000000000000007E-2</v>
      </c>
      <c r="S895" s="18">
        <f>(Tabela2246[[#This Row],[FRETE]]+Tabela2246[[#This Row],[DESPESAS]]+Tabela2246[[#This Row],[IPI]]+Tabela2246[[#This Row],[Vl. Produto]])*Tabela2246[[#This Row],[Aliq.%]]</f>
        <v>0</v>
      </c>
    </row>
    <row r="896" spans="13:19" x14ac:dyDescent="0.25">
      <c r="M896" s="46"/>
      <c r="N896" s="46"/>
      <c r="O896" s="46"/>
      <c r="P896" s="46"/>
      <c r="R896" s="15">
        <v>7.0000000000000007E-2</v>
      </c>
      <c r="S896" s="18">
        <f>(Tabela2246[[#This Row],[FRETE]]+Tabela2246[[#This Row],[DESPESAS]]+Tabela2246[[#This Row],[IPI]]+Tabela2246[[#This Row],[Vl. Produto]])*Tabela2246[[#This Row],[Aliq.%]]</f>
        <v>0</v>
      </c>
    </row>
    <row r="897" spans="13:19" x14ac:dyDescent="0.25">
      <c r="M897" s="46"/>
      <c r="N897" s="46"/>
      <c r="O897" s="46"/>
      <c r="P897" s="46"/>
      <c r="R897" s="15">
        <v>7.0000000000000007E-2</v>
      </c>
      <c r="S897" s="18">
        <f>(Tabela2246[[#This Row],[FRETE]]+Tabela2246[[#This Row],[DESPESAS]]+Tabela2246[[#This Row],[IPI]]+Tabela2246[[#This Row],[Vl. Produto]])*Tabela2246[[#This Row],[Aliq.%]]</f>
        <v>0</v>
      </c>
    </row>
    <row r="898" spans="13:19" x14ac:dyDescent="0.25">
      <c r="M898" s="46"/>
      <c r="N898" s="46"/>
      <c r="O898" s="46"/>
      <c r="P898" s="46"/>
      <c r="R898" s="15">
        <v>7.0000000000000007E-2</v>
      </c>
      <c r="S898" s="18">
        <f>(Tabela2246[[#This Row],[FRETE]]+Tabela2246[[#This Row],[DESPESAS]]+Tabela2246[[#This Row],[IPI]]+Tabela2246[[#This Row],[Vl. Produto]])*Tabela2246[[#This Row],[Aliq.%]]</f>
        <v>0</v>
      </c>
    </row>
    <row r="899" spans="13:19" x14ac:dyDescent="0.25">
      <c r="M899" s="46"/>
      <c r="N899" s="46"/>
      <c r="O899" s="46"/>
      <c r="P899" s="46"/>
      <c r="R899" s="15">
        <v>7.0000000000000007E-2</v>
      </c>
      <c r="S899" s="18">
        <f>(Tabela2246[[#This Row],[FRETE]]+Tabela2246[[#This Row],[DESPESAS]]+Tabela2246[[#This Row],[IPI]]+Tabela2246[[#This Row],[Vl. Produto]])*Tabela2246[[#This Row],[Aliq.%]]</f>
        <v>0</v>
      </c>
    </row>
    <row r="900" spans="13:19" x14ac:dyDescent="0.25">
      <c r="M900" s="46"/>
      <c r="N900" s="46"/>
      <c r="O900" s="46"/>
      <c r="P900" s="46"/>
      <c r="R900" s="15">
        <v>7.0000000000000007E-2</v>
      </c>
      <c r="S900" s="18">
        <f>(Tabela2246[[#This Row],[FRETE]]+Tabela2246[[#This Row],[DESPESAS]]+Tabela2246[[#This Row],[IPI]]+Tabela2246[[#This Row],[Vl. Produto]])*Tabela2246[[#This Row],[Aliq.%]]</f>
        <v>0</v>
      </c>
    </row>
    <row r="901" spans="13:19" x14ac:dyDescent="0.25">
      <c r="M901" s="46"/>
      <c r="N901" s="46"/>
      <c r="O901" s="46"/>
      <c r="P901" s="46"/>
      <c r="R901" s="15">
        <v>7.0000000000000007E-2</v>
      </c>
      <c r="S901" s="18">
        <f>(Tabela2246[[#This Row],[FRETE]]+Tabela2246[[#This Row],[DESPESAS]]+Tabela2246[[#This Row],[IPI]]+Tabela2246[[#This Row],[Vl. Produto]])*Tabela2246[[#This Row],[Aliq.%]]</f>
        <v>0</v>
      </c>
    </row>
    <row r="902" spans="13:19" x14ac:dyDescent="0.25">
      <c r="M902" s="46"/>
      <c r="N902" s="46"/>
      <c r="O902" s="46"/>
      <c r="P902" s="46"/>
      <c r="R902" s="15">
        <v>7.0000000000000007E-2</v>
      </c>
      <c r="S902" s="18">
        <f>(Tabela2246[[#This Row],[FRETE]]+Tabela2246[[#This Row],[DESPESAS]]+Tabela2246[[#This Row],[IPI]]+Tabela2246[[#This Row],[Vl. Produto]])*Tabela2246[[#This Row],[Aliq.%]]</f>
        <v>0</v>
      </c>
    </row>
    <row r="903" spans="13:19" x14ac:dyDescent="0.25">
      <c r="M903" s="46"/>
      <c r="N903" s="46"/>
      <c r="O903" s="46"/>
      <c r="P903" s="46"/>
      <c r="R903" s="15">
        <v>7.0000000000000007E-2</v>
      </c>
      <c r="S903" s="18">
        <f>(Tabela2246[[#This Row],[FRETE]]+Tabela2246[[#This Row],[DESPESAS]]+Tabela2246[[#This Row],[IPI]]+Tabela2246[[#This Row],[Vl. Produto]])*Tabela2246[[#This Row],[Aliq.%]]</f>
        <v>0</v>
      </c>
    </row>
    <row r="904" spans="13:19" x14ac:dyDescent="0.25">
      <c r="M904" s="46"/>
      <c r="N904" s="46"/>
      <c r="O904" s="46"/>
      <c r="P904" s="46"/>
      <c r="R904" s="15">
        <v>7.0000000000000007E-2</v>
      </c>
      <c r="S904" s="18">
        <f>(Tabela2246[[#This Row],[FRETE]]+Tabela2246[[#This Row],[DESPESAS]]+Tabela2246[[#This Row],[IPI]]+Tabela2246[[#This Row],[Vl. Produto]])*Tabela2246[[#This Row],[Aliq.%]]</f>
        <v>0</v>
      </c>
    </row>
    <row r="905" spans="13:19" x14ac:dyDescent="0.25">
      <c r="M905" s="46"/>
      <c r="N905" s="46"/>
      <c r="O905" s="46"/>
      <c r="P905" s="46"/>
      <c r="R905" s="15">
        <v>7.0000000000000007E-2</v>
      </c>
      <c r="S905" s="18">
        <f>(Tabela2246[[#This Row],[FRETE]]+Tabela2246[[#This Row],[DESPESAS]]+Tabela2246[[#This Row],[IPI]]+Tabela2246[[#This Row],[Vl. Produto]])*Tabela2246[[#This Row],[Aliq.%]]</f>
        <v>0</v>
      </c>
    </row>
    <row r="906" spans="13:19" x14ac:dyDescent="0.25">
      <c r="M906" s="46"/>
      <c r="N906" s="46"/>
      <c r="O906" s="46"/>
      <c r="P906" s="46"/>
      <c r="R906" s="15">
        <v>7.0000000000000007E-2</v>
      </c>
      <c r="S906" s="18">
        <f>(Tabela2246[[#This Row],[FRETE]]+Tabela2246[[#This Row],[DESPESAS]]+Tabela2246[[#This Row],[IPI]]+Tabela2246[[#This Row],[Vl. Produto]])*Tabela2246[[#This Row],[Aliq.%]]</f>
        <v>0</v>
      </c>
    </row>
    <row r="907" spans="13:19" x14ac:dyDescent="0.25">
      <c r="M907" s="46"/>
      <c r="N907" s="46"/>
      <c r="O907" s="46"/>
      <c r="P907" s="46"/>
      <c r="R907" s="15">
        <v>7.0000000000000007E-2</v>
      </c>
      <c r="S907" s="18">
        <f>(Tabela2246[[#This Row],[FRETE]]+Tabela2246[[#This Row],[DESPESAS]]+Tabela2246[[#This Row],[IPI]]+Tabela2246[[#This Row],[Vl. Produto]])*Tabela2246[[#This Row],[Aliq.%]]</f>
        <v>0</v>
      </c>
    </row>
    <row r="908" spans="13:19" x14ac:dyDescent="0.25">
      <c r="M908" s="46"/>
      <c r="N908" s="46"/>
      <c r="O908" s="46"/>
      <c r="P908" s="46"/>
      <c r="R908" s="15">
        <v>7.0000000000000007E-2</v>
      </c>
      <c r="S908" s="18">
        <f>(Tabela2246[[#This Row],[FRETE]]+Tabela2246[[#This Row],[DESPESAS]]+Tabela2246[[#This Row],[IPI]]+Tabela2246[[#This Row],[Vl. Produto]])*Tabela2246[[#This Row],[Aliq.%]]</f>
        <v>0</v>
      </c>
    </row>
    <row r="909" spans="13:19" x14ac:dyDescent="0.25">
      <c r="M909" s="46"/>
      <c r="N909" s="46"/>
      <c r="O909" s="46"/>
      <c r="P909" s="46"/>
      <c r="R909" s="15">
        <v>7.0000000000000007E-2</v>
      </c>
      <c r="S909" s="18">
        <f>(Tabela2246[[#This Row],[FRETE]]+Tabela2246[[#This Row],[DESPESAS]]+Tabela2246[[#This Row],[IPI]]+Tabela2246[[#This Row],[Vl. Produto]])*Tabela2246[[#This Row],[Aliq.%]]</f>
        <v>0</v>
      </c>
    </row>
    <row r="910" spans="13:19" x14ac:dyDescent="0.25">
      <c r="M910" s="46"/>
      <c r="N910" s="46"/>
      <c r="O910" s="46"/>
      <c r="P910" s="46"/>
      <c r="R910" s="15">
        <v>7.0000000000000007E-2</v>
      </c>
      <c r="S910" s="18">
        <f>(Tabela2246[[#This Row],[FRETE]]+Tabela2246[[#This Row],[DESPESAS]]+Tabela2246[[#This Row],[IPI]]+Tabela2246[[#This Row],[Vl. Produto]])*Tabela2246[[#This Row],[Aliq.%]]</f>
        <v>0</v>
      </c>
    </row>
    <row r="911" spans="13:19" x14ac:dyDescent="0.25">
      <c r="M911" s="46"/>
      <c r="N911" s="46"/>
      <c r="O911" s="46"/>
      <c r="P911" s="46"/>
      <c r="R911" s="15">
        <v>7.0000000000000007E-2</v>
      </c>
      <c r="S911" s="18">
        <f>(Tabela2246[[#This Row],[FRETE]]+Tabela2246[[#This Row],[DESPESAS]]+Tabela2246[[#This Row],[IPI]]+Tabela2246[[#This Row],[Vl. Produto]])*Tabela2246[[#This Row],[Aliq.%]]</f>
        <v>0</v>
      </c>
    </row>
    <row r="912" spans="13:19" x14ac:dyDescent="0.25">
      <c r="M912" s="46"/>
      <c r="N912" s="46"/>
      <c r="O912" s="46"/>
      <c r="P912" s="46"/>
      <c r="R912" s="15">
        <v>7.0000000000000007E-2</v>
      </c>
      <c r="S912" s="18">
        <f>(Tabela2246[[#This Row],[FRETE]]+Tabela2246[[#This Row],[DESPESAS]]+Tabela2246[[#This Row],[IPI]]+Tabela2246[[#This Row],[Vl. Produto]])*Tabela2246[[#This Row],[Aliq.%]]</f>
        <v>0</v>
      </c>
    </row>
    <row r="913" spans="13:19" x14ac:dyDescent="0.25">
      <c r="M913" s="46"/>
      <c r="N913" s="46"/>
      <c r="O913" s="46"/>
      <c r="P913" s="46"/>
      <c r="R913" s="15">
        <v>7.0000000000000007E-2</v>
      </c>
      <c r="S913" s="18">
        <f>(Tabela2246[[#This Row],[FRETE]]+Tabela2246[[#This Row],[DESPESAS]]+Tabela2246[[#This Row],[IPI]]+Tabela2246[[#This Row],[Vl. Produto]])*Tabela2246[[#This Row],[Aliq.%]]</f>
        <v>0</v>
      </c>
    </row>
    <row r="914" spans="13:19" x14ac:dyDescent="0.25">
      <c r="M914" s="46"/>
      <c r="N914" s="46"/>
      <c r="O914" s="46"/>
      <c r="P914" s="46"/>
      <c r="R914" s="15">
        <v>7.0000000000000007E-2</v>
      </c>
      <c r="S914" s="18">
        <f>(Tabela2246[[#This Row],[FRETE]]+Tabela2246[[#This Row],[DESPESAS]]+Tabela2246[[#This Row],[IPI]]+Tabela2246[[#This Row],[Vl. Produto]])*Tabela2246[[#This Row],[Aliq.%]]</f>
        <v>0</v>
      </c>
    </row>
    <row r="915" spans="13:19" x14ac:dyDescent="0.25">
      <c r="M915" s="46"/>
      <c r="N915" s="46"/>
      <c r="O915" s="46"/>
      <c r="P915" s="46"/>
      <c r="R915" s="15">
        <v>7.0000000000000007E-2</v>
      </c>
      <c r="S915" s="18">
        <f>(Tabela2246[[#This Row],[FRETE]]+Tabela2246[[#This Row],[DESPESAS]]+Tabela2246[[#This Row],[IPI]]+Tabela2246[[#This Row],[Vl. Produto]])*Tabela2246[[#This Row],[Aliq.%]]</f>
        <v>0</v>
      </c>
    </row>
    <row r="916" spans="13:19" x14ac:dyDescent="0.25">
      <c r="M916" s="46"/>
      <c r="N916" s="46"/>
      <c r="O916" s="46"/>
      <c r="P916" s="46"/>
      <c r="R916" s="15">
        <v>7.0000000000000007E-2</v>
      </c>
      <c r="S916" s="18">
        <f>(Tabela2246[[#This Row],[FRETE]]+Tabela2246[[#This Row],[DESPESAS]]+Tabela2246[[#This Row],[IPI]]+Tabela2246[[#This Row],[Vl. Produto]])*Tabela2246[[#This Row],[Aliq.%]]</f>
        <v>0</v>
      </c>
    </row>
    <row r="917" spans="13:19" x14ac:dyDescent="0.25">
      <c r="M917" s="46"/>
      <c r="N917" s="46"/>
      <c r="O917" s="46"/>
      <c r="P917" s="46"/>
      <c r="R917" s="15">
        <v>7.0000000000000007E-2</v>
      </c>
      <c r="S917" s="18">
        <f>(Tabela2246[[#This Row],[FRETE]]+Tabela2246[[#This Row],[DESPESAS]]+Tabela2246[[#This Row],[IPI]]+Tabela2246[[#This Row],[Vl. Produto]])*Tabela2246[[#This Row],[Aliq.%]]</f>
        <v>0</v>
      </c>
    </row>
    <row r="918" spans="13:19" x14ac:dyDescent="0.25">
      <c r="M918" s="46"/>
      <c r="N918" s="46"/>
      <c r="O918" s="46"/>
      <c r="P918" s="46"/>
      <c r="R918" s="15">
        <v>7.0000000000000007E-2</v>
      </c>
      <c r="S918" s="18">
        <f>(Tabela2246[[#This Row],[FRETE]]+Tabela2246[[#This Row],[DESPESAS]]+Tabela2246[[#This Row],[IPI]]+Tabela2246[[#This Row],[Vl. Produto]])*Tabela2246[[#This Row],[Aliq.%]]</f>
        <v>0</v>
      </c>
    </row>
    <row r="919" spans="13:19" x14ac:dyDescent="0.25">
      <c r="M919" s="46"/>
      <c r="N919" s="46"/>
      <c r="O919" s="46"/>
      <c r="P919" s="46"/>
      <c r="R919" s="15">
        <v>7.0000000000000007E-2</v>
      </c>
      <c r="S919" s="18">
        <f>(Tabela2246[[#This Row],[FRETE]]+Tabela2246[[#This Row],[DESPESAS]]+Tabela2246[[#This Row],[IPI]]+Tabela2246[[#This Row],[Vl. Produto]])*Tabela2246[[#This Row],[Aliq.%]]</f>
        <v>0</v>
      </c>
    </row>
    <row r="920" spans="13:19" x14ac:dyDescent="0.25">
      <c r="M920" s="46"/>
      <c r="N920" s="46"/>
      <c r="O920" s="46"/>
      <c r="P920" s="46"/>
      <c r="R920" s="15">
        <v>7.0000000000000007E-2</v>
      </c>
      <c r="S920" s="18">
        <f>(Tabela2246[[#This Row],[FRETE]]+Tabela2246[[#This Row],[DESPESAS]]+Tabela2246[[#This Row],[IPI]]+Tabela2246[[#This Row],[Vl. Produto]])*Tabela2246[[#This Row],[Aliq.%]]</f>
        <v>0</v>
      </c>
    </row>
    <row r="921" spans="13:19" x14ac:dyDescent="0.25">
      <c r="M921" s="46"/>
      <c r="N921" s="46"/>
      <c r="O921" s="46"/>
      <c r="P921" s="46"/>
      <c r="R921" s="15">
        <v>7.0000000000000007E-2</v>
      </c>
      <c r="S921" s="18">
        <f>(Tabela2246[[#This Row],[FRETE]]+Tabela2246[[#This Row],[DESPESAS]]+Tabela2246[[#This Row],[IPI]]+Tabela2246[[#This Row],[Vl. Produto]])*Tabela2246[[#This Row],[Aliq.%]]</f>
        <v>0</v>
      </c>
    </row>
    <row r="922" spans="13:19" x14ac:dyDescent="0.25">
      <c r="M922" s="46"/>
      <c r="N922" s="46"/>
      <c r="O922" s="46"/>
      <c r="P922" s="46"/>
      <c r="R922" s="15">
        <v>7.0000000000000007E-2</v>
      </c>
      <c r="S922" s="18">
        <f>(Tabela2246[[#This Row],[FRETE]]+Tabela2246[[#This Row],[DESPESAS]]+Tabela2246[[#This Row],[IPI]]+Tabela2246[[#This Row],[Vl. Produto]])*Tabela2246[[#This Row],[Aliq.%]]</f>
        <v>0</v>
      </c>
    </row>
    <row r="923" spans="13:19" x14ac:dyDescent="0.25">
      <c r="M923" s="46"/>
      <c r="N923" s="46"/>
      <c r="O923" s="46"/>
      <c r="P923" s="46"/>
      <c r="R923" s="15">
        <v>7.0000000000000007E-2</v>
      </c>
      <c r="S923" s="18">
        <f>(Tabela2246[[#This Row],[FRETE]]+Tabela2246[[#This Row],[DESPESAS]]+Tabela2246[[#This Row],[IPI]]+Tabela2246[[#This Row],[Vl. Produto]])*Tabela2246[[#This Row],[Aliq.%]]</f>
        <v>0</v>
      </c>
    </row>
    <row r="924" spans="13:19" x14ac:dyDescent="0.25">
      <c r="M924" s="46"/>
      <c r="N924" s="46"/>
      <c r="O924" s="46"/>
      <c r="P924" s="46"/>
      <c r="R924" s="15">
        <v>7.0000000000000007E-2</v>
      </c>
      <c r="S924" s="18">
        <f>(Tabela2246[[#This Row],[FRETE]]+Tabela2246[[#This Row],[DESPESAS]]+Tabela2246[[#This Row],[IPI]]+Tabela2246[[#This Row],[Vl. Produto]])*Tabela2246[[#This Row],[Aliq.%]]</f>
        <v>0</v>
      </c>
    </row>
    <row r="925" spans="13:19" x14ac:dyDescent="0.25">
      <c r="M925" s="46"/>
      <c r="N925" s="46"/>
      <c r="O925" s="46"/>
      <c r="P925" s="46"/>
      <c r="R925" s="15">
        <v>7.0000000000000007E-2</v>
      </c>
      <c r="S925" s="18">
        <f>(Tabela2246[[#This Row],[FRETE]]+Tabela2246[[#This Row],[DESPESAS]]+Tabela2246[[#This Row],[IPI]]+Tabela2246[[#This Row],[Vl. Produto]])*Tabela2246[[#This Row],[Aliq.%]]</f>
        <v>0</v>
      </c>
    </row>
    <row r="926" spans="13:19" x14ac:dyDescent="0.25">
      <c r="M926" s="46"/>
      <c r="N926" s="46"/>
      <c r="O926" s="46"/>
      <c r="P926" s="46"/>
      <c r="R926" s="15">
        <v>7.0000000000000007E-2</v>
      </c>
      <c r="S926" s="18">
        <f>(Tabela2246[[#This Row],[FRETE]]+Tabela2246[[#This Row],[DESPESAS]]+Tabela2246[[#This Row],[IPI]]+Tabela2246[[#This Row],[Vl. Produto]])*Tabela2246[[#This Row],[Aliq.%]]</f>
        <v>0</v>
      </c>
    </row>
    <row r="927" spans="13:19" x14ac:dyDescent="0.25">
      <c r="M927" s="46"/>
      <c r="N927" s="46"/>
      <c r="O927" s="46"/>
      <c r="P927" s="46"/>
      <c r="R927" s="15">
        <v>7.0000000000000007E-2</v>
      </c>
      <c r="S927" s="18">
        <f>(Tabela2246[[#This Row],[FRETE]]+Tabela2246[[#This Row],[DESPESAS]]+Tabela2246[[#This Row],[IPI]]+Tabela2246[[#This Row],[Vl. Produto]])*Tabela2246[[#This Row],[Aliq.%]]</f>
        <v>0</v>
      </c>
    </row>
    <row r="928" spans="13:19" x14ac:dyDescent="0.25">
      <c r="M928" s="46"/>
      <c r="N928" s="46"/>
      <c r="O928" s="46"/>
      <c r="P928" s="46"/>
      <c r="R928" s="15">
        <v>7.0000000000000007E-2</v>
      </c>
      <c r="S928" s="18">
        <f>(Tabela2246[[#This Row],[FRETE]]+Tabela2246[[#This Row],[DESPESAS]]+Tabela2246[[#This Row],[IPI]]+Tabela2246[[#This Row],[Vl. Produto]])*Tabela2246[[#This Row],[Aliq.%]]</f>
        <v>0</v>
      </c>
    </row>
    <row r="929" spans="13:19" x14ac:dyDescent="0.25">
      <c r="M929" s="46"/>
      <c r="N929" s="46"/>
      <c r="O929" s="46"/>
      <c r="P929" s="46"/>
      <c r="R929" s="15">
        <v>7.0000000000000007E-2</v>
      </c>
      <c r="S929" s="18">
        <f>(Tabela2246[[#This Row],[FRETE]]+Tabela2246[[#This Row],[DESPESAS]]+Tabela2246[[#This Row],[IPI]]+Tabela2246[[#This Row],[Vl. Produto]])*Tabela2246[[#This Row],[Aliq.%]]</f>
        <v>0</v>
      </c>
    </row>
    <row r="930" spans="13:19" x14ac:dyDescent="0.25">
      <c r="M930" s="46"/>
      <c r="N930" s="46"/>
      <c r="O930" s="46"/>
      <c r="P930" s="46"/>
      <c r="R930" s="15">
        <v>7.0000000000000007E-2</v>
      </c>
      <c r="S930" s="18">
        <f>(Tabela2246[[#This Row],[FRETE]]+Tabela2246[[#This Row],[DESPESAS]]+Tabela2246[[#This Row],[IPI]]+Tabela2246[[#This Row],[Vl. Produto]])*Tabela2246[[#This Row],[Aliq.%]]</f>
        <v>0</v>
      </c>
    </row>
    <row r="931" spans="13:19" x14ac:dyDescent="0.25">
      <c r="M931" s="46"/>
      <c r="N931" s="46"/>
      <c r="O931" s="46"/>
      <c r="P931" s="46"/>
      <c r="R931" s="15">
        <v>7.0000000000000007E-2</v>
      </c>
      <c r="S931" s="18">
        <f>(Tabela2246[[#This Row],[FRETE]]+Tabela2246[[#This Row],[DESPESAS]]+Tabela2246[[#This Row],[IPI]]+Tabela2246[[#This Row],[Vl. Produto]])*Tabela2246[[#This Row],[Aliq.%]]</f>
        <v>0</v>
      </c>
    </row>
    <row r="932" spans="13:19" x14ac:dyDescent="0.25">
      <c r="M932" s="46"/>
      <c r="N932" s="46"/>
      <c r="O932" s="46"/>
      <c r="P932" s="46"/>
      <c r="R932" s="15">
        <v>7.0000000000000007E-2</v>
      </c>
      <c r="S932" s="18">
        <f>(Tabela2246[[#This Row],[FRETE]]+Tabela2246[[#This Row],[DESPESAS]]+Tabela2246[[#This Row],[IPI]]+Tabela2246[[#This Row],[Vl. Produto]])*Tabela2246[[#This Row],[Aliq.%]]</f>
        <v>0</v>
      </c>
    </row>
    <row r="933" spans="13:19" x14ac:dyDescent="0.25">
      <c r="M933" s="46"/>
      <c r="N933" s="46"/>
      <c r="O933" s="46"/>
      <c r="P933" s="46"/>
      <c r="R933" s="15">
        <v>7.0000000000000007E-2</v>
      </c>
      <c r="S933" s="18">
        <f>(Tabela2246[[#This Row],[FRETE]]+Tabela2246[[#This Row],[DESPESAS]]+Tabela2246[[#This Row],[IPI]]+Tabela2246[[#This Row],[Vl. Produto]])*Tabela2246[[#This Row],[Aliq.%]]</f>
        <v>0</v>
      </c>
    </row>
    <row r="934" spans="13:19" x14ac:dyDescent="0.25">
      <c r="M934" s="46"/>
      <c r="N934" s="46"/>
      <c r="O934" s="46"/>
      <c r="P934" s="46"/>
      <c r="R934" s="15">
        <v>7.0000000000000007E-2</v>
      </c>
      <c r="S934" s="18">
        <f>(Tabela2246[[#This Row],[FRETE]]+Tabela2246[[#This Row],[DESPESAS]]+Tabela2246[[#This Row],[IPI]]+Tabela2246[[#This Row],[Vl. Produto]])*Tabela2246[[#This Row],[Aliq.%]]</f>
        <v>0</v>
      </c>
    </row>
    <row r="935" spans="13:19" x14ac:dyDescent="0.25">
      <c r="M935" s="46"/>
      <c r="N935" s="46"/>
      <c r="O935" s="46"/>
      <c r="P935" s="46"/>
      <c r="R935" s="15">
        <v>7.0000000000000007E-2</v>
      </c>
      <c r="S935" s="18">
        <f>(Tabela2246[[#This Row],[FRETE]]+Tabela2246[[#This Row],[DESPESAS]]+Tabela2246[[#This Row],[IPI]]+Tabela2246[[#This Row],[Vl. Produto]])*Tabela2246[[#This Row],[Aliq.%]]</f>
        <v>0</v>
      </c>
    </row>
    <row r="936" spans="13:19" x14ac:dyDescent="0.25">
      <c r="M936" s="46"/>
      <c r="N936" s="46"/>
      <c r="O936" s="46"/>
      <c r="P936" s="46"/>
      <c r="R936" s="15">
        <v>7.0000000000000007E-2</v>
      </c>
      <c r="S936" s="18">
        <f>(Tabela2246[[#This Row],[FRETE]]+Tabela2246[[#This Row],[DESPESAS]]+Tabela2246[[#This Row],[IPI]]+Tabela2246[[#This Row],[Vl. Produto]])*Tabela2246[[#This Row],[Aliq.%]]</f>
        <v>0</v>
      </c>
    </row>
    <row r="937" spans="13:19" x14ac:dyDescent="0.25">
      <c r="M937" s="46"/>
      <c r="N937" s="46"/>
      <c r="O937" s="46"/>
      <c r="P937" s="46"/>
      <c r="R937" s="15">
        <v>7.0000000000000007E-2</v>
      </c>
      <c r="S937" s="18">
        <f>(Tabela2246[[#This Row],[FRETE]]+Tabela2246[[#This Row],[DESPESAS]]+Tabela2246[[#This Row],[IPI]]+Tabela2246[[#This Row],[Vl. Produto]])*Tabela2246[[#This Row],[Aliq.%]]</f>
        <v>0</v>
      </c>
    </row>
    <row r="938" spans="13:19" x14ac:dyDescent="0.25">
      <c r="M938" s="46"/>
      <c r="N938" s="46"/>
      <c r="O938" s="46"/>
      <c r="P938" s="46"/>
      <c r="R938" s="15">
        <v>7.0000000000000007E-2</v>
      </c>
      <c r="S938" s="18">
        <f>(Tabela2246[[#This Row],[FRETE]]+Tabela2246[[#This Row],[DESPESAS]]+Tabela2246[[#This Row],[IPI]]+Tabela2246[[#This Row],[Vl. Produto]])*Tabela2246[[#This Row],[Aliq.%]]</f>
        <v>0</v>
      </c>
    </row>
    <row r="939" spans="13:19" x14ac:dyDescent="0.25">
      <c r="M939" s="46"/>
      <c r="N939" s="46"/>
      <c r="O939" s="46"/>
      <c r="P939" s="46"/>
      <c r="R939" s="15">
        <v>7.0000000000000007E-2</v>
      </c>
      <c r="S939" s="18">
        <f>(Tabela2246[[#This Row],[FRETE]]+Tabela2246[[#This Row],[DESPESAS]]+Tabela2246[[#This Row],[IPI]]+Tabela2246[[#This Row],[Vl. Produto]])*Tabela2246[[#This Row],[Aliq.%]]</f>
        <v>0</v>
      </c>
    </row>
    <row r="940" spans="13:19" x14ac:dyDescent="0.25">
      <c r="M940" s="46"/>
      <c r="N940" s="46"/>
      <c r="O940" s="46"/>
      <c r="P940" s="46"/>
      <c r="R940" s="15">
        <v>7.0000000000000007E-2</v>
      </c>
      <c r="S940" s="18">
        <f>(Tabela2246[[#This Row],[FRETE]]+Tabela2246[[#This Row],[DESPESAS]]+Tabela2246[[#This Row],[IPI]]+Tabela2246[[#This Row],[Vl. Produto]])*Tabela2246[[#This Row],[Aliq.%]]</f>
        <v>0</v>
      </c>
    </row>
    <row r="941" spans="13:19" x14ac:dyDescent="0.25">
      <c r="M941" s="46"/>
      <c r="N941" s="46"/>
      <c r="O941" s="46"/>
      <c r="P941" s="46"/>
      <c r="R941" s="15">
        <v>7.0000000000000007E-2</v>
      </c>
      <c r="S941" s="18">
        <f>(Tabela2246[[#This Row],[FRETE]]+Tabela2246[[#This Row],[DESPESAS]]+Tabela2246[[#This Row],[IPI]]+Tabela2246[[#This Row],[Vl. Produto]])*Tabela2246[[#This Row],[Aliq.%]]</f>
        <v>0</v>
      </c>
    </row>
    <row r="942" spans="13:19" x14ac:dyDescent="0.25">
      <c r="M942" s="46"/>
      <c r="N942" s="46"/>
      <c r="O942" s="46"/>
      <c r="P942" s="46"/>
      <c r="R942" s="15">
        <v>7.0000000000000007E-2</v>
      </c>
      <c r="S942" s="18">
        <f>(Tabela2246[[#This Row],[FRETE]]+Tabela2246[[#This Row],[DESPESAS]]+Tabela2246[[#This Row],[IPI]]+Tabela2246[[#This Row],[Vl. Produto]])*Tabela2246[[#This Row],[Aliq.%]]</f>
        <v>0</v>
      </c>
    </row>
    <row r="943" spans="13:19" x14ac:dyDescent="0.25">
      <c r="M943" s="46"/>
      <c r="N943" s="46"/>
      <c r="O943" s="46"/>
      <c r="P943" s="46"/>
      <c r="R943" s="15">
        <v>7.0000000000000007E-2</v>
      </c>
      <c r="S943" s="18">
        <f>(Tabela2246[[#This Row],[FRETE]]+Tabela2246[[#This Row],[DESPESAS]]+Tabela2246[[#This Row],[IPI]]+Tabela2246[[#This Row],[Vl. Produto]])*Tabela2246[[#This Row],[Aliq.%]]</f>
        <v>0</v>
      </c>
    </row>
    <row r="944" spans="13:19" x14ac:dyDescent="0.25">
      <c r="M944" s="46"/>
      <c r="N944" s="46"/>
      <c r="O944" s="46"/>
      <c r="P944" s="46"/>
      <c r="R944" s="15">
        <v>7.0000000000000007E-2</v>
      </c>
      <c r="S944" s="18">
        <f>(Tabela2246[[#This Row],[FRETE]]+Tabela2246[[#This Row],[DESPESAS]]+Tabela2246[[#This Row],[IPI]]+Tabela2246[[#This Row],[Vl. Produto]])*Tabela2246[[#This Row],[Aliq.%]]</f>
        <v>0</v>
      </c>
    </row>
    <row r="945" spans="13:19" x14ac:dyDescent="0.25">
      <c r="M945" s="46"/>
      <c r="N945" s="46"/>
      <c r="O945" s="46"/>
      <c r="P945" s="46"/>
      <c r="R945" s="15">
        <v>7.0000000000000007E-2</v>
      </c>
      <c r="S945" s="18">
        <f>(Tabela2246[[#This Row],[FRETE]]+Tabela2246[[#This Row],[DESPESAS]]+Tabela2246[[#This Row],[IPI]]+Tabela2246[[#This Row],[Vl. Produto]])*Tabela2246[[#This Row],[Aliq.%]]</f>
        <v>0</v>
      </c>
    </row>
    <row r="946" spans="13:19" x14ac:dyDescent="0.25">
      <c r="M946" s="46"/>
      <c r="N946" s="46"/>
      <c r="O946" s="46"/>
      <c r="P946" s="46"/>
      <c r="R946" s="15">
        <v>7.0000000000000007E-2</v>
      </c>
      <c r="S946" s="18">
        <f>(Tabela2246[[#This Row],[FRETE]]+Tabela2246[[#This Row],[DESPESAS]]+Tabela2246[[#This Row],[IPI]]+Tabela2246[[#This Row],[Vl. Produto]])*Tabela2246[[#This Row],[Aliq.%]]</f>
        <v>0</v>
      </c>
    </row>
    <row r="947" spans="13:19" x14ac:dyDescent="0.25">
      <c r="M947" s="46"/>
      <c r="N947" s="46"/>
      <c r="O947" s="46"/>
      <c r="P947" s="46"/>
      <c r="R947" s="15">
        <v>7.0000000000000007E-2</v>
      </c>
      <c r="S947" s="18">
        <f>(Tabela2246[[#This Row],[FRETE]]+Tabela2246[[#This Row],[DESPESAS]]+Tabela2246[[#This Row],[IPI]]+Tabela2246[[#This Row],[Vl. Produto]])*Tabela2246[[#This Row],[Aliq.%]]</f>
        <v>0</v>
      </c>
    </row>
    <row r="948" spans="13:19" x14ac:dyDescent="0.25">
      <c r="M948" s="46"/>
      <c r="N948" s="46"/>
      <c r="O948" s="46"/>
      <c r="P948" s="46"/>
      <c r="R948" s="15">
        <v>7.0000000000000007E-2</v>
      </c>
      <c r="S948" s="18">
        <f>(Tabela2246[[#This Row],[FRETE]]+Tabela2246[[#This Row],[DESPESAS]]+Tabela2246[[#This Row],[IPI]]+Tabela2246[[#This Row],[Vl. Produto]])*Tabela2246[[#This Row],[Aliq.%]]</f>
        <v>0</v>
      </c>
    </row>
    <row r="949" spans="13:19" x14ac:dyDescent="0.25">
      <c r="M949" s="46"/>
      <c r="N949" s="46"/>
      <c r="O949" s="46"/>
      <c r="P949" s="46"/>
      <c r="R949" s="15">
        <v>7.0000000000000007E-2</v>
      </c>
      <c r="S949" s="18">
        <f>(Tabela2246[[#This Row],[FRETE]]+Tabela2246[[#This Row],[DESPESAS]]+Tabela2246[[#This Row],[IPI]]+Tabela2246[[#This Row],[Vl. Produto]])*Tabela2246[[#This Row],[Aliq.%]]</f>
        <v>0</v>
      </c>
    </row>
    <row r="950" spans="13:19" x14ac:dyDescent="0.25">
      <c r="M950" s="46"/>
      <c r="N950" s="46"/>
      <c r="O950" s="46"/>
      <c r="P950" s="46"/>
      <c r="R950" s="15">
        <v>7.0000000000000007E-2</v>
      </c>
      <c r="S950" s="18">
        <f>(Tabela2246[[#This Row],[FRETE]]+Tabela2246[[#This Row],[DESPESAS]]+Tabela2246[[#This Row],[IPI]]+Tabela2246[[#This Row],[Vl. Produto]])*Tabela2246[[#This Row],[Aliq.%]]</f>
        <v>0</v>
      </c>
    </row>
    <row r="951" spans="13:19" x14ac:dyDescent="0.25">
      <c r="M951" s="46"/>
      <c r="N951" s="46"/>
      <c r="O951" s="46"/>
      <c r="P951" s="46"/>
      <c r="R951" s="15">
        <v>7.0000000000000007E-2</v>
      </c>
      <c r="S951" s="18">
        <f>(Tabela2246[[#This Row],[FRETE]]+Tabela2246[[#This Row],[DESPESAS]]+Tabela2246[[#This Row],[IPI]]+Tabela2246[[#This Row],[Vl. Produto]])*Tabela2246[[#This Row],[Aliq.%]]</f>
        <v>0</v>
      </c>
    </row>
    <row r="952" spans="13:19" x14ac:dyDescent="0.25">
      <c r="M952" s="46"/>
      <c r="N952" s="46"/>
      <c r="O952" s="46"/>
      <c r="P952" s="46"/>
      <c r="R952" s="15">
        <v>7.0000000000000007E-2</v>
      </c>
      <c r="S952" s="18">
        <f>(Tabela2246[[#This Row],[FRETE]]+Tabela2246[[#This Row],[DESPESAS]]+Tabela2246[[#This Row],[IPI]]+Tabela2246[[#This Row],[Vl. Produto]])*Tabela2246[[#This Row],[Aliq.%]]</f>
        <v>0</v>
      </c>
    </row>
    <row r="953" spans="13:19" x14ac:dyDescent="0.25">
      <c r="M953" s="46"/>
      <c r="N953" s="46"/>
      <c r="O953" s="46"/>
      <c r="P953" s="46"/>
      <c r="R953" s="15">
        <v>7.0000000000000007E-2</v>
      </c>
      <c r="S953" s="18">
        <f>(Tabela2246[[#This Row],[FRETE]]+Tabela2246[[#This Row],[DESPESAS]]+Tabela2246[[#This Row],[IPI]]+Tabela2246[[#This Row],[Vl. Produto]])*Tabela2246[[#This Row],[Aliq.%]]</f>
        <v>0</v>
      </c>
    </row>
    <row r="954" spans="13:19" x14ac:dyDescent="0.25">
      <c r="M954" s="46"/>
      <c r="N954" s="46"/>
      <c r="O954" s="46"/>
      <c r="P954" s="46"/>
      <c r="R954" s="15">
        <v>7.0000000000000007E-2</v>
      </c>
      <c r="S954" s="18">
        <f>(Tabela2246[[#This Row],[FRETE]]+Tabela2246[[#This Row],[DESPESAS]]+Tabela2246[[#This Row],[IPI]]+Tabela2246[[#This Row],[Vl. Produto]])*Tabela2246[[#This Row],[Aliq.%]]</f>
        <v>0</v>
      </c>
    </row>
    <row r="955" spans="13:19" x14ac:dyDescent="0.25">
      <c r="M955" s="46"/>
      <c r="N955" s="46"/>
      <c r="O955" s="46"/>
      <c r="P955" s="46"/>
      <c r="R955" s="15">
        <v>7.0000000000000007E-2</v>
      </c>
      <c r="S955" s="18">
        <f>(Tabela2246[[#This Row],[FRETE]]+Tabela2246[[#This Row],[DESPESAS]]+Tabela2246[[#This Row],[IPI]]+Tabela2246[[#This Row],[Vl. Produto]])*Tabela2246[[#This Row],[Aliq.%]]</f>
        <v>0</v>
      </c>
    </row>
    <row r="956" spans="13:19" x14ac:dyDescent="0.25">
      <c r="M956" s="46"/>
      <c r="N956" s="46"/>
      <c r="O956" s="46"/>
      <c r="P956" s="46"/>
      <c r="R956" s="15">
        <v>7.0000000000000007E-2</v>
      </c>
      <c r="S956" s="18">
        <f>(Tabela2246[[#This Row],[FRETE]]+Tabela2246[[#This Row],[DESPESAS]]+Tabela2246[[#This Row],[IPI]]+Tabela2246[[#This Row],[Vl. Produto]])*Tabela2246[[#This Row],[Aliq.%]]</f>
        <v>0</v>
      </c>
    </row>
    <row r="957" spans="13:19" x14ac:dyDescent="0.25">
      <c r="M957" s="46"/>
      <c r="N957" s="46"/>
      <c r="O957" s="46"/>
      <c r="P957" s="46"/>
      <c r="R957" s="15">
        <v>7.0000000000000007E-2</v>
      </c>
      <c r="S957" s="18">
        <f>(Tabela2246[[#This Row],[FRETE]]+Tabela2246[[#This Row],[DESPESAS]]+Tabela2246[[#This Row],[IPI]]+Tabela2246[[#This Row],[Vl. Produto]])*Tabela2246[[#This Row],[Aliq.%]]</f>
        <v>0</v>
      </c>
    </row>
    <row r="958" spans="13:19" x14ac:dyDescent="0.25">
      <c r="M958" s="46"/>
      <c r="N958" s="46"/>
      <c r="O958" s="46"/>
      <c r="P958" s="46"/>
      <c r="R958" s="15">
        <v>7.0000000000000007E-2</v>
      </c>
      <c r="S958" s="18">
        <f>(Tabela2246[[#This Row],[FRETE]]+Tabela2246[[#This Row],[DESPESAS]]+Tabela2246[[#This Row],[IPI]]+Tabela2246[[#This Row],[Vl. Produto]])*Tabela2246[[#This Row],[Aliq.%]]</f>
        <v>0</v>
      </c>
    </row>
    <row r="959" spans="13:19" x14ac:dyDescent="0.25">
      <c r="M959" s="46"/>
      <c r="N959" s="46"/>
      <c r="O959" s="46"/>
      <c r="P959" s="46"/>
      <c r="R959" s="15">
        <v>7.0000000000000007E-2</v>
      </c>
      <c r="S959" s="18">
        <f>(Tabela2246[[#This Row],[FRETE]]+Tabela2246[[#This Row],[DESPESAS]]+Tabela2246[[#This Row],[IPI]]+Tabela2246[[#This Row],[Vl. Produto]])*Tabela2246[[#This Row],[Aliq.%]]</f>
        <v>0</v>
      </c>
    </row>
    <row r="960" spans="13:19" x14ac:dyDescent="0.25">
      <c r="M960" s="46"/>
      <c r="N960" s="46"/>
      <c r="O960" s="46"/>
      <c r="P960" s="46"/>
      <c r="R960" s="15">
        <v>7.0000000000000007E-2</v>
      </c>
      <c r="S960" s="18">
        <f>(Tabela2246[[#This Row],[FRETE]]+Tabela2246[[#This Row],[DESPESAS]]+Tabela2246[[#This Row],[IPI]]+Tabela2246[[#This Row],[Vl. Produto]])*Tabela2246[[#This Row],[Aliq.%]]</f>
        <v>0</v>
      </c>
    </row>
    <row r="961" spans="13:19" x14ac:dyDescent="0.25">
      <c r="M961" s="46"/>
      <c r="N961" s="46"/>
      <c r="O961" s="46"/>
      <c r="P961" s="46"/>
      <c r="R961" s="15">
        <v>7.0000000000000007E-2</v>
      </c>
      <c r="S961" s="18">
        <f>(Tabela2246[[#This Row],[FRETE]]+Tabela2246[[#This Row],[DESPESAS]]+Tabela2246[[#This Row],[IPI]]+Tabela2246[[#This Row],[Vl. Produto]])*Tabela2246[[#This Row],[Aliq.%]]</f>
        <v>0</v>
      </c>
    </row>
    <row r="962" spans="13:19" x14ac:dyDescent="0.25">
      <c r="M962" s="46"/>
      <c r="N962" s="46"/>
      <c r="O962" s="46"/>
      <c r="P962" s="46"/>
      <c r="R962" s="15">
        <v>7.0000000000000007E-2</v>
      </c>
      <c r="S962" s="18">
        <f>(Tabela2246[[#This Row],[FRETE]]+Tabela2246[[#This Row],[DESPESAS]]+Tabela2246[[#This Row],[IPI]]+Tabela2246[[#This Row],[Vl. Produto]])*Tabela2246[[#This Row],[Aliq.%]]</f>
        <v>0</v>
      </c>
    </row>
    <row r="963" spans="13:19" x14ac:dyDescent="0.25">
      <c r="M963" s="46"/>
      <c r="N963" s="46"/>
      <c r="O963" s="46"/>
      <c r="P963" s="46"/>
      <c r="R963" s="15">
        <v>7.0000000000000007E-2</v>
      </c>
      <c r="S963" s="18">
        <f>(Tabela2246[[#This Row],[FRETE]]+Tabela2246[[#This Row],[DESPESAS]]+Tabela2246[[#This Row],[IPI]]+Tabela2246[[#This Row],[Vl. Produto]])*Tabela2246[[#This Row],[Aliq.%]]</f>
        <v>0</v>
      </c>
    </row>
    <row r="964" spans="13:19" x14ac:dyDescent="0.25">
      <c r="M964" s="46"/>
      <c r="N964" s="46"/>
      <c r="O964" s="46"/>
      <c r="P964" s="46"/>
      <c r="R964" s="15">
        <v>7.0000000000000007E-2</v>
      </c>
      <c r="S964" s="18">
        <f>(Tabela2246[[#This Row],[FRETE]]+Tabela2246[[#This Row],[DESPESAS]]+Tabela2246[[#This Row],[IPI]]+Tabela2246[[#This Row],[Vl. Produto]])*Tabela2246[[#This Row],[Aliq.%]]</f>
        <v>0</v>
      </c>
    </row>
    <row r="965" spans="13:19" x14ac:dyDescent="0.25">
      <c r="M965" s="46"/>
      <c r="N965" s="46"/>
      <c r="O965" s="46"/>
      <c r="P965" s="46"/>
      <c r="R965" s="15">
        <v>7.0000000000000007E-2</v>
      </c>
      <c r="S965" s="18">
        <f>(Tabela2246[[#This Row],[FRETE]]+Tabela2246[[#This Row],[DESPESAS]]+Tabela2246[[#This Row],[IPI]]+Tabela2246[[#This Row],[Vl. Produto]])*Tabela2246[[#This Row],[Aliq.%]]</f>
        <v>0</v>
      </c>
    </row>
    <row r="966" spans="13:19" x14ac:dyDescent="0.25">
      <c r="M966" s="46"/>
      <c r="N966" s="46"/>
      <c r="O966" s="46"/>
      <c r="P966" s="46"/>
      <c r="R966" s="15">
        <v>7.0000000000000007E-2</v>
      </c>
      <c r="S966" s="18">
        <f>(Tabela2246[[#This Row],[FRETE]]+Tabela2246[[#This Row],[DESPESAS]]+Tabela2246[[#This Row],[IPI]]+Tabela2246[[#This Row],[Vl. Produto]])*Tabela2246[[#This Row],[Aliq.%]]</f>
        <v>0</v>
      </c>
    </row>
    <row r="967" spans="13:19" x14ac:dyDescent="0.25">
      <c r="M967" s="46"/>
      <c r="N967" s="46"/>
      <c r="O967" s="46"/>
      <c r="P967" s="46"/>
      <c r="R967" s="15">
        <v>7.0000000000000007E-2</v>
      </c>
      <c r="S967" s="18">
        <f>(Tabela2246[[#This Row],[FRETE]]+Tabela2246[[#This Row],[DESPESAS]]+Tabela2246[[#This Row],[IPI]]+Tabela2246[[#This Row],[Vl. Produto]])*Tabela2246[[#This Row],[Aliq.%]]</f>
        <v>0</v>
      </c>
    </row>
    <row r="968" spans="13:19" x14ac:dyDescent="0.25">
      <c r="M968" s="46"/>
      <c r="N968" s="46"/>
      <c r="O968" s="46"/>
      <c r="P968" s="46"/>
      <c r="R968" s="15">
        <v>7.0000000000000007E-2</v>
      </c>
      <c r="S968" s="18">
        <f>(Tabela2246[[#This Row],[FRETE]]+Tabela2246[[#This Row],[DESPESAS]]+Tabela2246[[#This Row],[IPI]]+Tabela2246[[#This Row],[Vl. Produto]])*Tabela2246[[#This Row],[Aliq.%]]</f>
        <v>0</v>
      </c>
    </row>
    <row r="969" spans="13:19" x14ac:dyDescent="0.25">
      <c r="M969" s="46"/>
      <c r="N969" s="46"/>
      <c r="O969" s="46"/>
      <c r="P969" s="46"/>
      <c r="R969" s="15">
        <v>7.0000000000000007E-2</v>
      </c>
      <c r="S969" s="18">
        <f>(Tabela2246[[#This Row],[FRETE]]+Tabela2246[[#This Row],[DESPESAS]]+Tabela2246[[#This Row],[IPI]]+Tabela2246[[#This Row],[Vl. Produto]])*Tabela2246[[#This Row],[Aliq.%]]</f>
        <v>0</v>
      </c>
    </row>
    <row r="970" spans="13:19" x14ac:dyDescent="0.25">
      <c r="M970" s="46"/>
      <c r="N970" s="46"/>
      <c r="O970" s="46"/>
      <c r="P970" s="46"/>
      <c r="R970" s="15">
        <v>7.0000000000000007E-2</v>
      </c>
      <c r="S970" s="18">
        <f>(Tabela2246[[#This Row],[FRETE]]+Tabela2246[[#This Row],[DESPESAS]]+Tabela2246[[#This Row],[IPI]]+Tabela2246[[#This Row],[Vl. Produto]])*Tabela2246[[#This Row],[Aliq.%]]</f>
        <v>0</v>
      </c>
    </row>
    <row r="971" spans="13:19" x14ac:dyDescent="0.25">
      <c r="M971" s="46"/>
      <c r="N971" s="46"/>
      <c r="O971" s="46"/>
      <c r="P971" s="46"/>
      <c r="R971" s="15">
        <v>7.0000000000000007E-2</v>
      </c>
      <c r="S971" s="18">
        <f>(Tabela2246[[#This Row],[FRETE]]+Tabela2246[[#This Row],[DESPESAS]]+Tabela2246[[#This Row],[IPI]]+Tabela2246[[#This Row],[Vl. Produto]])*Tabela2246[[#This Row],[Aliq.%]]</f>
        <v>0</v>
      </c>
    </row>
    <row r="972" spans="13:19" x14ac:dyDescent="0.25">
      <c r="M972" s="46"/>
      <c r="N972" s="46"/>
      <c r="O972" s="46"/>
      <c r="P972" s="46"/>
      <c r="R972" s="15">
        <v>7.0000000000000007E-2</v>
      </c>
      <c r="S972" s="18">
        <f>(Tabela2246[[#This Row],[FRETE]]+Tabela2246[[#This Row],[DESPESAS]]+Tabela2246[[#This Row],[IPI]]+Tabela2246[[#This Row],[Vl. Produto]])*Tabela2246[[#This Row],[Aliq.%]]</f>
        <v>0</v>
      </c>
    </row>
    <row r="973" spans="13:19" x14ac:dyDescent="0.25">
      <c r="M973" s="46"/>
      <c r="N973" s="46"/>
      <c r="O973" s="46"/>
      <c r="P973" s="46"/>
      <c r="R973" s="15">
        <v>7.0000000000000007E-2</v>
      </c>
      <c r="S973" s="18">
        <f>(Tabela2246[[#This Row],[FRETE]]+Tabela2246[[#This Row],[DESPESAS]]+Tabela2246[[#This Row],[IPI]]+Tabela2246[[#This Row],[Vl. Produto]])*Tabela2246[[#This Row],[Aliq.%]]</f>
        <v>0</v>
      </c>
    </row>
    <row r="974" spans="13:19" x14ac:dyDescent="0.25">
      <c r="M974" s="46"/>
      <c r="N974" s="46"/>
      <c r="O974" s="46"/>
      <c r="P974" s="46"/>
      <c r="R974" s="15">
        <v>7.0000000000000007E-2</v>
      </c>
      <c r="S974" s="18">
        <f>(Tabela2246[[#This Row],[FRETE]]+Tabela2246[[#This Row],[DESPESAS]]+Tabela2246[[#This Row],[IPI]]+Tabela2246[[#This Row],[Vl. Produto]])*Tabela2246[[#This Row],[Aliq.%]]</f>
        <v>0</v>
      </c>
    </row>
    <row r="975" spans="13:19" x14ac:dyDescent="0.25">
      <c r="M975" s="46"/>
      <c r="N975" s="46"/>
      <c r="O975" s="46"/>
      <c r="P975" s="46"/>
      <c r="R975" s="15">
        <v>7.0000000000000007E-2</v>
      </c>
      <c r="S975" s="18">
        <f>(Tabela2246[[#This Row],[FRETE]]+Tabela2246[[#This Row],[DESPESAS]]+Tabela2246[[#This Row],[IPI]]+Tabela2246[[#This Row],[Vl. Produto]])*Tabela2246[[#This Row],[Aliq.%]]</f>
        <v>0</v>
      </c>
    </row>
    <row r="976" spans="13:19" x14ac:dyDescent="0.25">
      <c r="M976" s="46"/>
      <c r="N976" s="46"/>
      <c r="O976" s="46"/>
      <c r="P976" s="46"/>
      <c r="R976" s="15">
        <v>7.0000000000000007E-2</v>
      </c>
      <c r="S976" s="18">
        <f>(Tabela2246[[#This Row],[FRETE]]+Tabela2246[[#This Row],[DESPESAS]]+Tabela2246[[#This Row],[IPI]]+Tabela2246[[#This Row],[Vl. Produto]])*Tabela2246[[#This Row],[Aliq.%]]</f>
        <v>0</v>
      </c>
    </row>
    <row r="977" spans="13:19" x14ac:dyDescent="0.25">
      <c r="M977" s="46"/>
      <c r="N977" s="46"/>
      <c r="O977" s="46"/>
      <c r="P977" s="46"/>
      <c r="R977" s="15">
        <v>7.0000000000000007E-2</v>
      </c>
      <c r="S977" s="18">
        <f>(Tabela2246[[#This Row],[FRETE]]+Tabela2246[[#This Row],[DESPESAS]]+Tabela2246[[#This Row],[IPI]]+Tabela2246[[#This Row],[Vl. Produto]])*Tabela2246[[#This Row],[Aliq.%]]</f>
        <v>0</v>
      </c>
    </row>
    <row r="978" spans="13:19" x14ac:dyDescent="0.25">
      <c r="M978" s="46"/>
      <c r="N978" s="46"/>
      <c r="O978" s="46"/>
      <c r="P978" s="46"/>
      <c r="R978" s="15">
        <v>7.0000000000000007E-2</v>
      </c>
      <c r="S978" s="18">
        <f>(Tabela2246[[#This Row],[FRETE]]+Tabela2246[[#This Row],[DESPESAS]]+Tabela2246[[#This Row],[IPI]]+Tabela2246[[#This Row],[Vl. Produto]])*Tabela2246[[#This Row],[Aliq.%]]</f>
        <v>0</v>
      </c>
    </row>
    <row r="979" spans="13:19" x14ac:dyDescent="0.25">
      <c r="M979" s="46"/>
      <c r="N979" s="46"/>
      <c r="O979" s="46"/>
      <c r="P979" s="46"/>
      <c r="R979" s="15">
        <v>7.0000000000000007E-2</v>
      </c>
      <c r="S979" s="18">
        <f>(Tabela2246[[#This Row],[FRETE]]+Tabela2246[[#This Row],[DESPESAS]]+Tabela2246[[#This Row],[IPI]]+Tabela2246[[#This Row],[Vl. Produto]])*Tabela2246[[#This Row],[Aliq.%]]</f>
        <v>0</v>
      </c>
    </row>
    <row r="980" spans="13:19" x14ac:dyDescent="0.25">
      <c r="M980" s="46"/>
      <c r="N980" s="46"/>
      <c r="O980" s="46"/>
      <c r="P980" s="46"/>
      <c r="R980" s="15">
        <v>7.0000000000000007E-2</v>
      </c>
      <c r="S980" s="18">
        <f>(Tabela2246[[#This Row],[FRETE]]+Tabela2246[[#This Row],[DESPESAS]]+Tabela2246[[#This Row],[IPI]]+Tabela2246[[#This Row],[Vl. Produto]])*Tabela2246[[#This Row],[Aliq.%]]</f>
        <v>0</v>
      </c>
    </row>
    <row r="981" spans="13:19" x14ac:dyDescent="0.25">
      <c r="M981" s="46"/>
      <c r="N981" s="46"/>
      <c r="O981" s="46"/>
      <c r="P981" s="46"/>
      <c r="R981" s="15">
        <v>7.0000000000000007E-2</v>
      </c>
      <c r="S981" s="18">
        <f>(Tabela2246[[#This Row],[FRETE]]+Tabela2246[[#This Row],[DESPESAS]]+Tabela2246[[#This Row],[IPI]]+Tabela2246[[#This Row],[Vl. Produto]])*Tabela2246[[#This Row],[Aliq.%]]</f>
        <v>0</v>
      </c>
    </row>
    <row r="982" spans="13:19" x14ac:dyDescent="0.25">
      <c r="M982" s="46"/>
      <c r="N982" s="46"/>
      <c r="O982" s="46"/>
      <c r="P982" s="46"/>
      <c r="R982" s="15">
        <v>7.0000000000000007E-2</v>
      </c>
      <c r="S982" s="18">
        <f>(Tabela2246[[#This Row],[FRETE]]+Tabela2246[[#This Row],[DESPESAS]]+Tabela2246[[#This Row],[IPI]]+Tabela2246[[#This Row],[Vl. Produto]])*Tabela2246[[#This Row],[Aliq.%]]</f>
        <v>0</v>
      </c>
    </row>
    <row r="983" spans="13:19" x14ac:dyDescent="0.25">
      <c r="M983" s="46"/>
      <c r="N983" s="46"/>
      <c r="O983" s="46"/>
      <c r="P983" s="46"/>
      <c r="R983" s="15">
        <v>7.0000000000000007E-2</v>
      </c>
      <c r="S983" s="18">
        <f>(Tabela2246[[#This Row],[FRETE]]+Tabela2246[[#This Row],[DESPESAS]]+Tabela2246[[#This Row],[IPI]]+Tabela2246[[#This Row],[Vl. Produto]])*Tabela2246[[#This Row],[Aliq.%]]</f>
        <v>0</v>
      </c>
    </row>
    <row r="984" spans="13:19" x14ac:dyDescent="0.25">
      <c r="M984" s="46"/>
      <c r="N984" s="46"/>
      <c r="O984" s="46"/>
      <c r="P984" s="46"/>
      <c r="R984" s="15">
        <v>7.0000000000000007E-2</v>
      </c>
      <c r="S984" s="18">
        <f>(Tabela2246[[#This Row],[FRETE]]+Tabela2246[[#This Row],[DESPESAS]]+Tabela2246[[#This Row],[IPI]]+Tabela2246[[#This Row],[Vl. Produto]])*Tabela2246[[#This Row],[Aliq.%]]</f>
        <v>0</v>
      </c>
    </row>
    <row r="985" spans="13:19" x14ac:dyDescent="0.25">
      <c r="M985" s="46"/>
      <c r="N985" s="46"/>
      <c r="O985" s="46"/>
      <c r="P985" s="46"/>
      <c r="R985" s="15">
        <v>7.0000000000000007E-2</v>
      </c>
      <c r="S985" s="18">
        <f>(Tabela2246[[#This Row],[FRETE]]+Tabela2246[[#This Row],[DESPESAS]]+Tabela2246[[#This Row],[IPI]]+Tabela2246[[#This Row],[Vl. Produto]])*Tabela2246[[#This Row],[Aliq.%]]</f>
        <v>0</v>
      </c>
    </row>
    <row r="986" spans="13:19" x14ac:dyDescent="0.25">
      <c r="M986" s="46"/>
      <c r="N986" s="46"/>
      <c r="O986" s="46"/>
      <c r="P986" s="46"/>
      <c r="R986" s="15">
        <v>7.0000000000000007E-2</v>
      </c>
      <c r="S986" s="18">
        <f>(Tabela2246[[#This Row],[FRETE]]+Tabela2246[[#This Row],[DESPESAS]]+Tabela2246[[#This Row],[IPI]]+Tabela2246[[#This Row],[Vl. Produto]])*Tabela2246[[#This Row],[Aliq.%]]</f>
        <v>0</v>
      </c>
    </row>
    <row r="987" spans="13:19" x14ac:dyDescent="0.25">
      <c r="M987" s="46"/>
      <c r="N987" s="46"/>
      <c r="O987" s="46"/>
      <c r="P987" s="46"/>
      <c r="R987" s="15">
        <v>7.0000000000000007E-2</v>
      </c>
      <c r="S987" s="18">
        <f>(Tabela2246[[#This Row],[FRETE]]+Tabela2246[[#This Row],[DESPESAS]]+Tabela2246[[#This Row],[IPI]]+Tabela2246[[#This Row],[Vl. Produto]])*Tabela2246[[#This Row],[Aliq.%]]</f>
        <v>0</v>
      </c>
    </row>
    <row r="988" spans="13:19" x14ac:dyDescent="0.25">
      <c r="M988" s="46"/>
      <c r="N988" s="46"/>
      <c r="O988" s="46"/>
      <c r="P988" s="46"/>
      <c r="R988" s="15">
        <v>7.0000000000000007E-2</v>
      </c>
      <c r="S988" s="18">
        <f>(Tabela2246[[#This Row],[FRETE]]+Tabela2246[[#This Row],[DESPESAS]]+Tabela2246[[#This Row],[IPI]]+Tabela2246[[#This Row],[Vl. Produto]])*Tabela2246[[#This Row],[Aliq.%]]</f>
        <v>0</v>
      </c>
    </row>
    <row r="989" spans="13:19" x14ac:dyDescent="0.25">
      <c r="M989" s="46"/>
      <c r="N989" s="46"/>
      <c r="O989" s="46"/>
      <c r="P989" s="46"/>
      <c r="R989" s="15">
        <v>7.0000000000000007E-2</v>
      </c>
      <c r="S989" s="18">
        <f>(Tabela2246[[#This Row],[FRETE]]+Tabela2246[[#This Row],[DESPESAS]]+Tabela2246[[#This Row],[IPI]]+Tabela2246[[#This Row],[Vl. Produto]])*Tabela2246[[#This Row],[Aliq.%]]</f>
        <v>0</v>
      </c>
    </row>
    <row r="990" spans="13:19" x14ac:dyDescent="0.25">
      <c r="M990" s="46"/>
      <c r="N990" s="46"/>
      <c r="O990" s="46"/>
      <c r="P990" s="46"/>
      <c r="R990" s="15">
        <v>7.0000000000000007E-2</v>
      </c>
      <c r="S990" s="18">
        <f>(Tabela2246[[#This Row],[FRETE]]+Tabela2246[[#This Row],[DESPESAS]]+Tabela2246[[#This Row],[IPI]]+Tabela2246[[#This Row],[Vl. Produto]])*Tabela2246[[#This Row],[Aliq.%]]</f>
        <v>0</v>
      </c>
    </row>
    <row r="991" spans="13:19" x14ac:dyDescent="0.25">
      <c r="M991" s="46"/>
      <c r="N991" s="46"/>
      <c r="O991" s="46"/>
      <c r="P991" s="46"/>
      <c r="R991" s="15">
        <v>7.0000000000000007E-2</v>
      </c>
      <c r="S991" s="18">
        <f>(Tabela2246[[#This Row],[FRETE]]+Tabela2246[[#This Row],[DESPESAS]]+Tabela2246[[#This Row],[IPI]]+Tabela2246[[#This Row],[Vl. Produto]])*Tabela2246[[#This Row],[Aliq.%]]</f>
        <v>0</v>
      </c>
    </row>
    <row r="992" spans="13:19" x14ac:dyDescent="0.25">
      <c r="M992" s="46"/>
      <c r="N992" s="46"/>
      <c r="O992" s="46"/>
      <c r="P992" s="46"/>
      <c r="R992" s="15">
        <v>7.0000000000000007E-2</v>
      </c>
      <c r="S992" s="18">
        <f>(Tabela2246[[#This Row],[FRETE]]+Tabela2246[[#This Row],[DESPESAS]]+Tabela2246[[#This Row],[IPI]]+Tabela2246[[#This Row],[Vl. Produto]])*Tabela2246[[#This Row],[Aliq.%]]</f>
        <v>0</v>
      </c>
    </row>
    <row r="993" spans="13:19" x14ac:dyDescent="0.25">
      <c r="M993" s="46"/>
      <c r="N993" s="46"/>
      <c r="O993" s="46"/>
      <c r="P993" s="46"/>
      <c r="R993" s="15">
        <v>7.0000000000000007E-2</v>
      </c>
      <c r="S993" s="18">
        <f>(Tabela2246[[#This Row],[FRETE]]+Tabela2246[[#This Row],[DESPESAS]]+Tabela2246[[#This Row],[IPI]]+Tabela2246[[#This Row],[Vl. Produto]])*Tabela2246[[#This Row],[Aliq.%]]</f>
        <v>0</v>
      </c>
    </row>
    <row r="994" spans="13:19" x14ac:dyDescent="0.25">
      <c r="M994" s="46"/>
      <c r="N994" s="46"/>
      <c r="O994" s="46"/>
      <c r="P994" s="46"/>
      <c r="R994" s="15">
        <v>7.0000000000000007E-2</v>
      </c>
      <c r="S994" s="18">
        <f>(Tabela2246[[#This Row],[FRETE]]+Tabela2246[[#This Row],[DESPESAS]]+Tabela2246[[#This Row],[IPI]]+Tabela2246[[#This Row],[Vl. Produto]])*Tabela2246[[#This Row],[Aliq.%]]</f>
        <v>0</v>
      </c>
    </row>
    <row r="995" spans="13:19" x14ac:dyDescent="0.25">
      <c r="M995" s="46"/>
      <c r="N995" s="46"/>
      <c r="O995" s="46"/>
      <c r="P995" s="46"/>
      <c r="R995" s="15">
        <v>7.0000000000000007E-2</v>
      </c>
      <c r="S995" s="18">
        <f>(Tabela2246[[#This Row],[FRETE]]+Tabela2246[[#This Row],[DESPESAS]]+Tabela2246[[#This Row],[IPI]]+Tabela2246[[#This Row],[Vl. Produto]])*Tabela2246[[#This Row],[Aliq.%]]</f>
        <v>0</v>
      </c>
    </row>
    <row r="996" spans="13:19" x14ac:dyDescent="0.25">
      <c r="M996" s="46"/>
      <c r="N996" s="46"/>
      <c r="O996" s="46"/>
      <c r="P996" s="46"/>
      <c r="R996" s="15">
        <v>7.0000000000000007E-2</v>
      </c>
      <c r="S996" s="18">
        <f>(Tabela2246[[#This Row],[FRETE]]+Tabela2246[[#This Row],[DESPESAS]]+Tabela2246[[#This Row],[IPI]]+Tabela2246[[#This Row],[Vl. Produto]])*Tabela2246[[#This Row],[Aliq.%]]</f>
        <v>0</v>
      </c>
    </row>
    <row r="997" spans="13:19" x14ac:dyDescent="0.25">
      <c r="M997" s="46"/>
      <c r="N997" s="46"/>
      <c r="O997" s="46"/>
      <c r="P997" s="46"/>
      <c r="R997" s="15">
        <v>7.0000000000000007E-2</v>
      </c>
      <c r="S997" s="18">
        <f>(Tabela2246[[#This Row],[FRETE]]+Tabela2246[[#This Row],[DESPESAS]]+Tabela2246[[#This Row],[IPI]]+Tabela2246[[#This Row],[Vl. Produto]])*Tabela2246[[#This Row],[Aliq.%]]</f>
        <v>0</v>
      </c>
    </row>
    <row r="998" spans="13:19" x14ac:dyDescent="0.25">
      <c r="M998" s="46"/>
      <c r="N998" s="46"/>
      <c r="O998" s="46"/>
      <c r="P998" s="46"/>
      <c r="R998" s="15">
        <v>7.0000000000000007E-2</v>
      </c>
      <c r="S998" s="18">
        <f>(Tabela2246[[#This Row],[FRETE]]+Tabela2246[[#This Row],[DESPESAS]]+Tabela2246[[#This Row],[IPI]]+Tabela2246[[#This Row],[Vl. Produto]])*Tabela2246[[#This Row],[Aliq.%]]</f>
        <v>0</v>
      </c>
    </row>
    <row r="999" spans="13:19" x14ac:dyDescent="0.25">
      <c r="M999" s="46"/>
      <c r="N999" s="46"/>
      <c r="O999" s="46"/>
      <c r="P999" s="46"/>
      <c r="R999" s="15">
        <v>7.0000000000000007E-2</v>
      </c>
      <c r="S999" s="18">
        <f>(Tabela2246[[#This Row],[FRETE]]+Tabela2246[[#This Row],[DESPESAS]]+Tabela2246[[#This Row],[IPI]]+Tabela2246[[#This Row],[Vl. Produto]])*Tabela2246[[#This Row],[Aliq.%]]</f>
        <v>0</v>
      </c>
    </row>
    <row r="1000" spans="13:19" x14ac:dyDescent="0.25">
      <c r="M1000" s="46"/>
      <c r="N1000" s="46"/>
      <c r="O1000" s="46"/>
      <c r="P1000" s="46"/>
      <c r="R1000" s="15">
        <v>7.0000000000000007E-2</v>
      </c>
      <c r="S1000" s="18">
        <f>(Tabela2246[[#This Row],[FRETE]]+Tabela2246[[#This Row],[DESPESAS]]+Tabela2246[[#This Row],[IPI]]+Tabela2246[[#This Row],[Vl. Produto]])*Tabela2246[[#This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B1:D31"/>
  <sheetViews>
    <sheetView tabSelected="1" workbookViewId="0"/>
  </sheetViews>
  <sheetFormatPr defaultRowHeight="12.75" x14ac:dyDescent="0.2"/>
  <cols>
    <col min="1" max="1" width="0.85546875" style="19" customWidth="1"/>
    <col min="2" max="2" width="16.28515625" style="19" customWidth="1"/>
    <col min="3" max="3" width="9.85546875" style="20" customWidth="1"/>
    <col min="4" max="4" width="40" style="19" customWidth="1"/>
    <col min="5" max="16384" width="9.140625" style="19"/>
  </cols>
  <sheetData>
    <row r="1" spans="2:4" ht="5.0999999999999996" customHeight="1" x14ac:dyDescent="0.2"/>
    <row r="2" spans="2:4" ht="5.25" hidden="1" customHeight="1" x14ac:dyDescent="0.2"/>
    <row r="3" spans="2:4" x14ac:dyDescent="0.2">
      <c r="B3" s="21" t="s">
        <v>17</v>
      </c>
      <c r="C3" s="68" t="s">
        <v>29</v>
      </c>
      <c r="D3" s="69"/>
    </row>
    <row r="4" spans="2:4" ht="3" customHeight="1" x14ac:dyDescent="0.2">
      <c r="B4" s="22"/>
      <c r="C4" s="23"/>
      <c r="D4" s="23"/>
    </row>
    <row r="5" spans="2:4" x14ac:dyDescent="0.2">
      <c r="B5" s="21" t="s">
        <v>18</v>
      </c>
      <c r="C5" s="70" t="s">
        <v>19</v>
      </c>
      <c r="D5" s="71"/>
    </row>
    <row r="6" spans="2:4" ht="3" customHeight="1" x14ac:dyDescent="0.2">
      <c r="B6" s="22"/>
      <c r="C6" s="24"/>
      <c r="D6" s="1"/>
    </row>
    <row r="7" spans="2:4" x14ac:dyDescent="0.2">
      <c r="B7" s="65" t="s">
        <v>1</v>
      </c>
      <c r="C7" s="66"/>
      <c r="D7" s="25" t="s">
        <v>20</v>
      </c>
    </row>
    <row r="8" spans="2:4" x14ac:dyDescent="0.2">
      <c r="B8" s="76">
        <v>1.54E-2</v>
      </c>
      <c r="C8" s="77"/>
      <c r="D8" s="26">
        <f>'Aliquota 1,54%'!U1</f>
        <v>0</v>
      </c>
    </row>
    <row r="9" spans="2:4" x14ac:dyDescent="0.2">
      <c r="B9" s="78">
        <v>0.04</v>
      </c>
      <c r="C9" s="79"/>
      <c r="D9" s="27">
        <f>'Aliquota 4%'!U1</f>
        <v>0</v>
      </c>
    </row>
    <row r="10" spans="2:4" x14ac:dyDescent="0.2">
      <c r="B10" s="80">
        <v>7.0000000000000007E-2</v>
      </c>
      <c r="C10" s="80"/>
      <c r="D10" s="28">
        <f>'Aliquota 7%'!U1</f>
        <v>0</v>
      </c>
    </row>
    <row r="11" spans="2:4" ht="4.5" customHeight="1" x14ac:dyDescent="0.2">
      <c r="B11" s="29"/>
      <c r="C11" s="29"/>
      <c r="D11" s="30"/>
    </row>
    <row r="12" spans="2:4" x14ac:dyDescent="0.2">
      <c r="B12" s="25" t="s">
        <v>30</v>
      </c>
      <c r="C12" s="31" t="s">
        <v>32</v>
      </c>
      <c r="D12" s="25" t="s">
        <v>20</v>
      </c>
    </row>
    <row r="13" spans="2:4" x14ac:dyDescent="0.2">
      <c r="B13" s="59">
        <v>0</v>
      </c>
      <c r="C13" s="60">
        <v>61.11</v>
      </c>
      <c r="D13" s="61">
        <f>B13*C13</f>
        <v>0</v>
      </c>
    </row>
    <row r="14" spans="2:4" x14ac:dyDescent="0.2">
      <c r="B14" s="53">
        <f>'Aliquota 1,54% FRI'!V1</f>
        <v>0</v>
      </c>
      <c r="C14" s="54">
        <v>0.77</v>
      </c>
      <c r="D14" s="55">
        <f>B14*C14</f>
        <v>0</v>
      </c>
    </row>
    <row r="15" spans="2:4" x14ac:dyDescent="0.2">
      <c r="B15" s="48">
        <f>'Aliquota 7% FRI'!V1</f>
        <v>0</v>
      </c>
      <c r="C15" s="32">
        <v>0.37</v>
      </c>
      <c r="D15" s="49">
        <f>B15*C15</f>
        <v>0</v>
      </c>
    </row>
    <row r="16" spans="2:4" x14ac:dyDescent="0.2">
      <c r="B16" s="50">
        <v>0</v>
      </c>
      <c r="C16" s="51">
        <v>25.21</v>
      </c>
      <c r="D16" s="52">
        <f>B16*C16</f>
        <v>0</v>
      </c>
    </row>
    <row r="17" spans="2:4" ht="4.5" customHeight="1" x14ac:dyDescent="0.2">
      <c r="B17" s="33"/>
      <c r="C17" s="34"/>
      <c r="D17" s="35"/>
    </row>
    <row r="18" spans="2:4" x14ac:dyDescent="0.2">
      <c r="B18" s="25" t="s">
        <v>30</v>
      </c>
      <c r="C18" s="31" t="s">
        <v>31</v>
      </c>
      <c r="D18" s="25" t="s">
        <v>20</v>
      </c>
    </row>
    <row r="19" spans="2:4" x14ac:dyDescent="0.2">
      <c r="B19" s="36">
        <v>0</v>
      </c>
      <c r="C19" s="37">
        <v>0.04</v>
      </c>
      <c r="D19" s="38">
        <f>B19*C19</f>
        <v>0</v>
      </c>
    </row>
    <row r="20" spans="2:4" ht="7.5" customHeight="1" x14ac:dyDescent="0.2"/>
    <row r="21" spans="2:4" ht="16.5" customHeight="1" x14ac:dyDescent="0.2">
      <c r="B21" s="39" t="s">
        <v>33</v>
      </c>
      <c r="C21" s="72">
        <f>SUM(D8:D16)+D19</f>
        <v>0</v>
      </c>
      <c r="D21" s="73"/>
    </row>
    <row r="22" spans="2:4" ht="7.5" customHeight="1" x14ac:dyDescent="0.2"/>
    <row r="23" spans="2:4" x14ac:dyDescent="0.2">
      <c r="B23" s="25" t="s">
        <v>21</v>
      </c>
      <c r="C23" s="74" t="s">
        <v>22</v>
      </c>
      <c r="D23" s="75"/>
    </row>
    <row r="24" spans="2:4" x14ac:dyDescent="0.2">
      <c r="B24" s="40"/>
      <c r="C24" s="63" t="s">
        <v>23</v>
      </c>
      <c r="D24" s="64"/>
    </row>
    <row r="25" spans="2:4" x14ac:dyDescent="0.2">
      <c r="B25" s="41"/>
      <c r="C25" s="63" t="s">
        <v>24</v>
      </c>
      <c r="D25" s="64"/>
    </row>
    <row r="26" spans="2:4" x14ac:dyDescent="0.2">
      <c r="B26" s="42"/>
      <c r="C26" s="63" t="s">
        <v>25</v>
      </c>
      <c r="D26" s="64"/>
    </row>
    <row r="27" spans="2:4" x14ac:dyDescent="0.2">
      <c r="B27" s="56"/>
      <c r="C27" s="67" t="s">
        <v>36</v>
      </c>
      <c r="D27" s="67"/>
    </row>
    <row r="28" spans="2:4" x14ac:dyDescent="0.2">
      <c r="B28" s="43"/>
      <c r="C28" s="63" t="s">
        <v>26</v>
      </c>
      <c r="D28" s="64"/>
    </row>
    <row r="29" spans="2:4" x14ac:dyDescent="0.2">
      <c r="B29" s="57"/>
      <c r="C29" s="67" t="s">
        <v>37</v>
      </c>
      <c r="D29" s="67"/>
    </row>
    <row r="30" spans="2:4" x14ac:dyDescent="0.2">
      <c r="B30" s="44"/>
      <c r="C30" s="63" t="s">
        <v>27</v>
      </c>
      <c r="D30" s="64"/>
    </row>
    <row r="31" spans="2:4" x14ac:dyDescent="0.2">
      <c r="B31" s="45"/>
      <c r="C31" s="63" t="s">
        <v>28</v>
      </c>
      <c r="D31" s="64"/>
    </row>
  </sheetData>
  <sheetProtection formatCells="0" formatColumns="0" formatRows="0" insertColumns="0" insertRows="0" insertHyperlinks="0" deleteColumns="0" deleteRows="0" sort="0" autoFilter="0" pivotTables="0"/>
  <mergeCells count="16">
    <mergeCell ref="C3:D3"/>
    <mergeCell ref="C5:D5"/>
    <mergeCell ref="C21:D21"/>
    <mergeCell ref="C23:D23"/>
    <mergeCell ref="C24:D24"/>
    <mergeCell ref="B8:C8"/>
    <mergeCell ref="B9:C9"/>
    <mergeCell ref="B10:C10"/>
    <mergeCell ref="C31:D31"/>
    <mergeCell ref="B7:C7"/>
    <mergeCell ref="C26:D26"/>
    <mergeCell ref="C28:D28"/>
    <mergeCell ref="C30:D30"/>
    <mergeCell ref="C25:D25"/>
    <mergeCell ref="C27:D27"/>
    <mergeCell ref="C29:D29"/>
  </mergeCells>
  <pageMargins left="0.511811024" right="0.511811024" top="0.78740157499999996" bottom="0.78740157499999996" header="0.31496062000000002" footer="0.31496062000000002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Aliquota 1,54%</vt:lpstr>
      <vt:lpstr>Aliquota 1,54% FRI</vt:lpstr>
      <vt:lpstr>Aliquota 4%</vt:lpstr>
      <vt:lpstr>Aliquota 7%</vt:lpstr>
      <vt:lpstr>Aliquota 7% FRI</vt:lpstr>
      <vt:lpstr>ICMS ST 1104</vt:lpstr>
      <vt:lpstr>'ICMS ST 1104'!Area_de_impressao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Mailson</dc:creator>
  <cp:lastModifiedBy>Mailson</cp:lastModifiedBy>
  <cp:lastPrinted>2025-07-01T20:52:29Z</cp:lastPrinted>
  <dcterms:created xsi:type="dcterms:W3CDTF">2025-06-30T20:04:17Z</dcterms:created>
  <dcterms:modified xsi:type="dcterms:W3CDTF">2026-01-30T18:32:07Z</dcterms:modified>
</cp:coreProperties>
</file>